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2.xml" ContentType="application/vnd.openxmlformats-officedocument.drawingml.chart+xml"/>
  <Override PartName="/xl/charts/chart13.xml" ContentType="application/vnd.openxmlformats-officedocument.drawingml.chart+xml"/>
  <Override PartName="/xl/drawings/drawing8.xml" ContentType="application/vnd.openxmlformats-officedocument.drawing+xml"/>
  <Override PartName="/xl/ctrlProps/ctrlProp4.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omments1.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autoCompressPictures="0"/>
  <mc:AlternateContent xmlns:mc="http://schemas.openxmlformats.org/markup-compatibility/2006">
    <mc:Choice Requires="x15">
      <x15ac:absPath xmlns:x15ac="http://schemas.microsoft.com/office/spreadsheetml/2010/11/ac" url="D:\Data\Downloads\"/>
    </mc:Choice>
  </mc:AlternateContent>
  <xr:revisionPtr revIDLastSave="0" documentId="13_ncr:1_{EBB1FB63-246A-47D5-8FEF-C5E7BC6398B8}" xr6:coauthVersionLast="47" xr6:coauthVersionMax="47" xr10:uidLastSave="{00000000-0000-0000-0000-000000000000}"/>
  <bookViews>
    <workbookView xWindow="28680" yWindow="-120" windowWidth="29040" windowHeight="15840" tabRatio="813" activeTab="11" xr2:uid="{00000000-000D-0000-FFFF-FFFF00000000}"/>
  </bookViews>
  <sheets>
    <sheet name="READ ME" sheetId="60" r:id="rId1"/>
    <sheet name="HOME" sheetId="8" r:id="rId2"/>
    <sheet name="Subprojectzero1" sheetId="93" state="hidden" r:id="rId3"/>
    <sheet name="Subprojectzero2" sheetId="119" state="hidden" r:id="rId4"/>
    <sheet name="Subprojectzero3" sheetId="132" state="hidden" r:id="rId5"/>
    <sheet name="Projectzero" sheetId="99" state="hidden" r:id="rId6"/>
    <sheet name="Resultszero" sheetId="115" state="hidden" r:id="rId7"/>
    <sheet name="Comparisonzero" sheetId="43" state="hidden" r:id="rId8"/>
    <sheet name="Project A" sheetId="133" r:id="rId9"/>
    <sheet name="Results" sheetId="135" r:id="rId10"/>
    <sheet name="Comparison" sheetId="134" r:id="rId11"/>
    <sheet name="Emission factors" sheetId="3" r:id="rId12"/>
    <sheet name="Logos" sheetId="44" state="hidden" r:id="rId13"/>
    <sheet name="Sheets" sheetId="18" state="hidden" r:id="rId14"/>
    <sheet name="Lists" sheetId="2" state="hidden" r:id="rId15"/>
    <sheet name="Translate" sheetId="116" state="hidden" r:id="rId16"/>
    <sheet name="Disclaimer" sheetId="118" r:id="rId17"/>
  </sheets>
  <externalReferences>
    <externalReference r:id="rId18"/>
    <externalReference r:id="rId19"/>
  </externalReferences>
  <definedNames>
    <definedName name="_xlnm._FilterDatabase" localSheetId="11" hidden="1">'Emission factors'!$C$240:$V$240</definedName>
    <definedName name="_xlnm._FilterDatabase" localSheetId="15" hidden="1">Translate!$A$2:$L$545</definedName>
    <definedName name="ALLPROJECTS">Sheets!$B$2</definedName>
    <definedName name="ALLSUBANDPROJECTS" localSheetId="5">Sheets!$C$2</definedName>
    <definedName name="ALLSUBANDPROJECTS" localSheetId="0">[1]Sheets!$C$2:$C$9</definedName>
    <definedName name="ALLSUBANDPROJECTS" localSheetId="9">Sheets!$C$2:$C$6</definedName>
    <definedName name="ALLSUBANDPROJECTS" localSheetId="6">Sheets!$C$2</definedName>
    <definedName name="ALLSUBANDPROJECTS">Sheets!$C$2:$C$6</definedName>
    <definedName name="ALLSUBPROJECTS" localSheetId="5">Sheets!$A$2:$A$3</definedName>
    <definedName name="ALLSUBPROJECTS" localSheetId="0">[1]Sheets!$A$2:$A$6</definedName>
    <definedName name="ALLSUBPROJECTS" localSheetId="9">Sheets!$A$2:$A$4</definedName>
    <definedName name="ALLSUBPROJECTS" localSheetId="6">Sheets!$A$2:$A$3</definedName>
    <definedName name="ALLSUBPROJECTS">Sheets!$A$2:$A$4</definedName>
    <definedName name="CementTypeName">'Emission factors'!$C$286:$C$294</definedName>
    <definedName name="CementTypes" localSheetId="0">'[1]Emission factors'!$C$253:$G$260</definedName>
    <definedName name="CementTypes">'Emission factors'!$C$286:$G$294</definedName>
    <definedName name="COMPARISONSHEETS">Sheets!$E$2:$E$3</definedName>
    <definedName name="concrete_origin">Lists!$E$2:$E$3</definedName>
    <definedName name="concreteunits">'Emission factors'!$F$411:$F$414</definedName>
    <definedName name="Countries" localSheetId="5">[2]Lists!$B$2:$B$155</definedName>
    <definedName name="Countries" localSheetId="0">[1]Lists!$B$2:$B$155</definedName>
    <definedName name="Countries">Lists!$B$2:$B$183</definedName>
    <definedName name="DefaultConcrete">'Emission factors'!$C$375:$I$393</definedName>
    <definedName name="_xlnm.Print_Area" localSheetId="10">Comparison!$G$20:$T$112,Comparison!$G$114:$T$200</definedName>
    <definedName name="_xlnm.Print_Area" localSheetId="7">Comparisonzero!$G$20:$T$112,Comparisonzero!$G$114:$T$200</definedName>
    <definedName name="_xlnm.Print_Area" localSheetId="9">Results!$D$7:$L$50</definedName>
    <definedName name="_xlnm.Print_Area" localSheetId="6">Resultszero!$D$7:$L$50</definedName>
    <definedName name="EF_databases">'Emission factors'!$K$6:$N$6</definedName>
    <definedName name="EFFreight" localSheetId="5">'[2]Emission factors'!$C$175:$C$179</definedName>
    <definedName name="EFFreight" localSheetId="0">'[1]Emission factors'!$C$183:$C$196</definedName>
    <definedName name="EFFreight">'Emission factors'!$C$213:$C$228</definedName>
    <definedName name="EFlist">'Emission factors'!$C$7:$C$244</definedName>
    <definedName name="EFMobDemob">'Emission factors'!$C$213:$C$219</definedName>
    <definedName name="EFtable" localSheetId="5">'[2]Emission factors'!$C$7:$J$190</definedName>
    <definedName name="EFtable" localSheetId="0">'[1]Emission factors'!$C$7:$J$211</definedName>
    <definedName name="EFtable">'Emission factors'!$C$7:$J$244</definedName>
    <definedName name="FEAssets">'Emission factors'!$C$240:$C$243</definedName>
    <definedName name="FEEnergy" localSheetId="5">'[2]Emission factors'!$C$31:$C$33</definedName>
    <definedName name="FEEnergy" localSheetId="0">'[1]Emission factors'!$C$37:$C$40</definedName>
    <definedName name="FEEnergy">'Emission factors'!$C$41:$C$44</definedName>
    <definedName name="FEFreight" localSheetId="5">'[2]Emission factors'!$C$175:$C$179</definedName>
    <definedName name="FEFreight" localSheetId="0">'[1]Emission factors'!$C$183:$C$196</definedName>
    <definedName name="FEFreight">'Emission factors'!$C$213:$C$228</definedName>
    <definedName name="FEMaterials" localSheetId="5">'[2]Emission factors'!$C$8:$C$27</definedName>
    <definedName name="FEMaterials" localSheetId="0">'[1]Emission factors'!$C$8:$C$30</definedName>
    <definedName name="FEMaterials">'Emission factors'!$C$8:$C$34</definedName>
    <definedName name="FETransportation" localSheetId="5">'[2]Emission factors'!$C$181:$C$185</definedName>
    <definedName name="FETransportation" localSheetId="0">'[1]Emission factors'!$C$198:$C$206</definedName>
    <definedName name="FETransportation">'Emission factors'!$C$230:$C$238</definedName>
    <definedName name="FreightLoadFactors" localSheetId="0">'[1]Emission factors'!$C$277:$D$290</definedName>
    <definedName name="FreightLoadFactors">'Emission factors'!$C$313:$D$328</definedName>
    <definedName name="lang">'READ ME'!$D$18</definedName>
    <definedName name="lang2">Disclaimer!$D$4</definedName>
    <definedName name="language">Translate!$B$2:$I$2</definedName>
    <definedName name="MaterialTypes" localSheetId="5">[2]Lists!$C$2:$C$4</definedName>
    <definedName name="MaterialTypes" localSheetId="0">[1]Lists!$D$2:$D$4</definedName>
    <definedName name="MaterialTypes">Lists!$D$2:$D$4</definedName>
    <definedName name="NameComparison">HOME!$F$42</definedName>
    <definedName name="NameProject">HOME!$F$24</definedName>
    <definedName name="NameResults">HOME!$F$33</definedName>
    <definedName name="NameSubproject">HOME!$F$14</definedName>
    <definedName name="new_recycled_reused">Lists!$G$2:$G$3</definedName>
    <definedName name="RailFreightElectric" localSheetId="0">[1]Lists!$C$2:$C$155</definedName>
    <definedName name="RailFreightElectric">Lists!$C$2:$C$153</definedName>
    <definedName name="ratio_use">Lists!$F$2:$F$3</definedName>
    <definedName name="RecycledContent" localSheetId="5">'[2]Emission factors'!$C$243:$E$251</definedName>
    <definedName name="RecycledContent" localSheetId="0">'[1]Emission factors'!$C$264:$E$272</definedName>
    <definedName name="RecycledContent">'Emission factors'!$C$298:$E$306</definedName>
    <definedName name="RESULTSSHEETS">Sheets!$D$2:$D$3</definedName>
    <definedName name="StandardFreight" localSheetId="0">'[1]Emission factors'!$C$294:$E$299</definedName>
    <definedName name="StandardFreight">'Emission factors'!$C$332:$E$337</definedName>
    <definedName name="SubprojectCopy">HOME!$F$16</definedName>
    <definedName name="SubprojectTemplate">HOME!$H$15</definedName>
    <definedName name="techniques" localSheetId="5">[2]Lists!$A$2:$A$8</definedName>
    <definedName name="techniques" localSheetId="0">[1]Lists!$A$2:$A$8</definedName>
    <definedName name="techniques">Lists!$A$2:$A$18</definedName>
    <definedName name="TechniqueSubproject">HOME!$F$15</definedName>
    <definedName name="units_system">'Emission factors'!$AB$6:$AC$6</definedName>
    <definedName name="y_n">Lists!$I$2:$I$3</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71" i="135" l="1"/>
  <c r="C70" i="135"/>
  <c r="C69" i="135"/>
  <c r="C68" i="135"/>
  <c r="C67" i="135"/>
  <c r="C66" i="135"/>
  <c r="C65" i="135"/>
  <c r="E38" i="135"/>
  <c r="A31" i="135"/>
  <c r="E30" i="135"/>
  <c r="A30" i="135"/>
  <c r="E29" i="135"/>
  <c r="A29" i="135"/>
  <c r="E28" i="135"/>
  <c r="A28" i="135"/>
  <c r="E27" i="135"/>
  <c r="A27" i="135"/>
  <c r="E26" i="135"/>
  <c r="A26" i="135"/>
  <c r="E25" i="135"/>
  <c r="A25" i="135"/>
  <c r="E24" i="135"/>
  <c r="A24" i="135"/>
  <c r="E23" i="135"/>
  <c r="A23" i="135"/>
  <c r="E22" i="135"/>
  <c r="A22" i="135"/>
  <c r="E21" i="135"/>
  <c r="A21" i="135"/>
  <c r="E17" i="135"/>
  <c r="K16" i="135"/>
  <c r="I16" i="135"/>
  <c r="E14" i="135"/>
  <c r="E13" i="135"/>
  <c r="J12" i="135"/>
  <c r="E12" i="135"/>
  <c r="J11" i="135"/>
  <c r="F11" i="135"/>
  <c r="E11" i="135"/>
  <c r="L10" i="135"/>
  <c r="D9" i="135"/>
  <c r="I4" i="135"/>
  <c r="H4" i="135"/>
  <c r="C4" i="135"/>
  <c r="T200" i="134"/>
  <c r="Q182" i="134"/>
  <c r="I182" i="134"/>
  <c r="Q181" i="134"/>
  <c r="I181" i="134"/>
  <c r="Q180" i="134"/>
  <c r="I180" i="134"/>
  <c r="Q179" i="134"/>
  <c r="I179" i="134"/>
  <c r="Q176" i="134"/>
  <c r="I176" i="134"/>
  <c r="Q175" i="134"/>
  <c r="I175" i="134"/>
  <c r="Q174" i="134"/>
  <c r="I174" i="134"/>
  <c r="I169" i="134"/>
  <c r="I168" i="134"/>
  <c r="I167" i="134"/>
  <c r="I166" i="134"/>
  <c r="I165" i="134"/>
  <c r="I164" i="134"/>
  <c r="I163" i="134"/>
  <c r="I159" i="134"/>
  <c r="V127" i="134"/>
  <c r="U125" i="134"/>
  <c r="H120" i="134"/>
  <c r="T112" i="134"/>
  <c r="U110" i="134"/>
  <c r="U108" i="134"/>
  <c r="V97" i="134"/>
  <c r="V96" i="134"/>
  <c r="V95" i="134"/>
  <c r="V94" i="134"/>
  <c r="I41" i="134"/>
  <c r="Q40" i="134"/>
  <c r="I40" i="134"/>
  <c r="Q39" i="134"/>
  <c r="I39" i="134"/>
  <c r="Q36" i="134"/>
  <c r="I36" i="134"/>
  <c r="Q35" i="134"/>
  <c r="I35" i="134"/>
  <c r="Q34" i="134"/>
  <c r="I34" i="134"/>
  <c r="Q33" i="134"/>
  <c r="I33" i="134"/>
  <c r="Q32" i="134"/>
  <c r="I32" i="134"/>
  <c r="Q31" i="134"/>
  <c r="I31" i="134"/>
  <c r="Q30" i="134"/>
  <c r="I30" i="134"/>
  <c r="Q29" i="134"/>
  <c r="I29" i="134"/>
  <c r="H26" i="134"/>
  <c r="AG22" i="134"/>
  <c r="AG21" i="134"/>
  <c r="AG20" i="134"/>
  <c r="AG16" i="134"/>
  <c r="AG15" i="134"/>
  <c r="J15" i="134"/>
  <c r="AG14" i="134"/>
  <c r="AG13" i="134"/>
  <c r="H13" i="134"/>
  <c r="AG12" i="134"/>
  <c r="AN149" i="133"/>
  <c r="AJ149" i="133"/>
  <c r="AI149" i="133"/>
  <c r="M149" i="133"/>
  <c r="F149" i="133"/>
  <c r="D149" i="133"/>
  <c r="D146" i="133"/>
  <c r="AN141" i="133"/>
  <c r="AI141" i="133"/>
  <c r="Z141" i="133"/>
  <c r="Y141" i="133"/>
  <c r="W141" i="133"/>
  <c r="U141" i="133"/>
  <c r="T141" i="133"/>
  <c r="S141" i="133"/>
  <c r="R141" i="133"/>
  <c r="P141" i="133"/>
  <c r="M141" i="133"/>
  <c r="J141" i="133"/>
  <c r="F141" i="133"/>
  <c r="D141" i="133"/>
  <c r="B141" i="133"/>
  <c r="AN137" i="133"/>
  <c r="AI137" i="133"/>
  <c r="Z137" i="133"/>
  <c r="Y137" i="133"/>
  <c r="W137" i="133"/>
  <c r="U137" i="133"/>
  <c r="T137" i="133"/>
  <c r="S137" i="133"/>
  <c r="R137" i="133"/>
  <c r="P137" i="133"/>
  <c r="M137" i="133"/>
  <c r="J137" i="133"/>
  <c r="F137" i="133"/>
  <c r="D137" i="133"/>
  <c r="AI133" i="133"/>
  <c r="M133" i="133"/>
  <c r="F133" i="133"/>
  <c r="D133" i="133"/>
  <c r="AN125" i="133"/>
  <c r="AI125" i="133"/>
  <c r="AA125" i="133"/>
  <c r="X125" i="133"/>
  <c r="V125" i="133"/>
  <c r="U125" i="133"/>
  <c r="T125" i="133"/>
  <c r="S125" i="133"/>
  <c r="P125" i="133"/>
  <c r="M125" i="133"/>
  <c r="K125" i="133"/>
  <c r="J125" i="133"/>
  <c r="I125" i="133"/>
  <c r="L125" i="133" s="1"/>
  <c r="F125" i="133"/>
  <c r="D125" i="133"/>
  <c r="AI121" i="133"/>
  <c r="M121" i="133"/>
  <c r="F121" i="133"/>
  <c r="D121" i="133"/>
  <c r="AN113" i="133"/>
  <c r="AI113" i="133"/>
  <c r="M113" i="133"/>
  <c r="K113" i="133"/>
  <c r="L113" i="133" s="1"/>
  <c r="AJ113" i="133" s="1"/>
  <c r="AO113" i="133" s="1"/>
  <c r="F113" i="133"/>
  <c r="D113" i="133"/>
  <c r="AI107" i="133"/>
  <c r="Q107" i="133"/>
  <c r="J107" i="133"/>
  <c r="I107" i="133"/>
  <c r="D107" i="133"/>
  <c r="AI103" i="133"/>
  <c r="Q103" i="133"/>
  <c r="I103" i="133"/>
  <c r="D103" i="133"/>
  <c r="J103" i="133" s="1"/>
  <c r="AI99" i="133"/>
  <c r="Q99" i="133"/>
  <c r="K99" i="133"/>
  <c r="J99" i="133"/>
  <c r="E99" i="133"/>
  <c r="I99" i="133" s="1"/>
  <c r="P99" i="133" s="1"/>
  <c r="D99" i="133"/>
  <c r="L97" i="133"/>
  <c r="F97" i="133"/>
  <c r="E97" i="133"/>
  <c r="D97" i="133"/>
  <c r="AN89" i="133"/>
  <c r="AI89" i="133"/>
  <c r="U89" i="133"/>
  <c r="S89" i="133"/>
  <c r="N89" i="133"/>
  <c r="L89" i="133"/>
  <c r="K89" i="133"/>
  <c r="J89" i="133"/>
  <c r="I89" i="133"/>
  <c r="F89" i="133"/>
  <c r="D89" i="133"/>
  <c r="AN85" i="133"/>
  <c r="AI85" i="133"/>
  <c r="AH85" i="133"/>
  <c r="U85" i="133"/>
  <c r="S85" i="133"/>
  <c r="N85" i="133"/>
  <c r="L85" i="133"/>
  <c r="J85" i="133"/>
  <c r="I85" i="133"/>
  <c r="F85" i="133"/>
  <c r="D85" i="133"/>
  <c r="K85" i="133" s="1"/>
  <c r="AI81" i="133"/>
  <c r="M81" i="133"/>
  <c r="F81" i="133"/>
  <c r="D81" i="133"/>
  <c r="AN73" i="133"/>
  <c r="AI73" i="133"/>
  <c r="M73" i="133"/>
  <c r="K73" i="133"/>
  <c r="L73" i="133" s="1"/>
  <c r="AL73" i="133" s="1"/>
  <c r="F73" i="133"/>
  <c r="D73" i="133"/>
  <c r="AN69" i="133"/>
  <c r="AI69" i="133"/>
  <c r="M69" i="133"/>
  <c r="K69" i="133"/>
  <c r="L69" i="133" s="1"/>
  <c r="AJ69" i="133" s="1"/>
  <c r="AO69" i="133" s="1"/>
  <c r="F69" i="133"/>
  <c r="D69" i="133"/>
  <c r="AN65" i="133"/>
  <c r="AI65" i="133"/>
  <c r="M65" i="133"/>
  <c r="F65" i="133"/>
  <c r="D65" i="133"/>
  <c r="AI57" i="133"/>
  <c r="F57" i="133"/>
  <c r="D57" i="133"/>
  <c r="AN56" i="133"/>
  <c r="AI56" i="133"/>
  <c r="AD56" i="133"/>
  <c r="AB56" i="133"/>
  <c r="Z56" i="133"/>
  <c r="Y56" i="133"/>
  <c r="V56" i="133"/>
  <c r="U56" i="133"/>
  <c r="T56" i="133"/>
  <c r="S56" i="133"/>
  <c r="R56" i="133"/>
  <c r="P56" i="133"/>
  <c r="M56" i="133"/>
  <c r="I56" i="133"/>
  <c r="D56" i="133"/>
  <c r="E57" i="133" s="1"/>
  <c r="K56" i="133" s="1"/>
  <c r="AI52" i="133"/>
  <c r="F52" i="133"/>
  <c r="D52" i="133"/>
  <c r="AN51" i="133"/>
  <c r="AK51" i="133"/>
  <c r="AI51" i="133"/>
  <c r="AH51" i="133" s="1"/>
  <c r="AD51" i="133"/>
  <c r="AB51" i="133"/>
  <c r="Z51" i="133"/>
  <c r="Y51" i="133"/>
  <c r="V51" i="133"/>
  <c r="X51" i="133" s="1"/>
  <c r="U51" i="133"/>
  <c r="T51" i="133"/>
  <c r="S51" i="133"/>
  <c r="R51" i="133"/>
  <c r="P51" i="133"/>
  <c r="M51" i="133"/>
  <c r="I51" i="133"/>
  <c r="F51" i="133"/>
  <c r="J51" i="133" s="1"/>
  <c r="W51" i="133" s="1"/>
  <c r="D51" i="133"/>
  <c r="AI47" i="133"/>
  <c r="F47" i="133"/>
  <c r="E47" i="133"/>
  <c r="D47" i="133"/>
  <c r="AN46" i="133"/>
  <c r="AK46" i="133"/>
  <c r="AI46" i="133"/>
  <c r="AH46" i="133" s="1"/>
  <c r="AD46" i="133"/>
  <c r="AB46" i="133"/>
  <c r="Z46" i="133"/>
  <c r="Y46" i="133"/>
  <c r="W46" i="133"/>
  <c r="V46" i="133"/>
  <c r="X46" i="133" s="1"/>
  <c r="U46" i="133"/>
  <c r="T46" i="133"/>
  <c r="S46" i="133"/>
  <c r="R46" i="133"/>
  <c r="Q46" i="133"/>
  <c r="P46" i="133"/>
  <c r="M46" i="133"/>
  <c r="L46" i="133"/>
  <c r="AJ46" i="133" s="1"/>
  <c r="AO46" i="133" s="1"/>
  <c r="K46" i="133"/>
  <c r="I46" i="133"/>
  <c r="F46" i="133"/>
  <c r="J46" i="133" s="1"/>
  <c r="D46" i="133"/>
  <c r="AO42" i="133"/>
  <c r="E42" i="133"/>
  <c r="AO41" i="133"/>
  <c r="AI40" i="133"/>
  <c r="F40" i="133"/>
  <c r="E40" i="133"/>
  <c r="D40" i="133"/>
  <c r="AN39" i="133"/>
  <c r="AI39" i="133"/>
  <c r="AH39" i="133" s="1"/>
  <c r="AD39" i="133"/>
  <c r="Z39" i="133"/>
  <c r="Y39" i="133"/>
  <c r="U39" i="133"/>
  <c r="S39" i="133"/>
  <c r="R39" i="133"/>
  <c r="P39" i="133"/>
  <c r="M39" i="133"/>
  <c r="K39" i="133"/>
  <c r="J39" i="133"/>
  <c r="W39" i="133" s="1"/>
  <c r="D39" i="133"/>
  <c r="AI37" i="133"/>
  <c r="F37" i="133"/>
  <c r="D37" i="133"/>
  <c r="AN36" i="133"/>
  <c r="AI36" i="133"/>
  <c r="AD36" i="133"/>
  <c r="Z36" i="133"/>
  <c r="Y36" i="133"/>
  <c r="U36" i="133"/>
  <c r="T36" i="133"/>
  <c r="AB36" i="133" s="1"/>
  <c r="S36" i="133"/>
  <c r="R36" i="133"/>
  <c r="P36" i="133"/>
  <c r="M36" i="133"/>
  <c r="J36" i="133"/>
  <c r="W36" i="133" s="1"/>
  <c r="D36" i="133"/>
  <c r="E37" i="133" s="1"/>
  <c r="K36" i="133" s="1"/>
  <c r="AI34" i="133"/>
  <c r="F34" i="133"/>
  <c r="D34" i="133"/>
  <c r="AN33" i="133"/>
  <c r="AI33" i="133"/>
  <c r="AH33" i="133" s="1"/>
  <c r="AD33" i="133"/>
  <c r="Z33" i="133"/>
  <c r="Y33" i="133"/>
  <c r="U33" i="133"/>
  <c r="S33" i="133"/>
  <c r="R33" i="133"/>
  <c r="P33" i="133"/>
  <c r="M33" i="133"/>
  <c r="J33" i="133"/>
  <c r="W33" i="133" s="1"/>
  <c r="D33" i="133"/>
  <c r="AI31" i="133"/>
  <c r="F31" i="133"/>
  <c r="E31" i="133"/>
  <c r="K30" i="133" s="1"/>
  <c r="D31" i="133"/>
  <c r="AN30" i="133"/>
  <c r="AI30" i="133"/>
  <c r="AH30" i="133" s="1"/>
  <c r="AD30" i="133"/>
  <c r="Z30" i="133"/>
  <c r="Y30" i="133"/>
  <c r="W30" i="133"/>
  <c r="U30" i="133"/>
  <c r="S30" i="133"/>
  <c r="R30" i="133"/>
  <c r="P30" i="133"/>
  <c r="M30" i="133"/>
  <c r="J30" i="133"/>
  <c r="D30" i="133"/>
  <c r="T30" i="133" s="1"/>
  <c r="M28" i="133"/>
  <c r="J28" i="133"/>
  <c r="AS27" i="133"/>
  <c r="F27" i="133"/>
  <c r="E27" i="133"/>
  <c r="D27" i="133"/>
  <c r="AI26" i="133"/>
  <c r="D26" i="133"/>
  <c r="AK25" i="133"/>
  <c r="AI25" i="133"/>
  <c r="AD25" i="133"/>
  <c r="Z25" i="133"/>
  <c r="Y25" i="133"/>
  <c r="W25" i="133"/>
  <c r="U25" i="133"/>
  <c r="S25" i="133"/>
  <c r="R25" i="133"/>
  <c r="P25" i="133"/>
  <c r="E25" i="133"/>
  <c r="D25" i="133"/>
  <c r="AN24" i="133"/>
  <c r="E24" i="133"/>
  <c r="E28" i="133" s="1"/>
  <c r="D24" i="133"/>
  <c r="Q25" i="133" s="1"/>
  <c r="AM23" i="133"/>
  <c r="AM24" i="133" s="1"/>
  <c r="AM25" i="133" s="1"/>
  <c r="AI23" i="133"/>
  <c r="AD22" i="133"/>
  <c r="Z22" i="133"/>
  <c r="Y22" i="133"/>
  <c r="V22" i="133"/>
  <c r="X22" i="133" s="1"/>
  <c r="U22" i="133"/>
  <c r="T22" i="133"/>
  <c r="AB22" i="133" s="1"/>
  <c r="S22" i="133"/>
  <c r="R22" i="133"/>
  <c r="P22" i="133"/>
  <c r="I22" i="133"/>
  <c r="F22" i="133"/>
  <c r="AS28" i="133" s="1"/>
  <c r="D22" i="133"/>
  <c r="L21" i="133"/>
  <c r="M21" i="133" s="1"/>
  <c r="E21" i="133"/>
  <c r="D21" i="133"/>
  <c r="AN20" i="133"/>
  <c r="D19" i="133"/>
  <c r="F14" i="133"/>
  <c r="E14" i="133"/>
  <c r="D14" i="133"/>
  <c r="H13" i="133"/>
  <c r="F13" i="133"/>
  <c r="E13" i="133"/>
  <c r="D13" i="133"/>
  <c r="Y12" i="133"/>
  <c r="T12" i="133"/>
  <c r="H12" i="133"/>
  <c r="E12" i="133"/>
  <c r="D12" i="133"/>
  <c r="H11" i="133"/>
  <c r="F11" i="133"/>
  <c r="D11" i="133"/>
  <c r="AV10" i="133"/>
  <c r="AU10" i="133"/>
  <c r="AT10" i="133"/>
  <c r="H10" i="133"/>
  <c r="F10" i="133"/>
  <c r="D10" i="133"/>
  <c r="AY9" i="133"/>
  <c r="AV9" i="133"/>
  <c r="AU9" i="133"/>
  <c r="AT9" i="133"/>
  <c r="H9" i="133"/>
  <c r="F9" i="133"/>
  <c r="D9" i="133"/>
  <c r="AY8" i="133"/>
  <c r="H8" i="133"/>
  <c r="D8" i="133"/>
  <c r="BA7" i="133"/>
  <c r="AY7" i="133"/>
  <c r="AV7" i="133"/>
  <c r="AU7" i="133"/>
  <c r="AT7" i="133"/>
  <c r="AS7" i="133"/>
  <c r="AR7" i="133"/>
  <c r="AQ7" i="133"/>
  <c r="AP7" i="133"/>
  <c r="O7" i="133"/>
  <c r="H7" i="133"/>
  <c r="D7" i="133"/>
  <c r="BA6" i="133"/>
  <c r="AY6" i="133"/>
  <c r="AV6" i="133"/>
  <c r="AU6" i="133"/>
  <c r="AT6" i="133"/>
  <c r="AS6" i="133"/>
  <c r="AR6" i="133"/>
  <c r="AQ6" i="133"/>
  <c r="AP6" i="133"/>
  <c r="Q6" i="133"/>
  <c r="P6" i="133"/>
  <c r="H6" i="133"/>
  <c r="D6" i="133"/>
  <c r="B6" i="133"/>
  <c r="BA5" i="133"/>
  <c r="AY5" i="133"/>
  <c r="AX5" i="133"/>
  <c r="D5" i="133"/>
  <c r="AY4" i="133"/>
  <c r="AX4" i="133" s="1"/>
  <c r="AV4" i="133"/>
  <c r="AU4" i="133"/>
  <c r="AT4" i="133"/>
  <c r="AS4" i="133"/>
  <c r="AR4" i="133"/>
  <c r="AQ4" i="133"/>
  <c r="AP4" i="133"/>
  <c r="AY3" i="133"/>
  <c r="AX3" i="133"/>
  <c r="AB3" i="133"/>
  <c r="AV2" i="133"/>
  <c r="AU2" i="133"/>
  <c r="AT2" i="133"/>
  <c r="AS2" i="133"/>
  <c r="AR2" i="133"/>
  <c r="AR9" i="133" s="1"/>
  <c r="AQ2" i="133"/>
  <c r="AQ9" i="133" s="1"/>
  <c r="AP2" i="133"/>
  <c r="AP9" i="133" s="1"/>
  <c r="AB2" i="133"/>
  <c r="AV1" i="133"/>
  <c r="AV11" i="133" s="1"/>
  <c r="D130" i="133" s="1"/>
  <c r="AU1" i="133"/>
  <c r="AU11" i="133" s="1"/>
  <c r="D118" i="133" s="1"/>
  <c r="AT1" i="133"/>
  <c r="AS1" i="133"/>
  <c r="AR1" i="133"/>
  <c r="AQ1" i="133"/>
  <c r="AK149" i="133" s="1"/>
  <c r="AP1" i="133"/>
  <c r="AH99" i="133" s="1"/>
  <c r="AL1" i="133"/>
  <c r="AK1" i="133"/>
  <c r="AJ1" i="133"/>
  <c r="AB1" i="133"/>
  <c r="J358" i="3"/>
  <c r="S392" i="3"/>
  <c r="R392" i="3"/>
  <c r="Q392" i="3"/>
  <c r="P392" i="3"/>
  <c r="O392" i="3"/>
  <c r="D392" i="3"/>
  <c r="O17" i="134"/>
  <c r="N17" i="134"/>
  <c r="M17" i="134"/>
  <c r="L17" i="134"/>
  <c r="K17" i="134"/>
  <c r="E1" i="135"/>
  <c r="J17" i="134"/>
  <c r="J188" i="134" l="1"/>
  <c r="J189" i="134" s="1"/>
  <c r="J179" i="134"/>
  <c r="J175" i="134"/>
  <c r="J173" i="134"/>
  <c r="J169" i="134"/>
  <c r="J43" i="134"/>
  <c r="J33" i="134"/>
  <c r="J194" i="134"/>
  <c r="J195" i="134" s="1"/>
  <c r="J174" i="134"/>
  <c r="J168" i="134"/>
  <c r="J42" i="134"/>
  <c r="J32" i="134"/>
  <c r="J167" i="134"/>
  <c r="J41" i="134"/>
  <c r="J31" i="134"/>
  <c r="J190" i="134"/>
  <c r="J191" i="134" s="1"/>
  <c r="J166" i="134"/>
  <c r="J40" i="134"/>
  <c r="J30" i="134"/>
  <c r="J28" i="134"/>
  <c r="J196" i="134"/>
  <c r="J165" i="134"/>
  <c r="J39" i="134"/>
  <c r="J29" i="134"/>
  <c r="J182" i="134" s="1"/>
  <c r="J197" i="134"/>
  <c r="J186" i="134"/>
  <c r="J187" i="134" s="1"/>
  <c r="J164" i="134"/>
  <c r="J162" i="134"/>
  <c r="J159" i="134"/>
  <c r="J192" i="134"/>
  <c r="J193" i="134" s="1"/>
  <c r="J181" i="134"/>
  <c r="J163" i="134"/>
  <c r="J35" i="134"/>
  <c r="J180" i="134"/>
  <c r="J178" i="134"/>
  <c r="J176" i="134"/>
  <c r="J34" i="134"/>
  <c r="AB2" i="135"/>
  <c r="F29" i="135"/>
  <c r="F27" i="135"/>
  <c r="F25" i="135"/>
  <c r="F23" i="135"/>
  <c r="F21" i="135"/>
  <c r="F14" i="135"/>
  <c r="AD1" i="135"/>
  <c r="F16" i="135" s="1"/>
  <c r="E16" i="135" s="1"/>
  <c r="AB1" i="135"/>
  <c r="B31" i="135"/>
  <c r="B29" i="135"/>
  <c r="D70" i="135" s="1"/>
  <c r="H70" i="135" s="1"/>
  <c r="B27" i="135"/>
  <c r="D68" i="135" s="1"/>
  <c r="H68" i="135" s="1"/>
  <c r="B25" i="135"/>
  <c r="D66" i="135" s="1"/>
  <c r="H66" i="135" s="1"/>
  <c r="B23" i="135"/>
  <c r="F65" i="135" s="1"/>
  <c r="B21" i="135"/>
  <c r="H65" i="135" s="1"/>
  <c r="J16" i="135"/>
  <c r="F13" i="135"/>
  <c r="W1" i="135"/>
  <c r="F50" i="135" s="1"/>
  <c r="U1" i="135"/>
  <c r="I50" i="135" s="1"/>
  <c r="F30" i="135"/>
  <c r="F28" i="135"/>
  <c r="F26" i="135"/>
  <c r="F24" i="135"/>
  <c r="F22" i="135"/>
  <c r="G17" i="135"/>
  <c r="F12" i="135"/>
  <c r="B30" i="135"/>
  <c r="D71" i="135" s="1"/>
  <c r="H71" i="135" s="1"/>
  <c r="B28" i="135"/>
  <c r="D69" i="135" s="1"/>
  <c r="H69" i="135" s="1"/>
  <c r="B26" i="135"/>
  <c r="D67" i="135" s="1"/>
  <c r="H67" i="135" s="1"/>
  <c r="B24" i="135"/>
  <c r="G65" i="135" s="1"/>
  <c r="B22" i="135"/>
  <c r="E65" i="135" s="1"/>
  <c r="F17" i="135"/>
  <c r="K194" i="134"/>
  <c r="K174" i="134"/>
  <c r="K168" i="134"/>
  <c r="K42" i="134"/>
  <c r="K32" i="134"/>
  <c r="K167" i="134"/>
  <c r="K41" i="134"/>
  <c r="K31" i="134"/>
  <c r="K190" i="134"/>
  <c r="K166" i="134"/>
  <c r="K40" i="134"/>
  <c r="K30" i="134"/>
  <c r="K28" i="134"/>
  <c r="K196" i="134"/>
  <c r="K165" i="134"/>
  <c r="K39" i="134"/>
  <c r="K29" i="134"/>
  <c r="K197" i="134"/>
  <c r="K186" i="134"/>
  <c r="K164" i="134"/>
  <c r="K162" i="134"/>
  <c r="K159" i="134"/>
  <c r="K192" i="134"/>
  <c r="K181" i="134"/>
  <c r="K163" i="134"/>
  <c r="K35" i="134"/>
  <c r="K180" i="134"/>
  <c r="K178" i="134"/>
  <c r="K176" i="134"/>
  <c r="K34" i="134"/>
  <c r="K188" i="134"/>
  <c r="K179" i="134"/>
  <c r="K175" i="134"/>
  <c r="K173" i="134"/>
  <c r="K169" i="134"/>
  <c r="K43" i="134"/>
  <c r="K33" i="134"/>
  <c r="L167" i="134"/>
  <c r="L41" i="134"/>
  <c r="L31" i="134"/>
  <c r="L190" i="134"/>
  <c r="L166" i="134"/>
  <c r="L40" i="134"/>
  <c r="L30" i="134"/>
  <c r="L28" i="134"/>
  <c r="L196" i="134"/>
  <c r="L165" i="134"/>
  <c r="L39" i="134"/>
  <c r="L29" i="134"/>
  <c r="L197" i="134"/>
  <c r="L186" i="134"/>
  <c r="L164" i="134"/>
  <c r="L162" i="134"/>
  <c r="L159" i="134"/>
  <c r="L192" i="134"/>
  <c r="L181" i="134"/>
  <c r="L163" i="134"/>
  <c r="L35" i="134"/>
  <c r="L180" i="134"/>
  <c r="L178" i="134"/>
  <c r="L176" i="134"/>
  <c r="L34" i="134"/>
  <c r="L188" i="134"/>
  <c r="L179" i="134"/>
  <c r="L175" i="134"/>
  <c r="L173" i="134"/>
  <c r="L169" i="134"/>
  <c r="L43" i="134"/>
  <c r="L33" i="134"/>
  <c r="L194" i="134"/>
  <c r="L174" i="134"/>
  <c r="L168" i="134"/>
  <c r="L42" i="134"/>
  <c r="L32" i="134"/>
  <c r="M190" i="134"/>
  <c r="M191" i="134" s="1"/>
  <c r="M166" i="134"/>
  <c r="M40" i="134"/>
  <c r="M30" i="134"/>
  <c r="M28" i="134"/>
  <c r="M196" i="134"/>
  <c r="M165" i="134"/>
  <c r="M39" i="134"/>
  <c r="M29" i="134"/>
  <c r="M197" i="134"/>
  <c r="M186" i="134"/>
  <c r="M187" i="134" s="1"/>
  <c r="M164" i="134"/>
  <c r="M162" i="134"/>
  <c r="M159" i="134"/>
  <c r="M192" i="134"/>
  <c r="M193" i="134" s="1"/>
  <c r="M181" i="134"/>
  <c r="M163" i="134"/>
  <c r="M35" i="134"/>
  <c r="M180" i="134"/>
  <c r="M178" i="134"/>
  <c r="M176" i="134"/>
  <c r="M34" i="134"/>
  <c r="M188" i="134"/>
  <c r="M179" i="134"/>
  <c r="M175" i="134"/>
  <c r="M173" i="134"/>
  <c r="M169" i="134"/>
  <c r="M43" i="134"/>
  <c r="M33" i="134"/>
  <c r="M194" i="134"/>
  <c r="M174" i="134"/>
  <c r="M168" i="134"/>
  <c r="M42" i="134"/>
  <c r="M32" i="134"/>
  <c r="M167" i="134"/>
  <c r="M41" i="134"/>
  <c r="M31" i="134"/>
  <c r="N196" i="134"/>
  <c r="N165" i="134"/>
  <c r="N39" i="134"/>
  <c r="N29" i="134"/>
  <c r="N197" i="134"/>
  <c r="N186" i="134"/>
  <c r="N187" i="134" s="1"/>
  <c r="N164" i="134"/>
  <c r="N162" i="134"/>
  <c r="N159" i="134"/>
  <c r="N192" i="134"/>
  <c r="N193" i="134" s="1"/>
  <c r="N181" i="134"/>
  <c r="N163" i="134"/>
  <c r="N35" i="134"/>
  <c r="N180" i="134"/>
  <c r="N178" i="134"/>
  <c r="N176" i="134"/>
  <c r="N34" i="134"/>
  <c r="N188" i="134"/>
  <c r="N179" i="134"/>
  <c r="N175" i="134"/>
  <c r="N173" i="134"/>
  <c r="N169" i="134"/>
  <c r="N43" i="134"/>
  <c r="N33" i="134"/>
  <c r="N194" i="134"/>
  <c r="N174" i="134"/>
  <c r="N168" i="134"/>
  <c r="N42" i="134"/>
  <c r="N32" i="134"/>
  <c r="N167" i="134"/>
  <c r="N41" i="134"/>
  <c r="N31" i="134"/>
  <c r="N190" i="134"/>
  <c r="N166" i="134"/>
  <c r="N40" i="134"/>
  <c r="N30" i="134"/>
  <c r="N28" i="134"/>
  <c r="O197" i="134"/>
  <c r="O186" i="134"/>
  <c r="O164" i="134"/>
  <c r="O162" i="134"/>
  <c r="O159" i="134"/>
  <c r="O192" i="134"/>
  <c r="O193" i="134" s="1"/>
  <c r="O181" i="134"/>
  <c r="O163" i="134"/>
  <c r="O35" i="134"/>
  <c r="O180" i="134"/>
  <c r="O178" i="134"/>
  <c r="O176" i="134"/>
  <c r="O34" i="134"/>
  <c r="O188" i="134"/>
  <c r="O189" i="134" s="1"/>
  <c r="O179" i="134"/>
  <c r="O175" i="134"/>
  <c r="O173" i="134"/>
  <c r="O169" i="134"/>
  <c r="O43" i="134"/>
  <c r="O33" i="134"/>
  <c r="O194" i="134"/>
  <c r="O174" i="134"/>
  <c r="O168" i="134"/>
  <c r="O42" i="134"/>
  <c r="O32" i="134"/>
  <c r="O167" i="134"/>
  <c r="O41" i="134"/>
  <c r="O31" i="134"/>
  <c r="O190" i="134"/>
  <c r="O166" i="134"/>
  <c r="O40" i="134"/>
  <c r="O30" i="134"/>
  <c r="O28" i="134"/>
  <c r="O196" i="134"/>
  <c r="O165" i="134"/>
  <c r="O39" i="134"/>
  <c r="O29" i="134"/>
  <c r="F25" i="133"/>
  <c r="AM26" i="133"/>
  <c r="AM27" i="133" s="1"/>
  <c r="AM28" i="133" s="1"/>
  <c r="AM29" i="133" s="1"/>
  <c r="AM30" i="133" s="1"/>
  <c r="AL99" i="133"/>
  <c r="AJ99" i="133"/>
  <c r="AO99" i="133" s="1"/>
  <c r="V30" i="133"/>
  <c r="AB30" i="133"/>
  <c r="AH47" i="133"/>
  <c r="AK33" i="133"/>
  <c r="Q33" i="133"/>
  <c r="AH149" i="133"/>
  <c r="F42" i="133"/>
  <c r="AQ11" i="133"/>
  <c r="D17" i="133" s="1"/>
  <c r="J22" i="133"/>
  <c r="W22" i="133" s="1"/>
  <c r="T25" i="133"/>
  <c r="E30" i="133"/>
  <c r="Q30" i="133"/>
  <c r="AK30" i="133"/>
  <c r="AH31" i="133"/>
  <c r="E33" i="133"/>
  <c r="V36" i="133"/>
  <c r="AH36" i="133"/>
  <c r="AK39" i="133"/>
  <c r="Q39" i="133"/>
  <c r="E39" i="133"/>
  <c r="AK56" i="133"/>
  <c r="AH73" i="133"/>
  <c r="K103" i="133"/>
  <c r="P103" i="133" s="1"/>
  <c r="AH125" i="133"/>
  <c r="AH23" i="133"/>
  <c r="AP5" i="133"/>
  <c r="E65" i="133" s="1"/>
  <c r="L65" i="133" s="1"/>
  <c r="AR11" i="133"/>
  <c r="Q17" i="133" s="1"/>
  <c r="K28" i="133"/>
  <c r="AC46" i="133"/>
  <c r="AL46" i="133"/>
  <c r="X56" i="133"/>
  <c r="AJ73" i="133"/>
  <c r="AO73" i="133" s="1"/>
  <c r="AH121" i="133"/>
  <c r="AH141" i="133"/>
  <c r="AH40" i="133"/>
  <c r="AP11" i="133"/>
  <c r="D62" i="133" s="1"/>
  <c r="F56" i="133"/>
  <c r="J56" i="133" s="1"/>
  <c r="W56" i="133" s="1"/>
  <c r="AH56" i="133"/>
  <c r="AH69" i="133"/>
  <c r="R85" i="133"/>
  <c r="AJ85" i="133" s="1"/>
  <c r="AO85" i="133" s="1"/>
  <c r="AQ5" i="133"/>
  <c r="AR10" i="133"/>
  <c r="AS11" i="133"/>
  <c r="D78" i="133" s="1"/>
  <c r="Q22" i="133"/>
  <c r="AC22" i="133" s="1"/>
  <c r="AJ23" i="133" s="1"/>
  <c r="AL23" i="133"/>
  <c r="AH25" i="133"/>
  <c r="E26" i="133"/>
  <c r="T33" i="133"/>
  <c r="AH37" i="133"/>
  <c r="T39" i="133"/>
  <c r="Q51" i="133"/>
  <c r="AC51" i="133" s="1"/>
  <c r="E52" i="133"/>
  <c r="K51" i="133" s="1"/>
  <c r="L51" i="133" s="1"/>
  <c r="AJ51" i="133" s="1"/>
  <c r="AO51" i="133" s="1"/>
  <c r="AL69" i="133"/>
  <c r="AH81" i="133"/>
  <c r="AL89" i="133"/>
  <c r="AH103" i="133"/>
  <c r="AH137" i="133"/>
  <c r="AH107" i="133"/>
  <c r="AH113" i="133"/>
  <c r="AH26" i="133"/>
  <c r="AH89" i="133"/>
  <c r="AS10" i="133"/>
  <c r="AT11" i="133"/>
  <c r="D94" i="133" s="1"/>
  <c r="AS9" i="133"/>
  <c r="T3" i="133" s="1"/>
  <c r="E34" i="133"/>
  <c r="K33" i="133" s="1"/>
  <c r="AK36" i="133"/>
  <c r="Q36" i="133"/>
  <c r="E36" i="133"/>
  <c r="AH52" i="133"/>
  <c r="Q56" i="133"/>
  <c r="L56" i="133"/>
  <c r="AJ56" i="133" s="1"/>
  <c r="AO56" i="133" s="1"/>
  <c r="R89" i="133"/>
  <c r="AJ89" i="133" s="1"/>
  <c r="AO89" i="133" s="1"/>
  <c r="AH34" i="133"/>
  <c r="AH57" i="133"/>
  <c r="AL85" i="133"/>
  <c r="K107" i="133"/>
  <c r="P107" i="133" s="1"/>
  <c r="AJ107" i="133" s="1"/>
  <c r="AO107" i="133" s="1"/>
  <c r="AL113" i="133"/>
  <c r="AL125" i="133"/>
  <c r="AJ125" i="133"/>
  <c r="AO125" i="133" s="1"/>
  <c r="AH133" i="133"/>
  <c r="K137" i="133"/>
  <c r="V137" i="133"/>
  <c r="X137" i="133" s="1"/>
  <c r="I137" i="133" s="1"/>
  <c r="K141" i="133"/>
  <c r="V141" i="133"/>
  <c r="X141" i="133" s="1"/>
  <c r="I141" i="133" s="1"/>
  <c r="C358" i="3"/>
  <c r="C392" i="3" s="1"/>
  <c r="A17" i="2"/>
  <c r="A296" i="116"/>
  <c r="O182" i="134" l="1"/>
  <c r="O191" i="134"/>
  <c r="O195" i="134"/>
  <c r="L191" i="134"/>
  <c r="P43" i="134" s="1"/>
  <c r="K191" i="134"/>
  <c r="P191" i="134" s="1"/>
  <c r="I43" i="134" s="1"/>
  <c r="K195" i="134"/>
  <c r="P195" i="134" s="1"/>
  <c r="Q43" i="134" s="1"/>
  <c r="N191" i="134"/>
  <c r="N195" i="134"/>
  <c r="M195" i="134"/>
  <c r="L195" i="134"/>
  <c r="L189" i="134"/>
  <c r="L193" i="134"/>
  <c r="K189" i="134"/>
  <c r="K193" i="134"/>
  <c r="O187" i="134"/>
  <c r="N189" i="134"/>
  <c r="L182" i="134"/>
  <c r="N182" i="134"/>
  <c r="M189" i="134"/>
  <c r="AJ103" i="133"/>
  <c r="AO103" i="133" s="1"/>
  <c r="AL103" i="133"/>
  <c r="L141" i="133"/>
  <c r="AL47" i="133"/>
  <c r="AJ47" i="133"/>
  <c r="AO47" i="133" s="1"/>
  <c r="AM31" i="133"/>
  <c r="AM32" i="133" s="1"/>
  <c r="AM33" i="133" s="1"/>
  <c r="F30" i="133"/>
  <c r="I30" i="133" s="1"/>
  <c r="L30" i="133" s="1"/>
  <c r="N170" i="134"/>
  <c r="N36" i="134"/>
  <c r="M170" i="134"/>
  <c r="M182" i="134"/>
  <c r="M36" i="134"/>
  <c r="L187" i="134"/>
  <c r="K187" i="134"/>
  <c r="J170" i="134"/>
  <c r="J36" i="134"/>
  <c r="P29" i="134"/>
  <c r="AL51" i="133"/>
  <c r="L137" i="133"/>
  <c r="AC56" i="133"/>
  <c r="V39" i="133"/>
  <c r="AB39" i="133"/>
  <c r="I28" i="133"/>
  <c r="L28" i="133" s="1"/>
  <c r="P181" i="134"/>
  <c r="P39" i="134"/>
  <c r="P31" i="134"/>
  <c r="P33" i="134"/>
  <c r="O36" i="134"/>
  <c r="L170" i="134"/>
  <c r="L36" i="134"/>
  <c r="K170" i="134"/>
  <c r="K182" i="134"/>
  <c r="K36" i="134"/>
  <c r="F18" i="135"/>
  <c r="E18" i="135"/>
  <c r="G18" i="135"/>
  <c r="G19" i="135"/>
  <c r="F19" i="135"/>
  <c r="E19" i="135"/>
  <c r="P41" i="134"/>
  <c r="P159" i="134" s="1"/>
  <c r="V33" i="133"/>
  <c r="AB33" i="133"/>
  <c r="A17" i="135"/>
  <c r="J17" i="135" s="1"/>
  <c r="K17" i="135"/>
  <c r="I17" i="135"/>
  <c r="P34" i="134"/>
  <c r="P196" i="134"/>
  <c r="P176" i="134"/>
  <c r="P32" i="134"/>
  <c r="AL107" i="133"/>
  <c r="AL56" i="133"/>
  <c r="AL65" i="133"/>
  <c r="AJ65" i="133"/>
  <c r="P30" i="134"/>
  <c r="P175" i="134"/>
  <c r="P180" i="134"/>
  <c r="P40" i="134"/>
  <c r="P179" i="134"/>
  <c r="AJ52" i="133"/>
  <c r="AO52" i="133" s="1"/>
  <c r="AL52" i="133"/>
  <c r="AO23" i="133"/>
  <c r="V25" i="133"/>
  <c r="AB25" i="133"/>
  <c r="O170" i="134"/>
  <c r="P35" i="134"/>
  <c r="P197" i="134"/>
  <c r="P174" i="134"/>
  <c r="B86" i="2"/>
  <c r="K2" i="134" l="1"/>
  <c r="P193" i="134"/>
  <c r="Q42" i="134" s="1"/>
  <c r="P189" i="134"/>
  <c r="I42" i="134" s="1"/>
  <c r="P166" i="134"/>
  <c r="P168" i="134"/>
  <c r="P42" i="134"/>
  <c r="K1" i="134"/>
  <c r="P169" i="134"/>
  <c r="X30" i="133"/>
  <c r="AC30" i="133" s="1"/>
  <c r="X25" i="133"/>
  <c r="AC25" i="133" s="1"/>
  <c r="P164" i="134"/>
  <c r="P187" i="134"/>
  <c r="Q41" i="134" s="1"/>
  <c r="Q159" i="134" s="1"/>
  <c r="Q163" i="134" s="1"/>
  <c r="Q164" i="134" s="1"/>
  <c r="Q165" i="134" s="1"/>
  <c r="Q166" i="134" s="1"/>
  <c r="Q167" i="134" s="1"/>
  <c r="Q168" i="134" s="1"/>
  <c r="Q169" i="134" s="1"/>
  <c r="Q170" i="134" s="1"/>
  <c r="A18" i="135"/>
  <c r="J18" i="135" s="1"/>
  <c r="K18" i="135"/>
  <c r="I18" i="135"/>
  <c r="P167" i="134"/>
  <c r="P163" i="134"/>
  <c r="P36" i="134"/>
  <c r="P182" i="134"/>
  <c r="P165" i="134"/>
  <c r="AL57" i="133"/>
  <c r="AJ57" i="133"/>
  <c r="AO57" i="133" s="1"/>
  <c r="AJ137" i="133"/>
  <c r="AO137" i="133" s="1"/>
  <c r="AL137" i="133"/>
  <c r="AJ141" i="133"/>
  <c r="AO141" i="133" s="1"/>
  <c r="AL141" i="133"/>
  <c r="AJ30" i="133"/>
  <c r="AO30" i="133" s="1"/>
  <c r="AL30" i="133"/>
  <c r="A19" i="135"/>
  <c r="J19" i="135" s="1"/>
  <c r="K19" i="135"/>
  <c r="I19" i="135"/>
  <c r="AJ25" i="133"/>
  <c r="AL25" i="133"/>
  <c r="AM34" i="133"/>
  <c r="AM35" i="133" s="1"/>
  <c r="AM36" i="133" s="1"/>
  <c r="F33" i="133"/>
  <c r="I33" i="133" s="1"/>
  <c r="L33" i="133" s="1"/>
  <c r="AJ31" i="133"/>
  <c r="AO31" i="133" s="1"/>
  <c r="AL31" i="133"/>
  <c r="Y236" i="3"/>
  <c r="Y235" i="3"/>
  <c r="Y234" i="3"/>
  <c r="Y233" i="3"/>
  <c r="Y232" i="3"/>
  <c r="Y231" i="3"/>
  <c r="Y225" i="3"/>
  <c r="Y224" i="3"/>
  <c r="Y223" i="3"/>
  <c r="Y222" i="3"/>
  <c r="Y221" i="3"/>
  <c r="Y220" i="3"/>
  <c r="Y217" i="3"/>
  <c r="Y216" i="3"/>
  <c r="Y215" i="3"/>
  <c r="Y214" i="3"/>
  <c r="Y213" i="3"/>
  <c r="Y42" i="3"/>
  <c r="P170" i="134" l="1"/>
  <c r="X33" i="133"/>
  <c r="AC33" i="133" s="1"/>
  <c r="AJ26" i="133"/>
  <c r="AO26" i="133" s="1"/>
  <c r="AL26" i="133"/>
  <c r="AJ33" i="133"/>
  <c r="AO33" i="133" s="1"/>
  <c r="AL33" i="133"/>
  <c r="AM37" i="133"/>
  <c r="AM38" i="133" s="1"/>
  <c r="AM39" i="133" s="1"/>
  <c r="F36" i="133"/>
  <c r="I36" i="133" s="1"/>
  <c r="AO25" i="133"/>
  <c r="Q236" i="3"/>
  <c r="Q235" i="3"/>
  <c r="Q234" i="3"/>
  <c r="Q233" i="3"/>
  <c r="Q231" i="3"/>
  <c r="Q232" i="3"/>
  <c r="Q42" i="3"/>
  <c r="Q41" i="3"/>
  <c r="Q212" i="3"/>
  <c r="Q230" i="3"/>
  <c r="D260" i="116"/>
  <c r="E260" i="116" s="1"/>
  <c r="F260" i="116" s="1"/>
  <c r="G260" i="116" s="1"/>
  <c r="C260" i="116"/>
  <c r="T38" i="3"/>
  <c r="T37" i="3"/>
  <c r="T36" i="3"/>
  <c r="T35" i="3"/>
  <c r="L36" i="133" l="1"/>
  <c r="X36" i="133"/>
  <c r="AC36" i="133" s="1"/>
  <c r="AM40" i="133"/>
  <c r="AM41" i="133" s="1"/>
  <c r="AM42" i="133" s="1"/>
  <c r="AM43" i="133" s="1"/>
  <c r="F39" i="133"/>
  <c r="I39" i="133" s="1"/>
  <c r="AJ34" i="133"/>
  <c r="AL34" i="133"/>
  <c r="Y212" i="3"/>
  <c r="Y230" i="3" s="1"/>
  <c r="Y41" i="3"/>
  <c r="S12" i="3"/>
  <c r="S11" i="3"/>
  <c r="F3" i="3"/>
  <c r="A47" i="3"/>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150" i="3" s="1"/>
  <c r="A151" i="3" s="1"/>
  <c r="A152" i="3" s="1"/>
  <c r="A153" i="3" s="1"/>
  <c r="A154" i="3" s="1"/>
  <c r="A155" i="3" s="1"/>
  <c r="A156" i="3" s="1"/>
  <c r="A157" i="3" s="1"/>
  <c r="A158" i="3" s="1"/>
  <c r="A159" i="3" s="1"/>
  <c r="A160" i="3" s="1"/>
  <c r="A161" i="3" s="1"/>
  <c r="A162" i="3" s="1"/>
  <c r="A163" i="3" s="1"/>
  <c r="A164" i="3" s="1"/>
  <c r="A165" i="3" s="1"/>
  <c r="A166" i="3" s="1"/>
  <c r="A167" i="3" s="1"/>
  <c r="A168" i="3" s="1"/>
  <c r="A169" i="3" s="1"/>
  <c r="A170" i="3" s="1"/>
  <c r="A171" i="3" s="1"/>
  <c r="A172" i="3" s="1"/>
  <c r="A173" i="3" s="1"/>
  <c r="A174" i="3" s="1"/>
  <c r="A175" i="3" s="1"/>
  <c r="A176" i="3" s="1"/>
  <c r="A177" i="3" s="1"/>
  <c r="A178" i="3" s="1"/>
  <c r="A179" i="3" s="1"/>
  <c r="A180" i="3" s="1"/>
  <c r="A181" i="3" s="1"/>
  <c r="A182" i="3" s="1"/>
  <c r="A183" i="3" s="1"/>
  <c r="A184" i="3" s="1"/>
  <c r="A185" i="3" s="1"/>
  <c r="A186" i="3" s="1"/>
  <c r="A187" i="3" s="1"/>
  <c r="A188" i="3" s="1"/>
  <c r="A189" i="3" s="1"/>
  <c r="A190" i="3" s="1"/>
  <c r="A191" i="3" s="1"/>
  <c r="A192" i="3" s="1"/>
  <c r="A193" i="3" s="1"/>
  <c r="A194" i="3" s="1"/>
  <c r="A195" i="3" s="1"/>
  <c r="A196" i="3" s="1"/>
  <c r="A197" i="3" s="1"/>
  <c r="AM106" i="132"/>
  <c r="AM107" i="132" s="1"/>
  <c r="AM108" i="132" s="1"/>
  <c r="A504" i="116"/>
  <c r="AC6" i="3" s="1"/>
  <c r="E335" i="3" s="1"/>
  <c r="A517" i="116"/>
  <c r="D413" i="3"/>
  <c r="A516" i="116"/>
  <c r="D414" i="3" s="1"/>
  <c r="A289" i="116"/>
  <c r="E6" i="132" s="1"/>
  <c r="A177" i="116"/>
  <c r="D113" i="132" s="1"/>
  <c r="A514" i="116"/>
  <c r="D375" i="3" s="1"/>
  <c r="G375" i="3"/>
  <c r="A190" i="116"/>
  <c r="H375" i="3"/>
  <c r="A198" i="116"/>
  <c r="I375" i="3" s="1"/>
  <c r="A281" i="116"/>
  <c r="A2" i="2" s="1"/>
  <c r="C343" i="3" s="1"/>
  <c r="A181" i="116"/>
  <c r="D388" i="3" s="1"/>
  <c r="D377" i="3"/>
  <c r="A282" i="116"/>
  <c r="A3" i="2" s="1"/>
  <c r="C344" i="3" s="1"/>
  <c r="C378" i="3" s="1"/>
  <c r="A283" i="116"/>
  <c r="A4" i="2" s="1"/>
  <c r="C345" i="3" s="1"/>
  <c r="C379" i="3" s="1"/>
  <c r="D379" i="3"/>
  <c r="A284" i="116"/>
  <c r="A5" i="2"/>
  <c r="C346" i="3" s="1"/>
  <c r="C380" i="3" s="1"/>
  <c r="D380" i="3"/>
  <c r="A285" i="116"/>
  <c r="A6" i="2" s="1"/>
  <c r="C347" i="3" s="1"/>
  <c r="C381" i="3" s="1"/>
  <c r="D381" i="3"/>
  <c r="A286" i="116"/>
  <c r="A7" i="2" s="1"/>
  <c r="C348" i="3" s="1"/>
  <c r="C382" i="3" s="1"/>
  <c r="D382" i="3"/>
  <c r="A287" i="116"/>
  <c r="A8" i="2" s="1"/>
  <c r="C349" i="3" s="1"/>
  <c r="C383" i="3" s="1"/>
  <c r="D383" i="3"/>
  <c r="A288" i="116"/>
  <c r="A9" i="2"/>
  <c r="C350" i="3" s="1"/>
  <c r="C384" i="3" s="1"/>
  <c r="D384" i="3"/>
  <c r="D385" i="3"/>
  <c r="A290" i="116"/>
  <c r="A11" i="2"/>
  <c r="C352" i="3" s="1"/>
  <c r="C386" i="3" s="1"/>
  <c r="D386" i="3"/>
  <c r="A291" i="116"/>
  <c r="A12" i="2" s="1"/>
  <c r="C353" i="3" s="1"/>
  <c r="C387" i="3" s="1"/>
  <c r="D387" i="3"/>
  <c r="A292" i="116"/>
  <c r="A13" i="2" s="1"/>
  <c r="C354" i="3" s="1"/>
  <c r="C388" i="3" s="1"/>
  <c r="A293" i="116"/>
  <c r="A14" i="2"/>
  <c r="C355" i="3" s="1"/>
  <c r="C389" i="3" s="1"/>
  <c r="D389" i="3"/>
  <c r="A294" i="116"/>
  <c r="A15" i="2" s="1"/>
  <c r="C356" i="3" s="1"/>
  <c r="C390" i="3" s="1"/>
  <c r="D390" i="3"/>
  <c r="A295" i="116"/>
  <c r="A16" i="2"/>
  <c r="C357" i="3" s="1"/>
  <c r="C391" i="3" s="1"/>
  <c r="D391" i="3"/>
  <c r="D393" i="3"/>
  <c r="A76" i="116"/>
  <c r="E375" i="3"/>
  <c r="J375" i="3" s="1"/>
  <c r="O375" i="3" s="1"/>
  <c r="A78" i="116"/>
  <c r="F375" i="3" s="1"/>
  <c r="K375" i="3" s="1"/>
  <c r="P375" i="3" s="1"/>
  <c r="D376" i="3"/>
  <c r="E376" i="3" s="1"/>
  <c r="F376" i="3" s="1"/>
  <c r="G376" i="3" s="1"/>
  <c r="H376" i="3" s="1"/>
  <c r="I376" i="3" s="1"/>
  <c r="A101" i="116"/>
  <c r="D411" i="3" s="1"/>
  <c r="A520" i="116"/>
  <c r="E411" i="3" s="1"/>
  <c r="D116" i="132"/>
  <c r="D119" i="132"/>
  <c r="A178" i="116"/>
  <c r="D122" i="132"/>
  <c r="I105" i="132"/>
  <c r="I37" i="119"/>
  <c r="I22" i="93"/>
  <c r="AM38" i="119"/>
  <c r="AM39" i="119" s="1"/>
  <c r="AM40" i="119" s="1"/>
  <c r="E6" i="119"/>
  <c r="D54" i="119"/>
  <c r="D51" i="119"/>
  <c r="D48" i="119"/>
  <c r="D45" i="119"/>
  <c r="AM23" i="93"/>
  <c r="AM24" i="93" s="1"/>
  <c r="AM25" i="93" s="1"/>
  <c r="E6" i="93"/>
  <c r="D39" i="93"/>
  <c r="D36" i="93"/>
  <c r="D33" i="93"/>
  <c r="D30" i="93"/>
  <c r="C9" i="3"/>
  <c r="C335" i="3"/>
  <c r="A7" i="3"/>
  <c r="A8" i="3" s="1"/>
  <c r="A199" i="3"/>
  <c r="A200" i="3" s="1"/>
  <c r="A201" i="3" s="1"/>
  <c r="A202" i="3" s="1"/>
  <c r="A203" i="3" s="1"/>
  <c r="A204" i="3" s="1"/>
  <c r="A205" i="3" s="1"/>
  <c r="A206" i="3" s="1"/>
  <c r="A207" i="3" s="1"/>
  <c r="A208" i="3" s="1"/>
  <c r="A154" i="116"/>
  <c r="A155" i="116"/>
  <c r="A69" i="116"/>
  <c r="I41" i="43" s="1"/>
  <c r="I159" i="43"/>
  <c r="A167" i="116"/>
  <c r="U108" i="43"/>
  <c r="A503" i="116"/>
  <c r="AB6" i="3" s="1"/>
  <c r="D51" i="3" s="1"/>
  <c r="A118" i="116"/>
  <c r="C337" i="3" s="1"/>
  <c r="A18" i="2"/>
  <c r="C332" i="3"/>
  <c r="A75" i="116"/>
  <c r="C333" i="3" s="1"/>
  <c r="T98" i="132" s="1"/>
  <c r="C334" i="3"/>
  <c r="A204" i="116"/>
  <c r="C213" i="3" s="1"/>
  <c r="C313" i="3" s="1"/>
  <c r="D332" i="3"/>
  <c r="A206" i="116"/>
  <c r="T137" i="93" s="1"/>
  <c r="D333" i="3"/>
  <c r="A208" i="116"/>
  <c r="D334" i="3"/>
  <c r="D335" i="3"/>
  <c r="D337" i="3"/>
  <c r="A205" i="116"/>
  <c r="C214" i="3"/>
  <c r="C314" i="3" s="1"/>
  <c r="C215" i="3"/>
  <c r="C315" i="3" s="1"/>
  <c r="A207" i="116"/>
  <c r="C216" i="3" s="1"/>
  <c r="C316" i="3" s="1"/>
  <c r="C217" i="3"/>
  <c r="C317" i="3" s="1"/>
  <c r="A209" i="116"/>
  <c r="C220" i="3" s="1"/>
  <c r="C320" i="3" s="1"/>
  <c r="A210" i="116"/>
  <c r="C221" i="3" s="1"/>
  <c r="C321" i="3" s="1"/>
  <c r="A211" i="116"/>
  <c r="C222" i="3" s="1"/>
  <c r="C322" i="3" s="1"/>
  <c r="A212" i="116"/>
  <c r="C223" i="3"/>
  <c r="C323" i="3" s="1"/>
  <c r="A213" i="116"/>
  <c r="C224" i="3" s="1"/>
  <c r="C324" i="3" s="1"/>
  <c r="A214" i="116"/>
  <c r="C225" i="3"/>
  <c r="C325" i="3" s="1"/>
  <c r="D107" i="132"/>
  <c r="A522" i="116"/>
  <c r="E414" i="3"/>
  <c r="A525" i="116"/>
  <c r="E417" i="3"/>
  <c r="A105" i="116"/>
  <c r="D342" i="3"/>
  <c r="AP1" i="93" s="1"/>
  <c r="A104" i="116"/>
  <c r="C7" i="3" s="1"/>
  <c r="A106" i="116"/>
  <c r="F342" i="3" s="1"/>
  <c r="AR1" i="93" s="1"/>
  <c r="AA340" i="3"/>
  <c r="Z340" i="3"/>
  <c r="E5" i="99"/>
  <c r="A241" i="116"/>
  <c r="AB231" i="3"/>
  <c r="A300" i="116"/>
  <c r="A481" i="116"/>
  <c r="H4" i="2" s="1"/>
  <c r="A545" i="116"/>
  <c r="D4" i="118"/>
  <c r="G317" i="3"/>
  <c r="G316" i="3"/>
  <c r="G315" i="3"/>
  <c r="G314" i="3"/>
  <c r="G313" i="3"/>
  <c r="G311" i="3"/>
  <c r="G337" i="3"/>
  <c r="G336" i="3"/>
  <c r="G335" i="3"/>
  <c r="G334" i="3"/>
  <c r="G333" i="3"/>
  <c r="G332" i="3"/>
  <c r="AB15" i="3"/>
  <c r="A256" i="116"/>
  <c r="K6" i="3" s="1"/>
  <c r="D4" i="3" s="1"/>
  <c r="F209" i="3" s="1"/>
  <c r="A259" i="116"/>
  <c r="K16" i="3" s="1"/>
  <c r="A258" i="116"/>
  <c r="A261" i="116"/>
  <c r="K231" i="3" s="1"/>
  <c r="A239" i="116"/>
  <c r="AB217" i="3" s="1"/>
  <c r="AB215" i="3"/>
  <c r="AB9" i="3"/>
  <c r="K217" i="3"/>
  <c r="AB24" i="3"/>
  <c r="A260" i="116"/>
  <c r="A257" i="116"/>
  <c r="K12" i="3" s="1"/>
  <c r="L12" i="3" s="1"/>
  <c r="AB30" i="3"/>
  <c r="AB213" i="3"/>
  <c r="K213" i="3"/>
  <c r="AB10" i="3"/>
  <c r="AB27" i="3"/>
  <c r="AB36" i="3"/>
  <c r="AB23" i="3"/>
  <c r="AB13" i="3"/>
  <c r="A238" i="116"/>
  <c r="AB41" i="3"/>
  <c r="AB232" i="3"/>
  <c r="AB233" i="3"/>
  <c r="AB240" i="3"/>
  <c r="P240" i="3"/>
  <c r="A119" i="116"/>
  <c r="D410" i="3" s="1"/>
  <c r="A495" i="116"/>
  <c r="A500" i="116"/>
  <c r="A501" i="116"/>
  <c r="A502" i="116"/>
  <c r="A505" i="116"/>
  <c r="A506" i="116"/>
  <c r="A507" i="116"/>
  <c r="A508" i="116"/>
  <c r="A509" i="116"/>
  <c r="A510" i="116"/>
  <c r="A511" i="116"/>
  <c r="A512" i="116"/>
  <c r="A513" i="116"/>
  <c r="A515" i="116"/>
  <c r="A518" i="116"/>
  <c r="A519" i="116"/>
  <c r="A521" i="116"/>
  <c r="A523" i="116"/>
  <c r="A524" i="116"/>
  <c r="A526" i="116"/>
  <c r="A527" i="116"/>
  <c r="A528" i="116"/>
  <c r="A529" i="116"/>
  <c r="A530" i="116"/>
  <c r="A531" i="116"/>
  <c r="A532" i="116"/>
  <c r="Y6" i="3" s="1"/>
  <c r="A533" i="116"/>
  <c r="A534" i="116"/>
  <c r="A535" i="116"/>
  <c r="A536" i="116"/>
  <c r="A537" i="116"/>
  <c r="A538" i="116"/>
  <c r="A539" i="116"/>
  <c r="A540" i="116"/>
  <c r="A541" i="116"/>
  <c r="A542" i="116"/>
  <c r="A543" i="116"/>
  <c r="A544" i="116"/>
  <c r="C28" i="116"/>
  <c r="A163" i="116"/>
  <c r="V97" i="43" s="1"/>
  <c r="A475" i="116"/>
  <c r="L36" i="119" s="1"/>
  <c r="L104" i="132"/>
  <c r="E24" i="93"/>
  <c r="L21" i="93"/>
  <c r="A197" i="116"/>
  <c r="C12" i="3"/>
  <c r="A196" i="116"/>
  <c r="C11" i="3"/>
  <c r="N12" i="3"/>
  <c r="A73" i="116"/>
  <c r="I9" i="3" s="1"/>
  <c r="I12" i="3"/>
  <c r="K11" i="3"/>
  <c r="L11" i="3" s="1"/>
  <c r="I11" i="3"/>
  <c r="A138" i="116"/>
  <c r="A195" i="116"/>
  <c r="A180" i="116"/>
  <c r="C14" i="3"/>
  <c r="AC14" i="3"/>
  <c r="AB14" i="3"/>
  <c r="I14" i="3"/>
  <c r="U110" i="43"/>
  <c r="A164" i="116"/>
  <c r="I3" i="2" s="1"/>
  <c r="E107" i="132"/>
  <c r="A176" i="116"/>
  <c r="C8" i="3"/>
  <c r="AB8" i="3"/>
  <c r="L6" i="3"/>
  <c r="A262" i="116"/>
  <c r="U6" i="3" s="1"/>
  <c r="A265" i="116"/>
  <c r="V6" i="3" s="1"/>
  <c r="A266" i="116"/>
  <c r="A267" i="116"/>
  <c r="K48" i="3" s="1"/>
  <c r="I8" i="3"/>
  <c r="C10" i="3"/>
  <c r="I10" i="3"/>
  <c r="A179" i="116"/>
  <c r="C13" i="3" s="1"/>
  <c r="I13" i="3"/>
  <c r="C15" i="3"/>
  <c r="I15" i="3"/>
  <c r="A182" i="116"/>
  <c r="C16" i="3"/>
  <c r="AB16" i="3"/>
  <c r="I16" i="3"/>
  <c r="A183" i="116"/>
  <c r="C17" i="3" s="1"/>
  <c r="AB17" i="3"/>
  <c r="I17" i="3"/>
  <c r="A184" i="116"/>
  <c r="C18" i="3"/>
  <c r="AB18" i="3"/>
  <c r="K18" i="3"/>
  <c r="I18" i="3"/>
  <c r="A185" i="116"/>
  <c r="C19" i="3"/>
  <c r="AB19" i="3"/>
  <c r="K19" i="3"/>
  <c r="L19" i="3" s="1"/>
  <c r="I19" i="3"/>
  <c r="A186" i="116"/>
  <c r="C20" i="3" s="1"/>
  <c r="AB20" i="3"/>
  <c r="I20" i="3"/>
  <c r="A187" i="116"/>
  <c r="C21" i="3"/>
  <c r="AB21" i="3"/>
  <c r="K21" i="3"/>
  <c r="L21" i="3" s="1"/>
  <c r="I21" i="3"/>
  <c r="A188" i="116"/>
  <c r="C22" i="3" s="1"/>
  <c r="AB22" i="3"/>
  <c r="I22" i="3"/>
  <c r="A189" i="116"/>
  <c r="C23" i="3" s="1"/>
  <c r="I23" i="3"/>
  <c r="C24" i="3"/>
  <c r="I24" i="3"/>
  <c r="A191" i="116"/>
  <c r="C25" i="3" s="1"/>
  <c r="AB25" i="3"/>
  <c r="I25" i="3"/>
  <c r="A192" i="116"/>
  <c r="C26" i="3" s="1"/>
  <c r="AB26" i="3"/>
  <c r="AB241" i="3" s="1"/>
  <c r="I26" i="3"/>
  <c r="A193" i="116"/>
  <c r="C27" i="3"/>
  <c r="I27" i="3"/>
  <c r="A194" i="116"/>
  <c r="C28" i="3" s="1"/>
  <c r="C37" i="3" s="1"/>
  <c r="AB28" i="3"/>
  <c r="I28" i="3"/>
  <c r="C29" i="3"/>
  <c r="AB29" i="3"/>
  <c r="I29" i="3"/>
  <c r="C30" i="3"/>
  <c r="I30" i="3"/>
  <c r="I31" i="3"/>
  <c r="I32" i="3"/>
  <c r="I33" i="3"/>
  <c r="I34" i="3"/>
  <c r="A199" i="116"/>
  <c r="AB35" i="3"/>
  <c r="D35" i="3" s="1"/>
  <c r="I35" i="3"/>
  <c r="I36" i="3"/>
  <c r="AB37" i="3"/>
  <c r="I37" i="3"/>
  <c r="AB38" i="3"/>
  <c r="I38" i="3"/>
  <c r="C40" i="3"/>
  <c r="A200" i="116"/>
  <c r="C41" i="3" s="1"/>
  <c r="L41" i="3"/>
  <c r="A201" i="116"/>
  <c r="C42" i="3" s="1"/>
  <c r="AB42" i="3"/>
  <c r="L42" i="3"/>
  <c r="E43" i="3"/>
  <c r="F43" i="3"/>
  <c r="E44" i="3"/>
  <c r="F44" i="3"/>
  <c r="A202" i="116"/>
  <c r="C45" i="3" s="1"/>
  <c r="C209" i="3" s="1"/>
  <c r="A302" i="116"/>
  <c r="B4" i="2" s="1"/>
  <c r="C4" i="2" s="1"/>
  <c r="A303" i="116"/>
  <c r="B5" i="2"/>
  <c r="A304" i="116"/>
  <c r="B6" i="2"/>
  <c r="C6" i="2" s="1"/>
  <c r="A305" i="116"/>
  <c r="B7" i="2" s="1"/>
  <c r="C7" i="2" s="1"/>
  <c r="A306" i="116"/>
  <c r="B8" i="2"/>
  <c r="A307" i="116"/>
  <c r="B9" i="2" s="1"/>
  <c r="A308" i="116"/>
  <c r="B10" i="2" s="1"/>
  <c r="A309" i="116"/>
  <c r="B11" i="2" s="1"/>
  <c r="A310" i="116"/>
  <c r="B12" i="2" s="1"/>
  <c r="A311" i="116"/>
  <c r="B13" i="2"/>
  <c r="C13" i="2" s="1"/>
  <c r="A312" i="116"/>
  <c r="B14" i="2"/>
  <c r="A313" i="116"/>
  <c r="B15" i="2" s="1"/>
  <c r="C15" i="2" s="1"/>
  <c r="A314" i="116"/>
  <c r="B16" i="2"/>
  <c r="A315" i="116"/>
  <c r="B17" i="2"/>
  <c r="A316" i="116"/>
  <c r="B18" i="2"/>
  <c r="A317" i="116"/>
  <c r="B19" i="2"/>
  <c r="A318" i="116"/>
  <c r="B20" i="2" s="1"/>
  <c r="A319" i="116"/>
  <c r="B21" i="2"/>
  <c r="C21" i="2" s="1"/>
  <c r="A320" i="116"/>
  <c r="B22" i="2"/>
  <c r="C22" i="2" s="1"/>
  <c r="A321" i="116"/>
  <c r="B23" i="2" s="1"/>
  <c r="A322" i="116"/>
  <c r="B24" i="2"/>
  <c r="A323" i="116"/>
  <c r="B25" i="2"/>
  <c r="A324" i="116"/>
  <c r="B26" i="2"/>
  <c r="A325" i="116"/>
  <c r="B27" i="2"/>
  <c r="A326" i="116"/>
  <c r="B28" i="2"/>
  <c r="A328" i="116"/>
  <c r="B31" i="2"/>
  <c r="C31" i="2" s="1"/>
  <c r="A329" i="116"/>
  <c r="B32" i="2" s="1"/>
  <c r="C32" i="2" s="1"/>
  <c r="A330" i="116"/>
  <c r="B33" i="2" s="1"/>
  <c r="A331" i="116"/>
  <c r="B34" i="2"/>
  <c r="A332" i="116"/>
  <c r="B35" i="2"/>
  <c r="A333" i="116"/>
  <c r="B36" i="2"/>
  <c r="A334" i="116"/>
  <c r="B37" i="2" s="1"/>
  <c r="C37" i="2" s="1"/>
  <c r="A335" i="116"/>
  <c r="B38" i="2" s="1"/>
  <c r="A336" i="116"/>
  <c r="B39" i="2"/>
  <c r="C39" i="2" s="1"/>
  <c r="A337" i="116"/>
  <c r="B40" i="2"/>
  <c r="A338" i="116"/>
  <c r="B41" i="2" s="1"/>
  <c r="K82" i="3"/>
  <c r="A339" i="116"/>
  <c r="B42" i="2"/>
  <c r="A340" i="116"/>
  <c r="B43" i="2"/>
  <c r="A341" i="116"/>
  <c r="B44" i="2"/>
  <c r="K85" i="3"/>
  <c r="A342" i="116"/>
  <c r="B45" i="2"/>
  <c r="C45" i="2" s="1"/>
  <c r="A343" i="116"/>
  <c r="B46" i="2" s="1"/>
  <c r="A344" i="116"/>
  <c r="B47" i="2"/>
  <c r="A345" i="116"/>
  <c r="B48" i="2"/>
  <c r="C48" i="2" s="1"/>
  <c r="A346" i="116"/>
  <c r="B49" i="2" s="1"/>
  <c r="A347" i="116"/>
  <c r="B50" i="2"/>
  <c r="A348" i="116"/>
  <c r="B51" i="2"/>
  <c r="A349" i="116"/>
  <c r="B52" i="2"/>
  <c r="A350" i="116"/>
  <c r="B53" i="2" s="1"/>
  <c r="C53" i="2" s="1"/>
  <c r="A351" i="116"/>
  <c r="B54" i="2" s="1"/>
  <c r="A353" i="116"/>
  <c r="B57" i="2"/>
  <c r="A354" i="116"/>
  <c r="B58" i="2"/>
  <c r="A355" i="116"/>
  <c r="B59" i="2" s="1"/>
  <c r="D98" i="3"/>
  <c r="A356" i="116"/>
  <c r="B60" i="2"/>
  <c r="A384" i="116"/>
  <c r="B89" i="2"/>
  <c r="A385" i="116"/>
  <c r="B90" i="2" s="1"/>
  <c r="C63" i="2" s="1"/>
  <c r="A386" i="116"/>
  <c r="B91" i="2"/>
  <c r="C64" i="2" s="1"/>
  <c r="A387" i="116"/>
  <c r="B92" i="2" s="1"/>
  <c r="C65" i="2" s="1"/>
  <c r="A388" i="116"/>
  <c r="B93" i="2"/>
  <c r="A390" i="116"/>
  <c r="B96" i="2"/>
  <c r="A391" i="116"/>
  <c r="B97" i="2" s="1"/>
  <c r="C70" i="2" s="1"/>
  <c r="A392" i="116"/>
  <c r="B98" i="2"/>
  <c r="A393" i="116"/>
  <c r="B99" i="2" s="1"/>
  <c r="C72" i="2" s="1"/>
  <c r="A394" i="116"/>
  <c r="B100" i="2" s="1"/>
  <c r="A395" i="116"/>
  <c r="B101" i="2" s="1"/>
  <c r="A396" i="116"/>
  <c r="B102" i="2" s="1"/>
  <c r="C75" i="2" s="1"/>
  <c r="A397" i="116"/>
  <c r="B103" i="2"/>
  <c r="A398" i="116"/>
  <c r="B104" i="2"/>
  <c r="L113" i="3"/>
  <c r="A399" i="116"/>
  <c r="B105" i="2" s="1"/>
  <c r="A400" i="116"/>
  <c r="B106" i="2"/>
  <c r="A401" i="116"/>
  <c r="B107" i="2"/>
  <c r="A402" i="116"/>
  <c r="B108" i="2"/>
  <c r="A403" i="116"/>
  <c r="B109" i="2"/>
  <c r="C82" i="2" s="1"/>
  <c r="A404" i="116"/>
  <c r="B110" i="2" s="1"/>
  <c r="A405" i="116"/>
  <c r="B111" i="2"/>
  <c r="A406" i="116"/>
  <c r="B112" i="2"/>
  <c r="A407" i="116"/>
  <c r="B113" i="2" s="1"/>
  <c r="C86" i="2" s="1"/>
  <c r="D122" i="3"/>
  <c r="A408" i="116"/>
  <c r="B115" i="2" s="1"/>
  <c r="A409" i="116"/>
  <c r="B116" i="2"/>
  <c r="A410" i="116"/>
  <c r="B117" i="2" s="1"/>
  <c r="A411" i="116"/>
  <c r="B119" i="2" s="1"/>
  <c r="C90" i="2" s="1"/>
  <c r="A412" i="116"/>
  <c r="B120" i="2" s="1"/>
  <c r="C91" i="2" s="1"/>
  <c r="A413" i="116"/>
  <c r="B121" i="2" s="1"/>
  <c r="A414" i="116"/>
  <c r="B122" i="2"/>
  <c r="A415" i="116"/>
  <c r="B123" i="2" s="1"/>
  <c r="A416" i="116"/>
  <c r="B124" i="2" s="1"/>
  <c r="A417" i="116"/>
  <c r="B125" i="2"/>
  <c r="C96" i="2" s="1"/>
  <c r="A419" i="116"/>
  <c r="B128" i="2" s="1"/>
  <c r="A420" i="116"/>
  <c r="B129" i="2" s="1"/>
  <c r="C100" i="2" s="1"/>
  <c r="K135" i="3"/>
  <c r="A421" i="116"/>
  <c r="B130" i="2" s="1"/>
  <c r="A422" i="116"/>
  <c r="B131" i="2" s="1"/>
  <c r="A423" i="116"/>
  <c r="B132" i="2"/>
  <c r="C103" i="2" s="1"/>
  <c r="A424" i="116"/>
  <c r="B133" i="2" s="1"/>
  <c r="C104" i="2" s="1"/>
  <c r="A425" i="116"/>
  <c r="B134" i="2"/>
  <c r="A426" i="116"/>
  <c r="B135" i="2"/>
  <c r="A427" i="116"/>
  <c r="B136" i="2" s="1"/>
  <c r="A428" i="116"/>
  <c r="B137" i="2"/>
  <c r="A429" i="116"/>
  <c r="B138" i="2"/>
  <c r="A430" i="116"/>
  <c r="B139" i="2" s="1"/>
  <c r="C110" i="2" s="1"/>
  <c r="A432" i="116"/>
  <c r="B142" i="2"/>
  <c r="K146" i="3"/>
  <c r="A433" i="116"/>
  <c r="B143" i="2"/>
  <c r="A434" i="116"/>
  <c r="B144" i="2" s="1"/>
  <c r="A435" i="116"/>
  <c r="B145" i="2" s="1"/>
  <c r="A436" i="116"/>
  <c r="B146" i="2"/>
  <c r="D150" i="3"/>
  <c r="A437" i="116"/>
  <c r="B147" i="2"/>
  <c r="C118" i="2" s="1"/>
  <c r="A438" i="116"/>
  <c r="B148" i="2" s="1"/>
  <c r="A439" i="116"/>
  <c r="B149" i="2" s="1"/>
  <c r="L153" i="3"/>
  <c r="A440" i="116"/>
  <c r="B150" i="2"/>
  <c r="C121" i="2" s="1"/>
  <c r="A441" i="116"/>
  <c r="B151" i="2" s="1"/>
  <c r="A442" i="116"/>
  <c r="B152" i="2"/>
  <c r="A443" i="116"/>
  <c r="B153" i="2"/>
  <c r="A444" i="116"/>
  <c r="B154" i="2" s="1"/>
  <c r="C125" i="2" s="1"/>
  <c r="A445" i="116"/>
  <c r="A446" i="116"/>
  <c r="B155" i="2"/>
  <c r="A447" i="116"/>
  <c r="B156" i="2" s="1"/>
  <c r="C127" i="2" s="1"/>
  <c r="A448" i="116"/>
  <c r="B158" i="2"/>
  <c r="A449" i="116"/>
  <c r="B159" i="2"/>
  <c r="A450" i="116"/>
  <c r="B160" i="2" s="1"/>
  <c r="C130" i="2" s="1"/>
  <c r="A451" i="116"/>
  <c r="B161" i="2"/>
  <c r="A452" i="116"/>
  <c r="B162" i="2" s="1"/>
  <c r="C132" i="2" s="1"/>
  <c r="A454" i="116"/>
  <c r="B165" i="2"/>
  <c r="K166" i="3"/>
  <c r="A455" i="116"/>
  <c r="B166" i="2"/>
  <c r="A456" i="116"/>
  <c r="B167" i="2" s="1"/>
  <c r="A457" i="116"/>
  <c r="B168" i="2"/>
  <c r="C138" i="2" s="1"/>
  <c r="A458" i="116"/>
  <c r="B169" i="2"/>
  <c r="A459" i="116"/>
  <c r="B170" i="2" s="1"/>
  <c r="A460" i="116"/>
  <c r="B171" i="2"/>
  <c r="C141" i="2" s="1"/>
  <c r="L172" i="3"/>
  <c r="A461" i="116"/>
  <c r="B172" i="2" s="1"/>
  <c r="A462" i="116"/>
  <c r="B173" i="2"/>
  <c r="A463" i="116"/>
  <c r="B174" i="2"/>
  <c r="A464" i="116"/>
  <c r="B175" i="2" s="1"/>
  <c r="C145" i="2" s="1"/>
  <c r="A465" i="116"/>
  <c r="B176" i="2"/>
  <c r="A466" i="116"/>
  <c r="B177" i="2"/>
  <c r="A467" i="116"/>
  <c r="B178" i="2" s="1"/>
  <c r="A468" i="116"/>
  <c r="B179" i="2"/>
  <c r="A469" i="116"/>
  <c r="B180" i="2" s="1"/>
  <c r="C150" i="2" s="1"/>
  <c r="A470" i="116"/>
  <c r="B181" i="2"/>
  <c r="C151" i="2" s="1"/>
  <c r="L182" i="3"/>
  <c r="A471" i="116"/>
  <c r="B182" i="2"/>
  <c r="A472" i="116"/>
  <c r="B183" i="2" s="1"/>
  <c r="C153" i="2" s="1"/>
  <c r="A357" i="116"/>
  <c r="B61" i="2"/>
  <c r="C184" i="3" s="1"/>
  <c r="A358" i="116"/>
  <c r="B62" i="2"/>
  <c r="A359" i="116"/>
  <c r="B63" i="2" s="1"/>
  <c r="A360" i="116"/>
  <c r="B64" i="2" s="1"/>
  <c r="C187" i="3" s="1"/>
  <c r="D187" i="3"/>
  <c r="A361" i="116"/>
  <c r="B65" i="2"/>
  <c r="A362" i="116"/>
  <c r="B66" i="2"/>
  <c r="A363" i="116"/>
  <c r="B67" i="2" s="1"/>
  <c r="A364" i="116"/>
  <c r="B68" i="2" s="1"/>
  <c r="C191" i="3" s="1"/>
  <c r="A365" i="116"/>
  <c r="B69" i="2"/>
  <c r="A366" i="116"/>
  <c r="B70" i="2"/>
  <c r="A367" i="116"/>
  <c r="B71" i="2" s="1"/>
  <c r="C194" i="3" s="1"/>
  <c r="A368" i="116"/>
  <c r="B72" i="2" s="1"/>
  <c r="C195" i="3" s="1"/>
  <c r="A369" i="116"/>
  <c r="B73" i="2"/>
  <c r="A370" i="116"/>
  <c r="B74" i="2"/>
  <c r="A371" i="116"/>
  <c r="B75" i="2" s="1"/>
  <c r="F198" i="3"/>
  <c r="A372" i="116"/>
  <c r="B76" i="2" s="1"/>
  <c r="C199" i="3" s="1"/>
  <c r="A373" i="116"/>
  <c r="B77" i="2"/>
  <c r="A374" i="116"/>
  <c r="B78" i="2"/>
  <c r="A375" i="116"/>
  <c r="B79" i="2" s="1"/>
  <c r="C202" i="3" s="1"/>
  <c r="A376" i="116"/>
  <c r="B80" i="2" s="1"/>
  <c r="C203" i="3" s="1"/>
  <c r="A377" i="116"/>
  <c r="B81" i="2"/>
  <c r="C204" i="3" s="1"/>
  <c r="A378" i="116"/>
  <c r="B82" i="2"/>
  <c r="A379" i="116"/>
  <c r="B83" i="2" s="1"/>
  <c r="C206" i="3" s="1"/>
  <c r="A380" i="116"/>
  <c r="B84" i="2" s="1"/>
  <c r="C207" i="3" s="1"/>
  <c r="A381" i="116"/>
  <c r="B85" i="2"/>
  <c r="C208" i="3" s="1"/>
  <c r="A382" i="116"/>
  <c r="C211" i="3"/>
  <c r="A203" i="116"/>
  <c r="C212" i="3"/>
  <c r="AB212" i="3"/>
  <c r="L212" i="3"/>
  <c r="L213" i="3"/>
  <c r="AB214" i="3"/>
  <c r="L214" i="3"/>
  <c r="K214" i="3"/>
  <c r="L215" i="3"/>
  <c r="AB216" i="3"/>
  <c r="L216" i="3"/>
  <c r="K216" i="3"/>
  <c r="L217" i="3"/>
  <c r="AB218" i="3"/>
  <c r="AB219" i="3"/>
  <c r="A240" i="116"/>
  <c r="AB223" i="3" s="1"/>
  <c r="AB220" i="3"/>
  <c r="L220" i="3"/>
  <c r="K220" i="3"/>
  <c r="AB221" i="3"/>
  <c r="D221" i="3" s="1"/>
  <c r="L221" i="3"/>
  <c r="K221" i="3"/>
  <c r="AB222" i="3"/>
  <c r="L222" i="3"/>
  <c r="K222" i="3"/>
  <c r="L223" i="3"/>
  <c r="K223" i="3"/>
  <c r="AB224" i="3"/>
  <c r="D224" i="3" s="1"/>
  <c r="L224" i="3"/>
  <c r="K224" i="3"/>
  <c r="AB225" i="3"/>
  <c r="L225" i="3"/>
  <c r="K225" i="3"/>
  <c r="AB226" i="3"/>
  <c r="L226" i="3"/>
  <c r="K226" i="3"/>
  <c r="A474" i="116"/>
  <c r="A108" i="116"/>
  <c r="C229" i="3" s="1"/>
  <c r="A215" i="116"/>
  <c r="C230" i="3" s="1"/>
  <c r="AB230" i="3"/>
  <c r="L230" i="3"/>
  <c r="K230" i="3"/>
  <c r="A216" i="116"/>
  <c r="C231" i="3" s="1"/>
  <c r="L231" i="3"/>
  <c r="A217" i="116"/>
  <c r="C232" i="3" s="1"/>
  <c r="L232" i="3"/>
  <c r="A218" i="116"/>
  <c r="C233" i="3" s="1"/>
  <c r="L233" i="3"/>
  <c r="A219" i="116"/>
  <c r="C234" i="3"/>
  <c r="AB234" i="3"/>
  <c r="L234" i="3"/>
  <c r="K234" i="3"/>
  <c r="A220" i="116"/>
  <c r="C235" i="3"/>
  <c r="AB235" i="3"/>
  <c r="L235" i="3"/>
  <c r="K235" i="3"/>
  <c r="A221" i="116"/>
  <c r="C236" i="3"/>
  <c r="AB236" i="3"/>
  <c r="L236" i="3"/>
  <c r="K236" i="3"/>
  <c r="A109" i="116"/>
  <c r="C239" i="3"/>
  <c r="A222" i="116"/>
  <c r="L240" i="3"/>
  <c r="C241" i="3"/>
  <c r="S241" i="3"/>
  <c r="E39" i="119"/>
  <c r="C286" i="3"/>
  <c r="E43" i="119" s="1"/>
  <c r="A242" i="116"/>
  <c r="D286" i="3"/>
  <c r="D18" i="118"/>
  <c r="D20" i="118"/>
  <c r="D16" i="118"/>
  <c r="G13" i="118"/>
  <c r="G14" i="118"/>
  <c r="G12" i="118"/>
  <c r="G11" i="118"/>
  <c r="G10" i="118"/>
  <c r="C8" i="118"/>
  <c r="AC240" i="3"/>
  <c r="AC236" i="3"/>
  <c r="AC235" i="3"/>
  <c r="AC234" i="3"/>
  <c r="AC233" i="3"/>
  <c r="AC232" i="3"/>
  <c r="AC231" i="3"/>
  <c r="AC230" i="3"/>
  <c r="AC226" i="3"/>
  <c r="AC225" i="3"/>
  <c r="AC224" i="3"/>
  <c r="AC223" i="3"/>
  <c r="AC222" i="3"/>
  <c r="AC221" i="3"/>
  <c r="AC220" i="3"/>
  <c r="AC217" i="3"/>
  <c r="AC216" i="3"/>
  <c r="AC215" i="3"/>
  <c r="AC214" i="3"/>
  <c r="AC213" i="3"/>
  <c r="AC212" i="3"/>
  <c r="AC42" i="3"/>
  <c r="AC41" i="3"/>
  <c r="AC38" i="3"/>
  <c r="AC37" i="3"/>
  <c r="AC36" i="3"/>
  <c r="AC35" i="3"/>
  <c r="AC30" i="3"/>
  <c r="AC29" i="3"/>
  <c r="AC28" i="3"/>
  <c r="AC27" i="3"/>
  <c r="AC26" i="3"/>
  <c r="AC241" i="3" s="1"/>
  <c r="AC25" i="3"/>
  <c r="AC24" i="3"/>
  <c r="AC23" i="3"/>
  <c r="AC22" i="3"/>
  <c r="AC21" i="3"/>
  <c r="AC20" i="3"/>
  <c r="AC19" i="3"/>
  <c r="AC18" i="3"/>
  <c r="AC17" i="3"/>
  <c r="AC16" i="3"/>
  <c r="AC15" i="3"/>
  <c r="AC13" i="3"/>
  <c r="AC10" i="3"/>
  <c r="AC9" i="3"/>
  <c r="AC8" i="3"/>
  <c r="Y341" i="3"/>
  <c r="R341" i="3"/>
  <c r="P5" i="3"/>
  <c r="O374" i="3"/>
  <c r="K341" i="3"/>
  <c r="J374" i="3"/>
  <c r="G409" i="3"/>
  <c r="G331" i="3"/>
  <c r="G312" i="3"/>
  <c r="G310" i="3"/>
  <c r="F409" i="3"/>
  <c r="F310" i="3"/>
  <c r="E418" i="3"/>
  <c r="E416" i="3"/>
  <c r="E415" i="3"/>
  <c r="E413" i="3"/>
  <c r="E412" i="3"/>
  <c r="E410" i="3"/>
  <c r="E409" i="3"/>
  <c r="D409" i="3"/>
  <c r="D341" i="3"/>
  <c r="C418" i="3"/>
  <c r="C417" i="3"/>
  <c r="C416" i="3"/>
  <c r="C415" i="3"/>
  <c r="C413" i="3"/>
  <c r="C414" i="3"/>
  <c r="C412" i="3"/>
  <c r="C411" i="3"/>
  <c r="C407" i="3"/>
  <c r="C339" i="3"/>
  <c r="K16" i="60"/>
  <c r="A477" i="116"/>
  <c r="G1" i="2"/>
  <c r="A254" i="116"/>
  <c r="D1" i="2"/>
  <c r="A473" i="116"/>
  <c r="C1" i="2"/>
  <c r="A299" i="116"/>
  <c r="B1" i="2" s="1"/>
  <c r="A280" i="116"/>
  <c r="A1" i="2"/>
  <c r="F312" i="3"/>
  <c r="A112" i="116"/>
  <c r="C410" i="3" s="1"/>
  <c r="A88" i="116"/>
  <c r="C373" i="3"/>
  <c r="A237" i="116"/>
  <c r="H18" i="60"/>
  <c r="C50" i="60"/>
  <c r="C16" i="60"/>
  <c r="D418" i="3"/>
  <c r="D417" i="3"/>
  <c r="D416" i="3"/>
  <c r="D415" i="3"/>
  <c r="D412" i="3"/>
  <c r="A263" i="116"/>
  <c r="M6" i="3"/>
  <c r="A264" i="116"/>
  <c r="N6" i="3"/>
  <c r="E32" i="3"/>
  <c r="E33" i="3"/>
  <c r="E34" i="3"/>
  <c r="E31" i="3"/>
  <c r="C3" i="3"/>
  <c r="G410" i="3"/>
  <c r="G416" i="3" s="1"/>
  <c r="G417" i="3"/>
  <c r="G418" i="3" s="1"/>
  <c r="G415" i="3"/>
  <c r="G413" i="3"/>
  <c r="G414" i="3"/>
  <c r="M104" i="132"/>
  <c r="M36" i="119"/>
  <c r="M21" i="93"/>
  <c r="A107" i="116"/>
  <c r="AI44" i="132" s="1"/>
  <c r="G342" i="3"/>
  <c r="AS1" i="132" s="1"/>
  <c r="I342" i="3"/>
  <c r="AU1" i="132" s="1"/>
  <c r="A110" i="116"/>
  <c r="AI133" i="132" s="1"/>
  <c r="J342" i="3"/>
  <c r="AV1" i="119" s="1"/>
  <c r="Y340" i="3"/>
  <c r="AB340" i="3"/>
  <c r="AC340" i="3"/>
  <c r="AD340" i="3"/>
  <c r="AE340" i="3"/>
  <c r="C298" i="3"/>
  <c r="C299" i="3"/>
  <c r="C300" i="3"/>
  <c r="C301" i="3"/>
  <c r="A232" i="116"/>
  <c r="D298" i="3"/>
  <c r="A247" i="116"/>
  <c r="E298" i="3" s="1"/>
  <c r="C302" i="3"/>
  <c r="J340" i="3"/>
  <c r="I340" i="3"/>
  <c r="G340" i="3"/>
  <c r="X340" i="3"/>
  <c r="Q340" i="3"/>
  <c r="W340" i="3"/>
  <c r="V340" i="3"/>
  <c r="U340" i="3"/>
  <c r="T340" i="3"/>
  <c r="S340" i="3"/>
  <c r="R340" i="3"/>
  <c r="P340" i="3"/>
  <c r="O340" i="3"/>
  <c r="N340" i="3"/>
  <c r="M340" i="3"/>
  <c r="L340" i="3"/>
  <c r="K340" i="3"/>
  <c r="H340" i="3"/>
  <c r="F340" i="3"/>
  <c r="E340" i="3"/>
  <c r="D340" i="3"/>
  <c r="G411" i="3"/>
  <c r="S393" i="3"/>
  <c r="R393" i="3"/>
  <c r="Q393" i="3"/>
  <c r="P393" i="3"/>
  <c r="O393" i="3"/>
  <c r="S391" i="3"/>
  <c r="R391" i="3"/>
  <c r="Q391" i="3"/>
  <c r="P391" i="3"/>
  <c r="O391" i="3"/>
  <c r="S390" i="3"/>
  <c r="R390" i="3"/>
  <c r="Q390" i="3"/>
  <c r="P390" i="3"/>
  <c r="O390" i="3"/>
  <c r="S389" i="3"/>
  <c r="R389" i="3"/>
  <c r="Q389" i="3"/>
  <c r="P389" i="3"/>
  <c r="O389" i="3"/>
  <c r="S388" i="3"/>
  <c r="R388" i="3"/>
  <c r="Q388" i="3"/>
  <c r="P388" i="3"/>
  <c r="O388" i="3"/>
  <c r="S387" i="3"/>
  <c r="R387" i="3"/>
  <c r="Q387" i="3"/>
  <c r="P387" i="3"/>
  <c r="O387" i="3"/>
  <c r="S386" i="3"/>
  <c r="R386" i="3"/>
  <c r="Q386" i="3"/>
  <c r="P386" i="3"/>
  <c r="O386" i="3"/>
  <c r="S385" i="3"/>
  <c r="R385" i="3"/>
  <c r="Q385" i="3"/>
  <c r="P385" i="3"/>
  <c r="O385" i="3"/>
  <c r="S384" i="3"/>
  <c r="R384" i="3"/>
  <c r="Q384" i="3"/>
  <c r="P384" i="3"/>
  <c r="O384" i="3"/>
  <c r="S383" i="3"/>
  <c r="R383" i="3"/>
  <c r="Q383" i="3"/>
  <c r="P383" i="3"/>
  <c r="O383" i="3"/>
  <c r="S382" i="3"/>
  <c r="R382" i="3"/>
  <c r="Q382" i="3"/>
  <c r="P382" i="3"/>
  <c r="O382" i="3"/>
  <c r="S381" i="3"/>
  <c r="R381" i="3"/>
  <c r="Q381" i="3"/>
  <c r="P381" i="3"/>
  <c r="O381" i="3"/>
  <c r="S380" i="3"/>
  <c r="R380" i="3"/>
  <c r="Q380" i="3"/>
  <c r="P380" i="3"/>
  <c r="O380" i="3"/>
  <c r="S379" i="3"/>
  <c r="R379" i="3"/>
  <c r="Q379" i="3"/>
  <c r="P379" i="3"/>
  <c r="O379" i="3"/>
  <c r="S378" i="3"/>
  <c r="R378" i="3"/>
  <c r="Q378" i="3"/>
  <c r="P378" i="3"/>
  <c r="O378" i="3"/>
  <c r="S377" i="3"/>
  <c r="R377" i="3"/>
  <c r="Q377" i="3"/>
  <c r="P377" i="3"/>
  <c r="O377" i="3"/>
  <c r="L375" i="3"/>
  <c r="Q375" i="3" s="1"/>
  <c r="M375" i="3"/>
  <c r="R375" i="3" s="1"/>
  <c r="N375" i="3"/>
  <c r="S375" i="3" s="1"/>
  <c r="D80" i="132"/>
  <c r="D93" i="132"/>
  <c r="D88" i="132"/>
  <c r="D25" i="119"/>
  <c r="D20" i="119"/>
  <c r="A152" i="116"/>
  <c r="F16" i="60" s="1"/>
  <c r="A31" i="116"/>
  <c r="A30" i="116"/>
  <c r="H7" i="132"/>
  <c r="AI20" i="132"/>
  <c r="AI24" i="132"/>
  <c r="AI28" i="132"/>
  <c r="AI36" i="132"/>
  <c r="AI40" i="132"/>
  <c r="AI54" i="132"/>
  <c r="AI58" i="132"/>
  <c r="AI62" i="132"/>
  <c r="AI68" i="132"/>
  <c r="AI76" i="132"/>
  <c r="AI80" i="132"/>
  <c r="AI88" i="132"/>
  <c r="AI89" i="132"/>
  <c r="AI93" i="132"/>
  <c r="AI94" i="132"/>
  <c r="AI98" i="132"/>
  <c r="AI99" i="132"/>
  <c r="AI106" i="132"/>
  <c r="AI108" i="132"/>
  <c r="AI109" i="132"/>
  <c r="AI113" i="132"/>
  <c r="AI114" i="132"/>
  <c r="AI116" i="132"/>
  <c r="AI117" i="132"/>
  <c r="AI119" i="132"/>
  <c r="AI120" i="132"/>
  <c r="AI122" i="132"/>
  <c r="AI123" i="132"/>
  <c r="AI137" i="132"/>
  <c r="AI141" i="132"/>
  <c r="F149" i="132"/>
  <c r="AI149" i="132" s="1"/>
  <c r="A91" i="116"/>
  <c r="F20" i="132"/>
  <c r="A92" i="116"/>
  <c r="D24" i="132"/>
  <c r="F36" i="132"/>
  <c r="D40" i="132"/>
  <c r="I40" i="132"/>
  <c r="D44" i="132"/>
  <c r="I44" i="132"/>
  <c r="D54" i="132"/>
  <c r="E54" i="132"/>
  <c r="I54" i="132"/>
  <c r="I58" i="132"/>
  <c r="D62" i="132"/>
  <c r="I62" i="132"/>
  <c r="D68" i="132"/>
  <c r="F76" i="132"/>
  <c r="U80" i="132"/>
  <c r="I80" i="132" s="1"/>
  <c r="A478" i="116"/>
  <c r="F99" i="132" s="1"/>
  <c r="A90" i="116"/>
  <c r="I88" i="132"/>
  <c r="A111" i="116"/>
  <c r="I93" i="132"/>
  <c r="D98" i="132"/>
  <c r="I98" i="132"/>
  <c r="Q105" i="132"/>
  <c r="T105" i="132"/>
  <c r="F117" i="132"/>
  <c r="F120" i="132"/>
  <c r="F133" i="132"/>
  <c r="T137" i="132"/>
  <c r="T141" i="132"/>
  <c r="AO124" i="132"/>
  <c r="AO125" i="132"/>
  <c r="AR1" i="132"/>
  <c r="A113" i="116"/>
  <c r="A114" i="116"/>
  <c r="D107" i="119"/>
  <c r="D99" i="119"/>
  <c r="D56" i="93"/>
  <c r="D51" i="93"/>
  <c r="D46" i="93"/>
  <c r="I56" i="93"/>
  <c r="I51" i="93"/>
  <c r="I46" i="93"/>
  <c r="I30" i="119"/>
  <c r="I25" i="119"/>
  <c r="I20" i="119"/>
  <c r="E125" i="132"/>
  <c r="A79" i="116"/>
  <c r="D114" i="132" s="1"/>
  <c r="A102" i="116"/>
  <c r="M133" i="132" s="1"/>
  <c r="M119" i="132"/>
  <c r="A97" i="116"/>
  <c r="F27" i="93" s="1"/>
  <c r="F110" i="132"/>
  <c r="A89" i="116"/>
  <c r="E110" i="132" s="1"/>
  <c r="D110" i="132"/>
  <c r="A77" i="116"/>
  <c r="D108" i="132"/>
  <c r="A74" i="116"/>
  <c r="D105" i="132" s="1"/>
  <c r="E104" i="132"/>
  <c r="A47" i="116"/>
  <c r="D104" i="132"/>
  <c r="D102" i="132"/>
  <c r="F37" i="93"/>
  <c r="F34" i="93"/>
  <c r="F31" i="93"/>
  <c r="AP1" i="119"/>
  <c r="AR1" i="119"/>
  <c r="E57" i="119"/>
  <c r="F55" i="119"/>
  <c r="F52" i="119"/>
  <c r="D52" i="119"/>
  <c r="F31" i="3"/>
  <c r="F32" i="3"/>
  <c r="F33" i="3"/>
  <c r="F34" i="3"/>
  <c r="E218" i="3"/>
  <c r="F218" i="3"/>
  <c r="E219" i="3"/>
  <c r="F219" i="3"/>
  <c r="E227" i="3"/>
  <c r="F227" i="3"/>
  <c r="E228" i="3"/>
  <c r="F228" i="3"/>
  <c r="E237" i="3"/>
  <c r="F237" i="3"/>
  <c r="E238" i="3"/>
  <c r="F238" i="3"/>
  <c r="J241" i="3"/>
  <c r="E242" i="3"/>
  <c r="F242" i="3"/>
  <c r="E243" i="3"/>
  <c r="F243" i="3"/>
  <c r="F49" i="119"/>
  <c r="M45" i="119"/>
  <c r="M43" i="119"/>
  <c r="F42" i="119"/>
  <c r="E42" i="119"/>
  <c r="D42" i="119"/>
  <c r="D40" i="119"/>
  <c r="D39" i="119"/>
  <c r="D37" i="119"/>
  <c r="A490" i="116"/>
  <c r="E36" i="119"/>
  <c r="D36" i="119"/>
  <c r="D34" i="119"/>
  <c r="U125" i="93"/>
  <c r="D107" i="93"/>
  <c r="D103" i="93"/>
  <c r="D99" i="93"/>
  <c r="A407" i="3"/>
  <c r="Y241" i="3"/>
  <c r="A352" i="116"/>
  <c r="B56" i="2" s="1"/>
  <c r="C56" i="2" s="1"/>
  <c r="A128" i="116"/>
  <c r="Z88" i="132" s="1"/>
  <c r="S44" i="132"/>
  <c r="C28" i="2"/>
  <c r="L44" i="132"/>
  <c r="A99" i="116"/>
  <c r="F44" i="132" s="1"/>
  <c r="I89" i="119"/>
  <c r="D89" i="119"/>
  <c r="L89" i="119"/>
  <c r="AN80" i="132"/>
  <c r="A129" i="116"/>
  <c r="A122" i="116"/>
  <c r="AA125" i="93" s="1"/>
  <c r="A67" i="116"/>
  <c r="A126" i="116"/>
  <c r="A121" i="116"/>
  <c r="A116" i="116"/>
  <c r="P80" i="132"/>
  <c r="F80" i="132"/>
  <c r="U125" i="119"/>
  <c r="I125" i="119" s="1"/>
  <c r="AN125" i="119"/>
  <c r="AI125" i="119"/>
  <c r="P125" i="119"/>
  <c r="F125" i="119"/>
  <c r="I125" i="93"/>
  <c r="X241" i="3"/>
  <c r="W241" i="3"/>
  <c r="V241" i="3"/>
  <c r="U241" i="3"/>
  <c r="T241" i="3"/>
  <c r="R241" i="3"/>
  <c r="Q241" i="3"/>
  <c r="P241" i="3"/>
  <c r="M26" i="3"/>
  <c r="M241" i="3" s="1"/>
  <c r="C318" i="3"/>
  <c r="C319" i="3"/>
  <c r="C326" i="3"/>
  <c r="C327" i="3"/>
  <c r="C328" i="3"/>
  <c r="D28" i="116"/>
  <c r="E28" i="116"/>
  <c r="F28" i="116" s="1"/>
  <c r="G28" i="116" s="1"/>
  <c r="H18" i="2"/>
  <c r="A494" i="116"/>
  <c r="H17" i="2" s="1"/>
  <c r="A493" i="116"/>
  <c r="H16" i="2" s="1"/>
  <c r="A485" i="116"/>
  <c r="H8" i="2" s="1"/>
  <c r="AY9" i="132" s="1"/>
  <c r="A484" i="116"/>
  <c r="H7" i="2"/>
  <c r="AY8" i="132" s="1"/>
  <c r="A483" i="116"/>
  <c r="H6" i="2" s="1"/>
  <c r="AY7" i="132" s="1"/>
  <c r="A482" i="116"/>
  <c r="H5" i="2" s="1"/>
  <c r="AY6" i="132" s="1"/>
  <c r="A480" i="116"/>
  <c r="H3" i="2" s="1"/>
  <c r="AY4" i="132" s="1"/>
  <c r="AX4" i="132" s="1"/>
  <c r="A479" i="116"/>
  <c r="H2" i="2"/>
  <c r="AY3" i="132" s="1"/>
  <c r="AX3" i="132" s="1"/>
  <c r="A20" i="116"/>
  <c r="D34" i="60" s="1"/>
  <c r="C252" i="3"/>
  <c r="AN149" i="132"/>
  <c r="AJ149" i="132"/>
  <c r="M149" i="132"/>
  <c r="D149" i="132"/>
  <c r="A86" i="116"/>
  <c r="D146" i="132" s="1"/>
  <c r="AN141" i="132"/>
  <c r="A130" i="116"/>
  <c r="Y141" i="132"/>
  <c r="A127" i="116"/>
  <c r="U116" i="132" s="1"/>
  <c r="U141" i="132"/>
  <c r="A120" i="116"/>
  <c r="S137" i="132" s="1"/>
  <c r="P141" i="132"/>
  <c r="A85" i="116"/>
  <c r="D141" i="132"/>
  <c r="B141" i="132"/>
  <c r="AN137" i="132"/>
  <c r="Y137" i="132"/>
  <c r="P137" i="132"/>
  <c r="A84" i="116"/>
  <c r="D137" i="132" s="1"/>
  <c r="A80" i="116"/>
  <c r="D133" i="132" s="1"/>
  <c r="A83" i="116"/>
  <c r="D76" i="132"/>
  <c r="AN68" i="132"/>
  <c r="Q54" i="132"/>
  <c r="A100" i="116"/>
  <c r="F52" i="132" s="1"/>
  <c r="A93" i="116"/>
  <c r="E52" i="132" s="1"/>
  <c r="A82" i="116"/>
  <c r="D52" i="132" s="1"/>
  <c r="AN44" i="132"/>
  <c r="AN40" i="132"/>
  <c r="N40" i="132"/>
  <c r="L40" i="132"/>
  <c r="F40" i="132"/>
  <c r="D36" i="132"/>
  <c r="AN28" i="132"/>
  <c r="M28" i="132"/>
  <c r="A98" i="116"/>
  <c r="F28" i="132"/>
  <c r="A81" i="116"/>
  <c r="D28" i="132"/>
  <c r="AN24" i="132"/>
  <c r="AN20" i="132"/>
  <c r="D20" i="132"/>
  <c r="AN122" i="132"/>
  <c r="AD122" i="132"/>
  <c r="Y122" i="132"/>
  <c r="U122" i="132"/>
  <c r="S122" i="132"/>
  <c r="P122" i="132"/>
  <c r="AN119" i="132"/>
  <c r="AD119" i="132"/>
  <c r="Y119" i="132"/>
  <c r="U119" i="132"/>
  <c r="P119" i="132"/>
  <c r="AN116" i="132"/>
  <c r="Z116" i="132"/>
  <c r="Y116" i="132"/>
  <c r="S116" i="132"/>
  <c r="P116" i="132"/>
  <c r="AN113" i="132"/>
  <c r="Y113" i="132"/>
  <c r="U113" i="132"/>
  <c r="S113" i="132"/>
  <c r="P113" i="132"/>
  <c r="AK108" i="132"/>
  <c r="Z108" i="132"/>
  <c r="Y108" i="132"/>
  <c r="U108" i="132"/>
  <c r="S108" i="132"/>
  <c r="P108" i="132"/>
  <c r="AN107" i="132"/>
  <c r="AD105" i="132"/>
  <c r="Z105" i="132"/>
  <c r="Y105" i="132"/>
  <c r="U105" i="132"/>
  <c r="S105" i="132"/>
  <c r="P105" i="132"/>
  <c r="AN103" i="132"/>
  <c r="D99" i="132"/>
  <c r="AN98" i="132"/>
  <c r="AD98" i="132"/>
  <c r="Y98" i="132"/>
  <c r="U98" i="132"/>
  <c r="S98" i="132"/>
  <c r="P98" i="132"/>
  <c r="M98" i="132"/>
  <c r="AN93" i="132"/>
  <c r="AD93" i="132"/>
  <c r="Z93" i="132"/>
  <c r="Y93" i="132"/>
  <c r="P93" i="132"/>
  <c r="M93" i="132"/>
  <c r="D89" i="132"/>
  <c r="AN88" i="132"/>
  <c r="Y88" i="132"/>
  <c r="U88" i="132"/>
  <c r="S88" i="132"/>
  <c r="P88" i="132"/>
  <c r="H8" i="132"/>
  <c r="H9" i="132"/>
  <c r="H10" i="132"/>
  <c r="H11" i="132"/>
  <c r="H12" i="132"/>
  <c r="H13" i="132"/>
  <c r="A96" i="116"/>
  <c r="F13" i="132" s="1"/>
  <c r="A87" i="116"/>
  <c r="E14" i="132"/>
  <c r="AB2" i="132" s="1"/>
  <c r="A72" i="116"/>
  <c r="D14" i="132" s="1"/>
  <c r="E13" i="132"/>
  <c r="AB1" i="132" s="1"/>
  <c r="A71" i="116"/>
  <c r="D13" i="132" s="1"/>
  <c r="A115" i="116"/>
  <c r="P6" i="132" s="1"/>
  <c r="A125" i="116"/>
  <c r="T12" i="132" s="1"/>
  <c r="A70" i="116"/>
  <c r="D12" i="132"/>
  <c r="A95" i="116"/>
  <c r="F11" i="132"/>
  <c r="D11" i="132"/>
  <c r="A94" i="116"/>
  <c r="F10" i="132"/>
  <c r="A68" i="116"/>
  <c r="D10" i="132" s="1"/>
  <c r="F9" i="132"/>
  <c r="D9" i="132"/>
  <c r="A66" i="116"/>
  <c r="D8" i="132" s="1"/>
  <c r="A134" i="116"/>
  <c r="BA7" i="132"/>
  <c r="O7" i="132"/>
  <c r="AL1" i="132"/>
  <c r="AK1" i="132"/>
  <c r="AJ1" i="132"/>
  <c r="A65" i="116"/>
  <c r="D7" i="132"/>
  <c r="A133" i="116"/>
  <c r="BA6" i="132"/>
  <c r="A103" i="116"/>
  <c r="H6" i="132" s="1"/>
  <c r="A48" i="116"/>
  <c r="D6" i="132"/>
  <c r="A63" i="116"/>
  <c r="B6" i="132" s="1"/>
  <c r="A132" i="116"/>
  <c r="BA5" i="132" s="1"/>
  <c r="A124" i="116"/>
  <c r="A64" i="116"/>
  <c r="D5" i="132" s="1"/>
  <c r="A131" i="116"/>
  <c r="AB3" i="132" s="1"/>
  <c r="A123" i="116"/>
  <c r="N21" i="3"/>
  <c r="M21" i="3"/>
  <c r="N22" i="3"/>
  <c r="M22" i="3"/>
  <c r="A11" i="116"/>
  <c r="A150" i="116"/>
  <c r="A8" i="116"/>
  <c r="A35" i="116"/>
  <c r="A149" i="116"/>
  <c r="A145" i="116"/>
  <c r="A28" i="116"/>
  <c r="E10" i="60" s="1"/>
  <c r="L10" i="115" s="1"/>
  <c r="A32" i="116"/>
  <c r="A148" i="116"/>
  <c r="A144" i="116"/>
  <c r="A3" i="116"/>
  <c r="A165" i="116"/>
  <c r="A162" i="116"/>
  <c r="A161" i="116"/>
  <c r="A160" i="116"/>
  <c r="A159" i="116"/>
  <c r="A143" i="116"/>
  <c r="A171" i="116"/>
  <c r="A168" i="116"/>
  <c r="A158" i="116"/>
  <c r="A170" i="116"/>
  <c r="A169" i="116"/>
  <c r="A157" i="116"/>
  <c r="A136" i="116"/>
  <c r="A173" i="116"/>
  <c r="A172" i="116"/>
  <c r="A166" i="116"/>
  <c r="A156" i="116"/>
  <c r="A496" i="116"/>
  <c r="AF340" i="3"/>
  <c r="Q37" i="119"/>
  <c r="AN149" i="119"/>
  <c r="F149" i="119"/>
  <c r="AI149" i="119" s="1"/>
  <c r="AJ149" i="119"/>
  <c r="M149" i="119"/>
  <c r="D149" i="119"/>
  <c r="D146" i="119"/>
  <c r="T141" i="119"/>
  <c r="AN141" i="119"/>
  <c r="AI141" i="119"/>
  <c r="Z141" i="119"/>
  <c r="Y141" i="119"/>
  <c r="U141" i="119"/>
  <c r="S141" i="119"/>
  <c r="P141" i="119"/>
  <c r="M141" i="119"/>
  <c r="F141" i="119"/>
  <c r="D141" i="119"/>
  <c r="B141" i="119"/>
  <c r="T137" i="119"/>
  <c r="AN137" i="119"/>
  <c r="AI137" i="119"/>
  <c r="Z137" i="119"/>
  <c r="Y137" i="119"/>
  <c r="U137" i="119"/>
  <c r="S137" i="119"/>
  <c r="P137" i="119"/>
  <c r="M137" i="119"/>
  <c r="F137" i="119"/>
  <c r="D137" i="119"/>
  <c r="F133" i="119"/>
  <c r="T37" i="119"/>
  <c r="AI38" i="119"/>
  <c r="AI40" i="119"/>
  <c r="AO56" i="119"/>
  <c r="AO57" i="119"/>
  <c r="F21" i="119"/>
  <c r="F26" i="119"/>
  <c r="F31" i="119"/>
  <c r="D69" i="119"/>
  <c r="I85" i="119"/>
  <c r="D85" i="119"/>
  <c r="E99" i="119"/>
  <c r="I99" i="119" s="1"/>
  <c r="I103" i="119"/>
  <c r="I107" i="119"/>
  <c r="D113" i="119"/>
  <c r="AI41" i="119"/>
  <c r="AI45" i="119"/>
  <c r="AI46" i="119"/>
  <c r="AI48" i="119"/>
  <c r="AI49" i="119"/>
  <c r="AI51" i="119"/>
  <c r="AI52" i="119"/>
  <c r="AI54" i="119"/>
  <c r="AI55" i="119"/>
  <c r="AI20" i="119"/>
  <c r="AI21" i="119"/>
  <c r="AI25" i="119"/>
  <c r="AI26" i="119"/>
  <c r="AI30" i="119"/>
  <c r="AI31" i="119"/>
  <c r="AI65" i="119"/>
  <c r="AI69" i="119"/>
  <c r="AI73" i="119"/>
  <c r="AI81" i="119"/>
  <c r="AI85" i="119"/>
  <c r="AI89" i="119"/>
  <c r="AI99" i="119"/>
  <c r="AI103" i="119"/>
  <c r="AI107" i="119"/>
  <c r="AI113" i="119"/>
  <c r="AI121" i="119"/>
  <c r="AI133" i="119"/>
  <c r="M133" i="119"/>
  <c r="D133" i="119"/>
  <c r="F121" i="119"/>
  <c r="M121" i="119"/>
  <c r="D121" i="119"/>
  <c r="AN113" i="119"/>
  <c r="M113" i="119"/>
  <c r="Q107" i="119"/>
  <c r="Q103" i="119"/>
  <c r="Q99" i="119"/>
  <c r="F97" i="119"/>
  <c r="E97" i="119"/>
  <c r="D97" i="119"/>
  <c r="AN89" i="119"/>
  <c r="AN85" i="119"/>
  <c r="U85" i="119"/>
  <c r="S85" i="119"/>
  <c r="L85" i="119"/>
  <c r="F85" i="119"/>
  <c r="F81" i="119"/>
  <c r="M81" i="119"/>
  <c r="D81" i="119"/>
  <c r="AN73" i="119"/>
  <c r="M73" i="119"/>
  <c r="F73" i="119"/>
  <c r="D73" i="119"/>
  <c r="AN69" i="119"/>
  <c r="M69" i="119"/>
  <c r="AN65" i="119"/>
  <c r="F65" i="119"/>
  <c r="M65" i="119"/>
  <c r="D65" i="119"/>
  <c r="AY8" i="119"/>
  <c r="D31" i="119"/>
  <c r="AN30" i="119"/>
  <c r="AD30" i="119"/>
  <c r="Z30" i="119"/>
  <c r="Y30" i="119"/>
  <c r="U30" i="119"/>
  <c r="S30" i="119"/>
  <c r="P30" i="119"/>
  <c r="M30" i="119"/>
  <c r="D26" i="119"/>
  <c r="AN25" i="119"/>
  <c r="AD25" i="119"/>
  <c r="Z25" i="119"/>
  <c r="Y25" i="119"/>
  <c r="U25" i="119"/>
  <c r="S25" i="119"/>
  <c r="P25" i="119"/>
  <c r="M25" i="119"/>
  <c r="D21" i="119"/>
  <c r="AN20" i="119"/>
  <c r="AD20" i="119"/>
  <c r="Z20" i="119"/>
  <c r="Y20" i="119"/>
  <c r="U20" i="119"/>
  <c r="S20" i="119"/>
  <c r="P20" i="119"/>
  <c r="M20" i="119"/>
  <c r="AN54" i="119"/>
  <c r="AD54" i="119"/>
  <c r="Z54" i="119"/>
  <c r="Y54" i="119"/>
  <c r="U54" i="119"/>
  <c r="S54" i="119"/>
  <c r="P54" i="119"/>
  <c r="AN51" i="119"/>
  <c r="AD51" i="119"/>
  <c r="Z51" i="119"/>
  <c r="Y51" i="119"/>
  <c r="U51" i="119"/>
  <c r="S51" i="119"/>
  <c r="P51" i="119"/>
  <c r="AN48" i="119"/>
  <c r="AD48" i="119"/>
  <c r="Z48" i="119"/>
  <c r="Y48" i="119"/>
  <c r="U48" i="119"/>
  <c r="S48" i="119"/>
  <c r="P48" i="119"/>
  <c r="AN45" i="119"/>
  <c r="AD45" i="119"/>
  <c r="Z45" i="119"/>
  <c r="Y45" i="119"/>
  <c r="U45" i="119"/>
  <c r="S45" i="119"/>
  <c r="P45" i="119"/>
  <c r="AK40" i="119"/>
  <c r="AD40" i="119"/>
  <c r="Z40" i="119"/>
  <c r="Y40" i="119"/>
  <c r="U40" i="119"/>
  <c r="S40" i="119"/>
  <c r="P40" i="119"/>
  <c r="AN39" i="119"/>
  <c r="AD37" i="119"/>
  <c r="Z37" i="119"/>
  <c r="Y37" i="119"/>
  <c r="U37" i="119"/>
  <c r="S37" i="119"/>
  <c r="P37" i="119"/>
  <c r="AN35" i="119"/>
  <c r="H7" i="119"/>
  <c r="H8" i="119"/>
  <c r="H9" i="119"/>
  <c r="H10" i="119"/>
  <c r="H11" i="119"/>
  <c r="H12" i="119"/>
  <c r="H13" i="119"/>
  <c r="F14" i="119"/>
  <c r="E14" i="119"/>
  <c r="D14" i="119"/>
  <c r="F13" i="119"/>
  <c r="E13" i="119"/>
  <c r="D13" i="119"/>
  <c r="Y12" i="119"/>
  <c r="T12" i="119"/>
  <c r="D12" i="119"/>
  <c r="F11" i="119"/>
  <c r="D11" i="119"/>
  <c r="F10" i="119"/>
  <c r="D10" i="119"/>
  <c r="F9" i="119"/>
  <c r="D9" i="119"/>
  <c r="AY6" i="119"/>
  <c r="D8" i="119"/>
  <c r="BA7" i="119"/>
  <c r="O7" i="119"/>
  <c r="AL1" i="119"/>
  <c r="AK1" i="119"/>
  <c r="AJ1" i="119"/>
  <c r="D7" i="119"/>
  <c r="BA6" i="119"/>
  <c r="AY4" i="119"/>
  <c r="AX4" i="119" s="1"/>
  <c r="Q6" i="119"/>
  <c r="P6" i="119"/>
  <c r="H6" i="119"/>
  <c r="D6" i="119"/>
  <c r="B6" i="119"/>
  <c r="BA5" i="119"/>
  <c r="D5" i="119"/>
  <c r="AB3" i="119"/>
  <c r="AB2" i="119"/>
  <c r="AB1" i="119"/>
  <c r="A297" i="116"/>
  <c r="A298" i="116"/>
  <c r="A137" i="116"/>
  <c r="A139" i="116"/>
  <c r="A135" i="116"/>
  <c r="Z30" i="99"/>
  <c r="BC13" i="99" s="1"/>
  <c r="Z29" i="99"/>
  <c r="BC12" i="99" s="1"/>
  <c r="Z28" i="99"/>
  <c r="BC11" i="99"/>
  <c r="Z27" i="99"/>
  <c r="BC10" i="99" s="1"/>
  <c r="Z26" i="99"/>
  <c r="BC9" i="99"/>
  <c r="Z25" i="99"/>
  <c r="BC8" i="99" s="1"/>
  <c r="Z24" i="99"/>
  <c r="BC7" i="99" s="1"/>
  <c r="H13" i="43"/>
  <c r="E17" i="115"/>
  <c r="F149" i="93"/>
  <c r="AI149" i="93" s="1"/>
  <c r="F121" i="93"/>
  <c r="F81" i="93"/>
  <c r="F65" i="93"/>
  <c r="E38" i="115"/>
  <c r="J11" i="115"/>
  <c r="D149" i="93"/>
  <c r="E42" i="93"/>
  <c r="AO41" i="93"/>
  <c r="AO42" i="93"/>
  <c r="T22" i="93"/>
  <c r="D24" i="93"/>
  <c r="T25" i="93"/>
  <c r="Q22" i="93"/>
  <c r="F47" i="93"/>
  <c r="F52" i="93"/>
  <c r="F57" i="93"/>
  <c r="D69" i="93"/>
  <c r="E99" i="93"/>
  <c r="I99" i="93" s="1"/>
  <c r="I103" i="93"/>
  <c r="I107" i="93"/>
  <c r="AI23" i="93"/>
  <c r="AI25" i="93"/>
  <c r="D85" i="93"/>
  <c r="I85" i="93"/>
  <c r="D89" i="93"/>
  <c r="I89" i="93"/>
  <c r="D113" i="93"/>
  <c r="T141" i="93"/>
  <c r="AI26" i="93"/>
  <c r="AI30" i="93"/>
  <c r="AI31" i="93"/>
  <c r="AI33" i="93"/>
  <c r="AI34" i="93"/>
  <c r="AI36" i="93"/>
  <c r="AI37" i="93"/>
  <c r="AI39" i="93"/>
  <c r="AI40" i="93"/>
  <c r="AI46" i="93"/>
  <c r="AI47" i="93"/>
  <c r="AI51" i="93"/>
  <c r="AI52" i="93"/>
  <c r="AI56" i="93"/>
  <c r="AI57" i="93"/>
  <c r="AI65" i="93"/>
  <c r="AI69" i="93"/>
  <c r="AI73" i="93"/>
  <c r="AI81" i="93"/>
  <c r="AI85" i="93"/>
  <c r="AI89" i="93"/>
  <c r="AI99" i="93"/>
  <c r="AI103" i="93"/>
  <c r="AI107" i="93"/>
  <c r="AI113" i="93"/>
  <c r="AI121" i="93"/>
  <c r="AI125" i="93"/>
  <c r="AI133" i="93"/>
  <c r="AI137" i="93"/>
  <c r="AI141" i="93"/>
  <c r="F133" i="93"/>
  <c r="AL1" i="93"/>
  <c r="AK25" i="93"/>
  <c r="AJ149" i="93"/>
  <c r="AK1" i="93"/>
  <c r="AJ1" i="93"/>
  <c r="AG13" i="43"/>
  <c r="AG16" i="43"/>
  <c r="AG15" i="43"/>
  <c r="AG14" i="43"/>
  <c r="A233" i="116"/>
  <c r="A234" i="116"/>
  <c r="A499" i="116"/>
  <c r="A498" i="116"/>
  <c r="A497" i="116"/>
  <c r="N183" i="3"/>
  <c r="M179" i="3"/>
  <c r="N178" i="3"/>
  <c r="M177" i="3"/>
  <c r="M172" i="3"/>
  <c r="N171" i="3"/>
  <c r="M171" i="3"/>
  <c r="N166" i="3"/>
  <c r="M165" i="3"/>
  <c r="M164" i="3"/>
  <c r="N158" i="3"/>
  <c r="M158" i="3"/>
  <c r="N157" i="3"/>
  <c r="M152" i="3"/>
  <c r="M151" i="3"/>
  <c r="N150" i="3"/>
  <c r="M146" i="3"/>
  <c r="N145" i="3"/>
  <c r="M144" i="3"/>
  <c r="M139" i="3"/>
  <c r="N138" i="3"/>
  <c r="M138" i="3"/>
  <c r="N133" i="3"/>
  <c r="M132" i="3"/>
  <c r="M131" i="3"/>
  <c r="N125" i="3"/>
  <c r="M125" i="3"/>
  <c r="N124" i="3"/>
  <c r="M118" i="3"/>
  <c r="M117" i="3"/>
  <c r="N116" i="3"/>
  <c r="M112" i="3"/>
  <c r="N111" i="3"/>
  <c r="M110" i="3"/>
  <c r="M105" i="3"/>
  <c r="N104" i="3"/>
  <c r="M104" i="3"/>
  <c r="N99" i="3"/>
  <c r="M98" i="3"/>
  <c r="M97" i="3"/>
  <c r="N92" i="3"/>
  <c r="M92" i="3"/>
  <c r="N91" i="3"/>
  <c r="M86" i="3"/>
  <c r="M85" i="3"/>
  <c r="N84" i="3"/>
  <c r="M80" i="3"/>
  <c r="N79" i="3"/>
  <c r="M78" i="3"/>
  <c r="M73" i="3"/>
  <c r="N72" i="3"/>
  <c r="M72" i="3"/>
  <c r="N67" i="3"/>
  <c r="M66" i="3"/>
  <c r="M65" i="3"/>
  <c r="N60" i="3"/>
  <c r="M60" i="3"/>
  <c r="N59" i="3"/>
  <c r="M54" i="3"/>
  <c r="M53" i="3"/>
  <c r="N52" i="3"/>
  <c r="M48" i="3"/>
  <c r="N47" i="3"/>
  <c r="AD39" i="93"/>
  <c r="Z39" i="93"/>
  <c r="Y39" i="93"/>
  <c r="U39" i="93"/>
  <c r="S39" i="93"/>
  <c r="P39" i="93"/>
  <c r="AD36" i="93"/>
  <c r="Z36" i="93"/>
  <c r="Y36" i="93"/>
  <c r="U36" i="93"/>
  <c r="S36" i="93"/>
  <c r="P36" i="93"/>
  <c r="AD33" i="93"/>
  <c r="Z33" i="93"/>
  <c r="Y33" i="93"/>
  <c r="U33" i="93"/>
  <c r="S33" i="93"/>
  <c r="P33" i="93"/>
  <c r="AD30" i="93"/>
  <c r="Z30" i="93"/>
  <c r="Y30" i="93"/>
  <c r="U30" i="93"/>
  <c r="S30" i="93"/>
  <c r="P30" i="93"/>
  <c r="N342" i="3"/>
  <c r="U342" i="3" s="1"/>
  <c r="AB342" i="3" s="1"/>
  <c r="M342" i="3"/>
  <c r="T342" i="3" s="1"/>
  <c r="AA342" i="3" s="1"/>
  <c r="K342" i="3"/>
  <c r="R342" i="3" s="1"/>
  <c r="Y342" i="3" s="1"/>
  <c r="B141" i="93"/>
  <c r="A117" i="116"/>
  <c r="AG12" i="43"/>
  <c r="A492" i="116"/>
  <c r="H15" i="2" s="1"/>
  <c r="A491" i="116"/>
  <c r="H14" i="2" s="1"/>
  <c r="A486" i="116"/>
  <c r="H9" i="2" s="1"/>
  <c r="J5" i="8" s="1"/>
  <c r="H13" i="2"/>
  <c r="A489" i="116"/>
  <c r="H12" i="2" s="1"/>
  <c r="A488" i="116"/>
  <c r="H11" i="2" s="1"/>
  <c r="A487" i="116"/>
  <c r="H10" i="2"/>
  <c r="A4" i="116"/>
  <c r="A5" i="116"/>
  <c r="A6" i="116"/>
  <c r="A7" i="116"/>
  <c r="A9" i="116"/>
  <c r="A10" i="116"/>
  <c r="A12" i="116"/>
  <c r="A13" i="116"/>
  <c r="A14" i="116"/>
  <c r="A15" i="116"/>
  <c r="A16" i="116"/>
  <c r="A17" i="116"/>
  <c r="A18" i="116"/>
  <c r="A19" i="116"/>
  <c r="A21" i="116"/>
  <c r="A22" i="116"/>
  <c r="A23" i="116"/>
  <c r="A24" i="116"/>
  <c r="A25" i="116"/>
  <c r="A26" i="116"/>
  <c r="A27" i="116"/>
  <c r="A29" i="116"/>
  <c r="A33" i="116"/>
  <c r="A34" i="116"/>
  <c r="A36" i="116"/>
  <c r="A37" i="116"/>
  <c r="E1" i="18" s="1"/>
  <c r="A38" i="116"/>
  <c r="A39" i="116"/>
  <c r="A40" i="116"/>
  <c r="A41" i="116"/>
  <c r="A42" i="116"/>
  <c r="A43" i="116"/>
  <c r="A44" i="116"/>
  <c r="A45" i="116"/>
  <c r="A46" i="116"/>
  <c r="E12" i="8" s="1"/>
  <c r="A49" i="116"/>
  <c r="A50" i="116"/>
  <c r="A51" i="116"/>
  <c r="A52" i="116"/>
  <c r="A53" i="116"/>
  <c r="E49" i="8" s="1"/>
  <c r="A54" i="116"/>
  <c r="A55" i="116"/>
  <c r="A56" i="116"/>
  <c r="A57" i="116"/>
  <c r="A58" i="116"/>
  <c r="A59" i="116"/>
  <c r="A60" i="116"/>
  <c r="A61" i="116"/>
  <c r="L12" i="8" s="1"/>
  <c r="A62" i="116"/>
  <c r="A140" i="116"/>
  <c r="A141" i="116"/>
  <c r="A142" i="116"/>
  <c r="A146" i="116"/>
  <c r="A147" i="116"/>
  <c r="A151" i="116"/>
  <c r="A153" i="116"/>
  <c r="D250" i="3" s="1"/>
  <c r="A174" i="116"/>
  <c r="A175" i="116"/>
  <c r="A223" i="116"/>
  <c r="A224" i="116"/>
  <c r="C287" i="3" s="1"/>
  <c r="A225" i="116"/>
  <c r="A226" i="116"/>
  <c r="A227" i="116"/>
  <c r="A228" i="116"/>
  <c r="C291" i="3" s="1"/>
  <c r="A229" i="116"/>
  <c r="A230" i="116"/>
  <c r="A231" i="116"/>
  <c r="C294" i="3" s="1"/>
  <c r="A235" i="116"/>
  <c r="C309" i="3" s="1"/>
  <c r="A236" i="116"/>
  <c r="A243" i="116"/>
  <c r="A244" i="116"/>
  <c r="D331" i="3" s="1"/>
  <c r="A245" i="116"/>
  <c r="E6" i="3" s="1"/>
  <c r="A246" i="116"/>
  <c r="A248" i="116"/>
  <c r="A249" i="116"/>
  <c r="F6" i="3" s="1"/>
  <c r="A250" i="116"/>
  <c r="F285" i="3" s="1"/>
  <c r="A251" i="116"/>
  <c r="A252" i="116"/>
  <c r="A253" i="116"/>
  <c r="H6" i="3" s="1"/>
  <c r="A255" i="116"/>
  <c r="J6" i="3" s="1"/>
  <c r="A268" i="116"/>
  <c r="A269" i="116"/>
  <c r="A270" i="116"/>
  <c r="AE220" i="3" s="1"/>
  <c r="A271" i="116"/>
  <c r="AE225" i="3" s="1"/>
  <c r="A272" i="116"/>
  <c r="A273" i="116"/>
  <c r="A274" i="116"/>
  <c r="A275" i="116"/>
  <c r="G10" i="44" s="1"/>
  <c r="A276" i="116"/>
  <c r="A277" i="116"/>
  <c r="A278" i="116"/>
  <c r="A279" i="116"/>
  <c r="C1" i="18" s="1"/>
  <c r="A301" i="116"/>
  <c r="A327" i="116"/>
  <c r="A383" i="116"/>
  <c r="A389" i="116"/>
  <c r="B95" i="2" s="1"/>
  <c r="C68" i="2" s="1"/>
  <c r="A418" i="116"/>
  <c r="A431" i="116"/>
  <c r="B141" i="2" s="1"/>
  <c r="C112" i="2" s="1"/>
  <c r="A453" i="116"/>
  <c r="B164" i="2" s="1"/>
  <c r="A476" i="116"/>
  <c r="F3" i="2" s="1"/>
  <c r="G3" i="2"/>
  <c r="G2" i="2"/>
  <c r="F2" i="2"/>
  <c r="E3" i="2"/>
  <c r="E2" i="2"/>
  <c r="D4" i="2"/>
  <c r="D3" i="2"/>
  <c r="D2" i="2"/>
  <c r="C152" i="2"/>
  <c r="C149" i="2"/>
  <c r="C148" i="2"/>
  <c r="C147" i="2"/>
  <c r="C146" i="2"/>
  <c r="C144" i="2"/>
  <c r="C143" i="2"/>
  <c r="C142" i="2"/>
  <c r="C140" i="2"/>
  <c r="C139" i="2"/>
  <c r="C137" i="2"/>
  <c r="C136" i="2"/>
  <c r="C135" i="2"/>
  <c r="C134" i="2"/>
  <c r="C133" i="2"/>
  <c r="C131" i="2"/>
  <c r="C129" i="2"/>
  <c r="C128" i="2"/>
  <c r="C126" i="2"/>
  <c r="C124" i="2"/>
  <c r="C123" i="2"/>
  <c r="C122" i="2"/>
  <c r="C120" i="2"/>
  <c r="C119" i="2"/>
  <c r="C117" i="2"/>
  <c r="C116" i="2"/>
  <c r="C115" i="2"/>
  <c r="C114" i="2"/>
  <c r="C113" i="2"/>
  <c r="C111" i="2"/>
  <c r="C109" i="2"/>
  <c r="C108" i="2"/>
  <c r="C107" i="2"/>
  <c r="C106" i="2"/>
  <c r="C105" i="2"/>
  <c r="C102" i="2"/>
  <c r="C101" i="2"/>
  <c r="C99" i="2"/>
  <c r="B127" i="2"/>
  <c r="C98" i="2" s="1"/>
  <c r="C97" i="2"/>
  <c r="C95" i="2"/>
  <c r="C94" i="2"/>
  <c r="C93" i="2"/>
  <c r="C92" i="2"/>
  <c r="C89" i="2"/>
  <c r="C88" i="2"/>
  <c r="C87" i="2"/>
  <c r="C85" i="2"/>
  <c r="C84" i="2"/>
  <c r="C83" i="2"/>
  <c r="C81" i="2"/>
  <c r="C80" i="2"/>
  <c r="C79" i="2"/>
  <c r="C78" i="2"/>
  <c r="C77" i="2"/>
  <c r="C76" i="2"/>
  <c r="C74" i="2"/>
  <c r="C73" i="2"/>
  <c r="C71" i="2"/>
  <c r="C69" i="2"/>
  <c r="C67" i="2"/>
  <c r="C66" i="2"/>
  <c r="C62" i="2"/>
  <c r="B88" i="2"/>
  <c r="C61" i="2" s="1"/>
  <c r="C60" i="2"/>
  <c r="C59" i="2"/>
  <c r="C58" i="2"/>
  <c r="C57" i="2"/>
  <c r="C55" i="2"/>
  <c r="C54" i="2"/>
  <c r="C52" i="2"/>
  <c r="C51" i="2"/>
  <c r="C50" i="2"/>
  <c r="C49" i="2"/>
  <c r="C47" i="2"/>
  <c r="C46" i="2"/>
  <c r="C44" i="2"/>
  <c r="C43" i="2"/>
  <c r="C42" i="2"/>
  <c r="C41" i="2"/>
  <c r="C40" i="2"/>
  <c r="C38" i="2"/>
  <c r="C36" i="2"/>
  <c r="C35" i="2"/>
  <c r="C34" i="2"/>
  <c r="C33" i="2"/>
  <c r="B30" i="2"/>
  <c r="C30" i="2" s="1"/>
  <c r="C29" i="2"/>
  <c r="C27" i="2"/>
  <c r="C26" i="2"/>
  <c r="C25" i="2"/>
  <c r="C24" i="2"/>
  <c r="C23" i="2"/>
  <c r="C20" i="2"/>
  <c r="C19" i="2"/>
  <c r="C18" i="2"/>
  <c r="C17" i="2"/>
  <c r="C16" i="2"/>
  <c r="C14" i="2"/>
  <c r="C12" i="2"/>
  <c r="C11" i="2"/>
  <c r="C10" i="2"/>
  <c r="C9" i="2"/>
  <c r="C8" i="2"/>
  <c r="C5" i="2"/>
  <c r="B3" i="2"/>
  <c r="C3" i="2" s="1"/>
  <c r="B2" i="2"/>
  <c r="C2" i="2" s="1"/>
  <c r="D1" i="18"/>
  <c r="B1" i="18"/>
  <c r="A1" i="18"/>
  <c r="J12" i="44"/>
  <c r="B12" i="44"/>
  <c r="AF211" i="3"/>
  <c r="AE226" i="3"/>
  <c r="AE221" i="3"/>
  <c r="AE211" i="3"/>
  <c r="AE6" i="3"/>
  <c r="N240" i="3"/>
  <c r="N236" i="3"/>
  <c r="N235" i="3"/>
  <c r="N234" i="3"/>
  <c r="N233" i="3"/>
  <c r="N232" i="3"/>
  <c r="N231" i="3"/>
  <c r="N230" i="3"/>
  <c r="N226" i="3"/>
  <c r="N225" i="3"/>
  <c r="N224" i="3"/>
  <c r="N223" i="3"/>
  <c r="N222" i="3"/>
  <c r="N221" i="3"/>
  <c r="N220" i="3"/>
  <c r="N217" i="3"/>
  <c r="N216" i="3"/>
  <c r="N215" i="3"/>
  <c r="N214" i="3"/>
  <c r="N213" i="3"/>
  <c r="N212" i="3"/>
  <c r="N42" i="3"/>
  <c r="N41" i="3"/>
  <c r="N38" i="3"/>
  <c r="N37" i="3"/>
  <c r="N30" i="3"/>
  <c r="N25" i="3"/>
  <c r="N24" i="3"/>
  <c r="N20" i="3"/>
  <c r="N19" i="3"/>
  <c r="N15" i="3"/>
  <c r="N13" i="3"/>
  <c r="N10" i="3"/>
  <c r="N8" i="3"/>
  <c r="M240" i="3"/>
  <c r="M236" i="3"/>
  <c r="M235" i="3"/>
  <c r="M234" i="3"/>
  <c r="M233" i="3"/>
  <c r="M232" i="3"/>
  <c r="M231" i="3"/>
  <c r="M230" i="3"/>
  <c r="M226" i="3"/>
  <c r="M225" i="3"/>
  <c r="M224" i="3"/>
  <c r="M223" i="3"/>
  <c r="M222" i="3"/>
  <c r="M221" i="3"/>
  <c r="M220" i="3"/>
  <c r="M217" i="3"/>
  <c r="M216" i="3"/>
  <c r="M215" i="3"/>
  <c r="M214" i="3"/>
  <c r="M213" i="3"/>
  <c r="M212" i="3"/>
  <c r="M42" i="3"/>
  <c r="M41" i="3"/>
  <c r="M38" i="3"/>
  <c r="M37" i="3"/>
  <c r="M36" i="3"/>
  <c r="M35" i="3"/>
  <c r="M30" i="3"/>
  <c r="M29" i="3"/>
  <c r="M28" i="3"/>
  <c r="M27" i="3"/>
  <c r="M25" i="3"/>
  <c r="M23" i="3"/>
  <c r="M20" i="3"/>
  <c r="M19" i="3"/>
  <c r="M18" i="3"/>
  <c r="M17" i="3"/>
  <c r="M16" i="3"/>
  <c r="M15" i="3"/>
  <c r="M13" i="3"/>
  <c r="M10" i="3"/>
  <c r="M9" i="3"/>
  <c r="M8" i="3"/>
  <c r="I6" i="3"/>
  <c r="G285" i="3"/>
  <c r="G6" i="3"/>
  <c r="F331" i="3"/>
  <c r="E285" i="3"/>
  <c r="D310" i="3"/>
  <c r="D285" i="3"/>
  <c r="D6" i="3"/>
  <c r="C330" i="3"/>
  <c r="C297" i="3"/>
  <c r="C293" i="3"/>
  <c r="C292" i="3"/>
  <c r="C290" i="3"/>
  <c r="C289" i="3"/>
  <c r="C288" i="3"/>
  <c r="C285" i="3"/>
  <c r="C284" i="3"/>
  <c r="C6" i="3"/>
  <c r="AG22" i="43"/>
  <c r="AG21" i="43"/>
  <c r="AG20" i="43"/>
  <c r="V127" i="43"/>
  <c r="V96" i="43"/>
  <c r="V95" i="43"/>
  <c r="V94" i="43"/>
  <c r="U125" i="43"/>
  <c r="Q182" i="43"/>
  <c r="Q181" i="43"/>
  <c r="Q180" i="43"/>
  <c r="Q179" i="43"/>
  <c r="Q176" i="43"/>
  <c r="Q175" i="43"/>
  <c r="Q174" i="43"/>
  <c r="Q40" i="43"/>
  <c r="Q39" i="43"/>
  <c r="Q36" i="43"/>
  <c r="Q35" i="43"/>
  <c r="Q34" i="43"/>
  <c r="Q33" i="43"/>
  <c r="Q32" i="43"/>
  <c r="Q31" i="43"/>
  <c r="Q30" i="43"/>
  <c r="Q29" i="43"/>
  <c r="J15" i="43"/>
  <c r="I182" i="43"/>
  <c r="I181" i="43"/>
  <c r="I180" i="43"/>
  <c r="I179" i="43"/>
  <c r="I176" i="43"/>
  <c r="I175" i="43"/>
  <c r="I174" i="43"/>
  <c r="I169" i="43"/>
  <c r="I168" i="43"/>
  <c r="I167" i="43"/>
  <c r="I166" i="43"/>
  <c r="I165" i="43"/>
  <c r="I164" i="43"/>
  <c r="I163" i="43"/>
  <c r="I40" i="43"/>
  <c r="I39" i="43"/>
  <c r="I36" i="43"/>
  <c r="I35" i="43"/>
  <c r="I34" i="43"/>
  <c r="I33" i="43"/>
  <c r="I32" i="43"/>
  <c r="I31" i="43"/>
  <c r="I30" i="43"/>
  <c r="I29" i="43"/>
  <c r="H120" i="43"/>
  <c r="H26" i="43"/>
  <c r="K16" i="115"/>
  <c r="I16" i="115"/>
  <c r="I4" i="115"/>
  <c r="H4" i="115"/>
  <c r="E30" i="115"/>
  <c r="E29" i="115"/>
  <c r="E28" i="115"/>
  <c r="E27" i="115"/>
  <c r="E26" i="115"/>
  <c r="E25" i="115"/>
  <c r="E24" i="115"/>
  <c r="E23" i="115"/>
  <c r="E22" i="115"/>
  <c r="E21" i="115"/>
  <c r="E14" i="115"/>
  <c r="E13" i="115"/>
  <c r="E12" i="115"/>
  <c r="E11" i="115"/>
  <c r="D9" i="115"/>
  <c r="C71" i="115"/>
  <c r="C70" i="115"/>
  <c r="C69" i="115"/>
  <c r="C68" i="115"/>
  <c r="C67" i="115"/>
  <c r="C66" i="115"/>
  <c r="C65" i="115"/>
  <c r="C4" i="115"/>
  <c r="AK26" i="99"/>
  <c r="AK25" i="99"/>
  <c r="AK24" i="99"/>
  <c r="AK6" i="99"/>
  <c r="AG21" i="99"/>
  <c r="AA20" i="99"/>
  <c r="Z43" i="99"/>
  <c r="Z42" i="99"/>
  <c r="Z41" i="99"/>
  <c r="Z36" i="99"/>
  <c r="Z35" i="99"/>
  <c r="Z34" i="99"/>
  <c r="Z31" i="99"/>
  <c r="Y41" i="99"/>
  <c r="X9" i="99"/>
  <c r="U12" i="99"/>
  <c r="U11" i="99"/>
  <c r="U9" i="99"/>
  <c r="U8" i="99"/>
  <c r="U7" i="99"/>
  <c r="U5" i="99"/>
  <c r="BA7" i="93"/>
  <c r="BA6" i="93"/>
  <c r="BA5" i="93"/>
  <c r="AD56" i="93"/>
  <c r="AD51" i="93"/>
  <c r="AD46" i="93"/>
  <c r="AD25" i="93"/>
  <c r="AD22" i="93"/>
  <c r="AB3" i="93"/>
  <c r="Z141" i="93"/>
  <c r="Z137" i="93"/>
  <c r="Z56" i="93"/>
  <c r="Z51" i="93"/>
  <c r="Z46" i="93"/>
  <c r="Z25" i="93"/>
  <c r="Z22" i="93"/>
  <c r="Y141" i="93"/>
  <c r="Y137" i="93"/>
  <c r="Y56" i="93"/>
  <c r="Y51" i="93"/>
  <c r="Y46" i="93"/>
  <c r="Y25" i="93"/>
  <c r="Y22" i="93"/>
  <c r="Y12" i="93"/>
  <c r="V125" i="93"/>
  <c r="U141" i="93"/>
  <c r="U137" i="93"/>
  <c r="U89" i="93"/>
  <c r="U85" i="93"/>
  <c r="U56" i="93"/>
  <c r="U51" i="93"/>
  <c r="U46" i="93"/>
  <c r="U25" i="93"/>
  <c r="U22" i="93"/>
  <c r="T125" i="93"/>
  <c r="T12" i="93"/>
  <c r="H7" i="93"/>
  <c r="H9" i="93"/>
  <c r="H8" i="93"/>
  <c r="H11" i="93"/>
  <c r="S141" i="93"/>
  <c r="S137" i="93"/>
  <c r="S125" i="93"/>
  <c r="S89" i="93"/>
  <c r="S85" i="93"/>
  <c r="S56" i="93"/>
  <c r="S51" i="93"/>
  <c r="S46" i="93"/>
  <c r="S25" i="93"/>
  <c r="S22" i="93"/>
  <c r="Q107" i="93"/>
  <c r="Q103" i="93"/>
  <c r="Q99" i="93"/>
  <c r="Q6" i="93"/>
  <c r="P141" i="93"/>
  <c r="P137" i="93"/>
  <c r="P125" i="93"/>
  <c r="P56" i="93"/>
  <c r="P51" i="93"/>
  <c r="P46" i="93"/>
  <c r="P25" i="93"/>
  <c r="P22" i="93"/>
  <c r="P6" i="93"/>
  <c r="M149" i="93"/>
  <c r="M141" i="93"/>
  <c r="M137" i="93"/>
  <c r="M133" i="93"/>
  <c r="M125" i="93"/>
  <c r="M121" i="93"/>
  <c r="M113" i="93"/>
  <c r="M81" i="93"/>
  <c r="M73" i="93"/>
  <c r="M69" i="93"/>
  <c r="M65" i="93"/>
  <c r="M56" i="93"/>
  <c r="M51" i="93"/>
  <c r="M46" i="93"/>
  <c r="M39" i="93"/>
  <c r="M36" i="93"/>
  <c r="M33" i="93"/>
  <c r="M30" i="93"/>
  <c r="M28" i="93"/>
  <c r="L89" i="93"/>
  <c r="L85" i="93"/>
  <c r="H13" i="93"/>
  <c r="H12" i="93"/>
  <c r="H10" i="93"/>
  <c r="H6" i="93"/>
  <c r="F97" i="93"/>
  <c r="F89" i="93"/>
  <c r="F85" i="93"/>
  <c r="F73" i="93"/>
  <c r="F14" i="93"/>
  <c r="F13" i="93"/>
  <c r="F11" i="93"/>
  <c r="F10" i="93"/>
  <c r="F9" i="93"/>
  <c r="E97" i="93"/>
  <c r="E27" i="93"/>
  <c r="E21" i="93"/>
  <c r="E14" i="93"/>
  <c r="AB2" i="93" s="1"/>
  <c r="E13" i="93"/>
  <c r="D146" i="93"/>
  <c r="D141" i="93"/>
  <c r="D137" i="93"/>
  <c r="D133" i="93"/>
  <c r="D121" i="93"/>
  <c r="D97" i="93"/>
  <c r="D81" i="93"/>
  <c r="D73" i="93"/>
  <c r="D65" i="93"/>
  <c r="D57" i="93"/>
  <c r="D52" i="93"/>
  <c r="D47" i="93"/>
  <c r="D40" i="93"/>
  <c r="D37" i="93"/>
  <c r="D34" i="93"/>
  <c r="D31" i="93"/>
  <c r="D27" i="93"/>
  <c r="D26" i="93"/>
  <c r="D25" i="93"/>
  <c r="D22" i="93"/>
  <c r="D21" i="93"/>
  <c r="D19" i="93"/>
  <c r="D14" i="93"/>
  <c r="D13" i="93"/>
  <c r="D12" i="93"/>
  <c r="D11" i="93"/>
  <c r="D10" i="93"/>
  <c r="D9" i="93"/>
  <c r="D8" i="93"/>
  <c r="D7" i="93"/>
  <c r="D6" i="93"/>
  <c r="D5" i="93"/>
  <c r="B6" i="93"/>
  <c r="M12" i="8"/>
  <c r="K12" i="8"/>
  <c r="J12" i="8"/>
  <c r="H9" i="8"/>
  <c r="H8" i="8"/>
  <c r="H7" i="8"/>
  <c r="H6" i="8"/>
  <c r="H5" i="8"/>
  <c r="G16" i="8"/>
  <c r="E42" i="8"/>
  <c r="E40" i="8"/>
  <c r="E33" i="8"/>
  <c r="E31" i="8"/>
  <c r="E24" i="8"/>
  <c r="E22" i="8"/>
  <c r="E16" i="8"/>
  <c r="E15" i="8"/>
  <c r="E14" i="8"/>
  <c r="E9" i="8"/>
  <c r="E8" i="8"/>
  <c r="E7" i="8"/>
  <c r="E6" i="8"/>
  <c r="E5" i="8"/>
  <c r="D50" i="8"/>
  <c r="D23" i="8"/>
  <c r="D13" i="8"/>
  <c r="D9" i="8"/>
  <c r="D8" i="8"/>
  <c r="D7" i="8"/>
  <c r="D6" i="8"/>
  <c r="D5" i="8"/>
  <c r="D2" i="8"/>
  <c r="E47" i="60"/>
  <c r="E46" i="60"/>
  <c r="E12" i="60"/>
  <c r="D41" i="60"/>
  <c r="D40" i="60"/>
  <c r="D39" i="60"/>
  <c r="D38" i="60"/>
  <c r="D37" i="60"/>
  <c r="D36" i="60"/>
  <c r="D35" i="60"/>
  <c r="D33" i="60"/>
  <c r="D32" i="60"/>
  <c r="D27" i="60"/>
  <c r="D26" i="60"/>
  <c r="D25" i="60"/>
  <c r="D24" i="60"/>
  <c r="C45" i="60"/>
  <c r="C44" i="60"/>
  <c r="C30" i="60"/>
  <c r="C22" i="60"/>
  <c r="C14" i="60"/>
  <c r="C12" i="60"/>
  <c r="C10" i="60"/>
  <c r="C7" i="60"/>
  <c r="C5" i="60"/>
  <c r="AY8" i="93"/>
  <c r="AY6" i="93"/>
  <c r="G293" i="3"/>
  <c r="D290" i="3"/>
  <c r="D291" i="3" s="1"/>
  <c r="D292" i="3" s="1"/>
  <c r="D293" i="3" s="1"/>
  <c r="J12" i="115"/>
  <c r="A373" i="3"/>
  <c r="A31" i="115"/>
  <c r="A30" i="115"/>
  <c r="A29" i="115"/>
  <c r="A28" i="115"/>
  <c r="A27" i="115"/>
  <c r="A26" i="115"/>
  <c r="A25" i="115"/>
  <c r="A24" i="115"/>
  <c r="A23" i="115"/>
  <c r="A22" i="115"/>
  <c r="A21" i="115"/>
  <c r="F11" i="115"/>
  <c r="A75" i="99"/>
  <c r="A74" i="99"/>
  <c r="A73" i="99"/>
  <c r="A72" i="99"/>
  <c r="A71" i="99"/>
  <c r="A69" i="99"/>
  <c r="A68" i="99"/>
  <c r="A67" i="99"/>
  <c r="A66" i="99"/>
  <c r="A65" i="99"/>
  <c r="A64" i="99"/>
  <c r="A63" i="99"/>
  <c r="A60" i="99"/>
  <c r="A58" i="99"/>
  <c r="A56" i="99"/>
  <c r="A54" i="99"/>
  <c r="A50" i="99"/>
  <c r="A39" i="99"/>
  <c r="A38" i="99"/>
  <c r="A36" i="99"/>
  <c r="A35" i="99"/>
  <c r="A34" i="99"/>
  <c r="A30" i="99"/>
  <c r="A29" i="99"/>
  <c r="A28" i="99"/>
  <c r="A27" i="99"/>
  <c r="A26" i="99"/>
  <c r="A25" i="99"/>
  <c r="A24" i="99"/>
  <c r="F12" i="99"/>
  <c r="E8" i="99"/>
  <c r="E7" i="99"/>
  <c r="BG6" i="99"/>
  <c r="BC6" i="99"/>
  <c r="AN149" i="93"/>
  <c r="AN141" i="93"/>
  <c r="AN137" i="93"/>
  <c r="AN125" i="93"/>
  <c r="AN113" i="93"/>
  <c r="AN89" i="93"/>
  <c r="AN85" i="93"/>
  <c r="AN73" i="93"/>
  <c r="AN69" i="93"/>
  <c r="AN65" i="93"/>
  <c r="AN56" i="93"/>
  <c r="AN51" i="93"/>
  <c r="AN46" i="93"/>
  <c r="AN39" i="93"/>
  <c r="AN36" i="93"/>
  <c r="AN33" i="93"/>
  <c r="AN30" i="93"/>
  <c r="AN24" i="93"/>
  <c r="AN20" i="93"/>
  <c r="O7" i="93"/>
  <c r="AB1" i="93"/>
  <c r="A42" i="8"/>
  <c r="A33" i="8"/>
  <c r="A330" i="3"/>
  <c r="A297" i="3"/>
  <c r="C340" i="3"/>
  <c r="A339" i="3"/>
  <c r="A309" i="3"/>
  <c r="D287" i="3"/>
  <c r="A284" i="3"/>
  <c r="A24" i="8"/>
  <c r="G294" i="3"/>
  <c r="D288" i="3"/>
  <c r="D289" i="3" s="1"/>
  <c r="D294" i="3" s="1"/>
  <c r="G292" i="3"/>
  <c r="G291" i="3"/>
  <c r="G290" i="3"/>
  <c r="G289" i="3"/>
  <c r="G288" i="3"/>
  <c r="G287" i="3"/>
  <c r="A14" i="8"/>
  <c r="J17" i="43"/>
  <c r="N17" i="43"/>
  <c r="G42" i="8"/>
  <c r="K17" i="43"/>
  <c r="O17" i="43"/>
  <c r="E1" i="115"/>
  <c r="AE22" i="99"/>
  <c r="AF22" i="99"/>
  <c r="G33" i="8"/>
  <c r="M17" i="43"/>
  <c r="AB22" i="99"/>
  <c r="AA22" i="99"/>
  <c r="L17" i="43"/>
  <c r="G24" i="8"/>
  <c r="AD22" i="99"/>
  <c r="AC22" i="99"/>
  <c r="G41" i="8"/>
  <c r="G14" i="8"/>
  <c r="L39" i="133" l="1"/>
  <c r="X39" i="133"/>
  <c r="AC39" i="133" s="1"/>
  <c r="AO34" i="133"/>
  <c r="AJ37" i="133"/>
  <c r="AO37" i="133" s="1"/>
  <c r="AL37" i="133"/>
  <c r="AL36" i="133"/>
  <c r="AJ36" i="133"/>
  <c r="AO36" i="133" s="1"/>
  <c r="D234" i="3"/>
  <c r="D207" i="3"/>
  <c r="D203" i="3"/>
  <c r="D191" i="3"/>
  <c r="D183" i="3"/>
  <c r="D172" i="3"/>
  <c r="D157" i="3"/>
  <c r="D142" i="3"/>
  <c r="D128" i="3"/>
  <c r="D114" i="3"/>
  <c r="D175" i="3"/>
  <c r="D168" i="3"/>
  <c r="D165" i="3"/>
  <c r="D241" i="3"/>
  <c r="D202" i="3"/>
  <c r="D179" i="3"/>
  <c r="D160" i="3"/>
  <c r="D149" i="3"/>
  <c r="D108" i="3"/>
  <c r="D104" i="3"/>
  <c r="D100" i="3"/>
  <c r="D84" i="3"/>
  <c r="D58" i="3"/>
  <c r="D48" i="3"/>
  <c r="F392" i="3"/>
  <c r="E392" i="3"/>
  <c r="G392" i="3"/>
  <c r="I392" i="3"/>
  <c r="H392" i="3"/>
  <c r="D205" i="3"/>
  <c r="D198" i="3"/>
  <c r="D193" i="3"/>
  <c r="D152" i="3"/>
  <c r="D125" i="3"/>
  <c r="D120" i="3"/>
  <c r="D116" i="3"/>
  <c r="D219" i="3"/>
  <c r="D210" i="3"/>
  <c r="D184" i="3"/>
  <c r="D182" i="3"/>
  <c r="D164" i="3"/>
  <c r="D86" i="3"/>
  <c r="D218" i="3"/>
  <c r="D214" i="3"/>
  <c r="D155" i="3"/>
  <c r="D147" i="3"/>
  <c r="D130" i="3"/>
  <c r="D95" i="3"/>
  <c r="D79" i="3"/>
  <c r="E109" i="132"/>
  <c r="AK113" i="132"/>
  <c r="D236" i="3"/>
  <c r="D200" i="3"/>
  <c r="D169" i="3"/>
  <c r="D139" i="3"/>
  <c r="D106" i="3"/>
  <c r="D102" i="3"/>
  <c r="D56" i="3"/>
  <c r="C377" i="3"/>
  <c r="AU4" i="119"/>
  <c r="AR6" i="93"/>
  <c r="F187" i="3"/>
  <c r="D316" i="3"/>
  <c r="AY4" i="93"/>
  <c r="AX4" i="93" s="1"/>
  <c r="AU6" i="93"/>
  <c r="C210" i="3"/>
  <c r="C205" i="3"/>
  <c r="C201" i="3"/>
  <c r="C198" i="3"/>
  <c r="C190" i="3"/>
  <c r="C186" i="3"/>
  <c r="AP1" i="132"/>
  <c r="AR4" i="93"/>
  <c r="AP7" i="119"/>
  <c r="AS4" i="119"/>
  <c r="F234" i="3"/>
  <c r="C197" i="3"/>
  <c r="C193" i="3"/>
  <c r="C189" i="3"/>
  <c r="C185" i="3"/>
  <c r="E41" i="119"/>
  <c r="AP6" i="93"/>
  <c r="AR7" i="93"/>
  <c r="AV4" i="93"/>
  <c r="F418" i="3"/>
  <c r="C200" i="3"/>
  <c r="C196" i="3"/>
  <c r="C192" i="3"/>
  <c r="C188" i="3"/>
  <c r="C359" i="3"/>
  <c r="C393" i="3" s="1"/>
  <c r="AY7" i="119"/>
  <c r="AY7" i="93"/>
  <c r="D323" i="3"/>
  <c r="F223" i="3"/>
  <c r="F220" i="3"/>
  <c r="F190" i="3"/>
  <c r="F203" i="3"/>
  <c r="AK36" i="93"/>
  <c r="AS1" i="119"/>
  <c r="AK54" i="119"/>
  <c r="AK122" i="132"/>
  <c r="F208" i="3"/>
  <c r="AY9" i="93"/>
  <c r="AY3" i="119"/>
  <c r="AX3" i="119" s="1"/>
  <c r="AS7" i="119"/>
  <c r="AS7" i="93"/>
  <c r="AY9" i="119"/>
  <c r="AY3" i="93"/>
  <c r="AX3" i="93" s="1"/>
  <c r="AS4" i="93"/>
  <c r="AU7" i="119"/>
  <c r="T46" i="93"/>
  <c r="AK20" i="119"/>
  <c r="T40" i="119"/>
  <c r="E315" i="3"/>
  <c r="E324" i="3"/>
  <c r="F226" i="3"/>
  <c r="F216" i="3"/>
  <c r="F206" i="3"/>
  <c r="F200" i="3"/>
  <c r="F192" i="3"/>
  <c r="F135" i="3"/>
  <c r="D328" i="3"/>
  <c r="D315" i="3"/>
  <c r="V141" i="132" s="1"/>
  <c r="X141" i="132" s="1"/>
  <c r="I141" i="132" s="1"/>
  <c r="I393" i="3"/>
  <c r="AK45" i="119"/>
  <c r="E317" i="3"/>
  <c r="E325" i="3"/>
  <c r="F235" i="3"/>
  <c r="F230" i="3"/>
  <c r="F205" i="3"/>
  <c r="F197" i="3"/>
  <c r="F194" i="3"/>
  <c r="F186" i="3"/>
  <c r="D321" i="3"/>
  <c r="D209" i="3"/>
  <c r="AK98" i="132"/>
  <c r="F412" i="3"/>
  <c r="F225" i="3"/>
  <c r="F222" i="3"/>
  <c r="F188" i="3"/>
  <c r="T108" i="132"/>
  <c r="AK39" i="93"/>
  <c r="E52" i="93"/>
  <c r="F415" i="3"/>
  <c r="E28" i="93"/>
  <c r="F214" i="3"/>
  <c r="F193" i="3"/>
  <c r="F191" i="3"/>
  <c r="F185" i="3"/>
  <c r="D324" i="3"/>
  <c r="D320" i="3"/>
  <c r="T20" i="119"/>
  <c r="A209" i="3"/>
  <c r="A210" i="3" s="1"/>
  <c r="A211" i="3" s="1"/>
  <c r="A212" i="3" s="1"/>
  <c r="A213" i="3" s="1"/>
  <c r="A214" i="3" s="1"/>
  <c r="A215" i="3" s="1"/>
  <c r="A216" i="3" s="1"/>
  <c r="A217" i="3" s="1"/>
  <c r="A218" i="3" s="1"/>
  <c r="A219" i="3" s="1"/>
  <c r="A220" i="3" s="1"/>
  <c r="A221" i="3" s="1"/>
  <c r="A222" i="3" s="1"/>
  <c r="A223" i="3" s="1"/>
  <c r="A224" i="3" s="1"/>
  <c r="A225" i="3" s="1"/>
  <c r="A226" i="3" s="1"/>
  <c r="A227" i="3" s="1"/>
  <c r="A228" i="3" s="1"/>
  <c r="A229" i="3" s="1"/>
  <c r="A230" i="3" s="1"/>
  <c r="A231" i="3" s="1"/>
  <c r="A232" i="3" s="1"/>
  <c r="A233" i="3" s="1"/>
  <c r="A234" i="3" s="1"/>
  <c r="A235" i="3" s="1"/>
  <c r="A236" i="3" s="1"/>
  <c r="A237" i="3" s="1"/>
  <c r="A238" i="3" s="1"/>
  <c r="A239" i="3" s="1"/>
  <c r="A240" i="3" s="1"/>
  <c r="A241" i="3" s="1"/>
  <c r="A242" i="3" s="1"/>
  <c r="A243" i="3" s="1"/>
  <c r="A244" i="3" s="1"/>
  <c r="I385" i="3"/>
  <c r="F416" i="3"/>
  <c r="F236" i="3"/>
  <c r="F210" i="3"/>
  <c r="F207" i="3"/>
  <c r="F199" i="3"/>
  <c r="F196" i="3"/>
  <c r="AK51" i="93"/>
  <c r="E337" i="3"/>
  <c r="Q51" i="93" s="1"/>
  <c r="E332" i="3"/>
  <c r="F379" i="3"/>
  <c r="AK30" i="93"/>
  <c r="F417" i="3"/>
  <c r="E311" i="3"/>
  <c r="F224" i="3"/>
  <c r="F221" i="3"/>
  <c r="G390" i="3"/>
  <c r="N48" i="3"/>
  <c r="N55" i="3"/>
  <c r="M61" i="3"/>
  <c r="M68" i="3"/>
  <c r="M74" i="3"/>
  <c r="N80" i="3"/>
  <c r="N87" i="3"/>
  <c r="M93" i="3"/>
  <c r="M100" i="3"/>
  <c r="M106" i="3"/>
  <c r="N112" i="3"/>
  <c r="N119" i="3"/>
  <c r="M126" i="3"/>
  <c r="M134" i="3"/>
  <c r="M140" i="3"/>
  <c r="N146" i="3"/>
  <c r="N153" i="3"/>
  <c r="M159" i="3"/>
  <c r="M167" i="3"/>
  <c r="M173" i="3"/>
  <c r="N179" i="3"/>
  <c r="K168" i="3"/>
  <c r="F168" i="3" s="1"/>
  <c r="K141" i="3"/>
  <c r="F141" i="3" s="1"/>
  <c r="M49" i="3"/>
  <c r="M56" i="3"/>
  <c r="M62" i="3"/>
  <c r="N68" i="3"/>
  <c r="N75" i="3"/>
  <c r="M81" i="3"/>
  <c r="M88" i="3"/>
  <c r="M94" i="3"/>
  <c r="N100" i="3"/>
  <c r="N107" i="3"/>
  <c r="M113" i="3"/>
  <c r="M120" i="3"/>
  <c r="M128" i="3"/>
  <c r="N134" i="3"/>
  <c r="N141" i="3"/>
  <c r="M147" i="3"/>
  <c r="M154" i="3"/>
  <c r="M160" i="3"/>
  <c r="N167" i="3"/>
  <c r="N174" i="3"/>
  <c r="M180" i="3"/>
  <c r="K174" i="3"/>
  <c r="F174" i="3" s="1"/>
  <c r="L165" i="3"/>
  <c r="K155" i="3"/>
  <c r="F155" i="3" s="1"/>
  <c r="K103" i="3"/>
  <c r="F103" i="3" s="1"/>
  <c r="K96" i="3"/>
  <c r="M50" i="3"/>
  <c r="N56" i="3"/>
  <c r="N63" i="3"/>
  <c r="M69" i="3"/>
  <c r="M76" i="3"/>
  <c r="M82" i="3"/>
  <c r="N88" i="3"/>
  <c r="N95" i="3"/>
  <c r="M101" i="3"/>
  <c r="M108" i="3"/>
  <c r="M114" i="3"/>
  <c r="N120" i="3"/>
  <c r="N129" i="3"/>
  <c r="M135" i="3"/>
  <c r="M142" i="3"/>
  <c r="M148" i="3"/>
  <c r="N154" i="3"/>
  <c r="N162" i="3"/>
  <c r="M168" i="3"/>
  <c r="M175" i="3"/>
  <c r="M181" i="3"/>
  <c r="L180" i="3"/>
  <c r="L170" i="3"/>
  <c r="K158" i="3"/>
  <c r="K133" i="3"/>
  <c r="L99" i="3"/>
  <c r="K178" i="3"/>
  <c r="F178" i="3" s="1"/>
  <c r="K163" i="3"/>
  <c r="F163" i="3" s="1"/>
  <c r="L138" i="3"/>
  <c r="N51" i="3"/>
  <c r="M57" i="3"/>
  <c r="M64" i="3"/>
  <c r="M70" i="3"/>
  <c r="N76" i="3"/>
  <c r="N83" i="3"/>
  <c r="M89" i="3"/>
  <c r="M96" i="3"/>
  <c r="M102" i="3"/>
  <c r="N108" i="3"/>
  <c r="N115" i="3"/>
  <c r="M121" i="3"/>
  <c r="M130" i="3"/>
  <c r="M136" i="3"/>
  <c r="N142" i="3"/>
  <c r="N149" i="3"/>
  <c r="M155" i="3"/>
  <c r="M163" i="3"/>
  <c r="M169" i="3"/>
  <c r="N175" i="3"/>
  <c r="N182" i="3"/>
  <c r="L136" i="3"/>
  <c r="L128" i="3"/>
  <c r="K71" i="3"/>
  <c r="F71" i="3" s="1"/>
  <c r="M52" i="3"/>
  <c r="M58" i="3"/>
  <c r="N64" i="3"/>
  <c r="N71" i="3"/>
  <c r="M77" i="3"/>
  <c r="M84" i="3"/>
  <c r="M90" i="3"/>
  <c r="N96" i="3"/>
  <c r="N103" i="3"/>
  <c r="M109" i="3"/>
  <c r="M116" i="3"/>
  <c r="M122" i="3"/>
  <c r="N130" i="3"/>
  <c r="N137" i="3"/>
  <c r="M143" i="3"/>
  <c r="M150" i="3"/>
  <c r="M156" i="3"/>
  <c r="N163" i="3"/>
  <c r="N170" i="3"/>
  <c r="M176" i="3"/>
  <c r="M183" i="3"/>
  <c r="K176" i="3"/>
  <c r="F176" i="3" s="1"/>
  <c r="K160" i="3"/>
  <c r="L150" i="3"/>
  <c r="L132" i="3"/>
  <c r="K79" i="3"/>
  <c r="L75" i="3"/>
  <c r="N49" i="3"/>
  <c r="N53" i="3"/>
  <c r="N57" i="3"/>
  <c r="N61" i="3"/>
  <c r="N65" i="3"/>
  <c r="N69" i="3"/>
  <c r="N73" i="3"/>
  <c r="N77" i="3"/>
  <c r="N81" i="3"/>
  <c r="N85" i="3"/>
  <c r="N89" i="3"/>
  <c r="N93" i="3"/>
  <c r="N97" i="3"/>
  <c r="N101" i="3"/>
  <c r="N105" i="3"/>
  <c r="N109" i="3"/>
  <c r="N113" i="3"/>
  <c r="N117" i="3"/>
  <c r="N121" i="3"/>
  <c r="N126" i="3"/>
  <c r="N131" i="3"/>
  <c r="N135" i="3"/>
  <c r="N139" i="3"/>
  <c r="N143" i="3"/>
  <c r="N147" i="3"/>
  <c r="N151" i="3"/>
  <c r="N155" i="3"/>
  <c r="N159" i="3"/>
  <c r="N164" i="3"/>
  <c r="N168" i="3"/>
  <c r="N172" i="3"/>
  <c r="N176" i="3"/>
  <c r="N180" i="3"/>
  <c r="K182" i="3"/>
  <c r="F182" i="3" s="1"/>
  <c r="K180" i="3"/>
  <c r="F180" i="3" s="1"/>
  <c r="K172" i="3"/>
  <c r="F172" i="3" s="1"/>
  <c r="K170" i="3"/>
  <c r="L163" i="3"/>
  <c r="L158" i="3"/>
  <c r="K153" i="3"/>
  <c r="F153" i="3" s="1"/>
  <c r="K150" i="3"/>
  <c r="L146" i="3"/>
  <c r="K143" i="3"/>
  <c r="L141" i="3"/>
  <c r="K138" i="3"/>
  <c r="F138" i="3" s="1"/>
  <c r="K128" i="3"/>
  <c r="K116" i="3"/>
  <c r="K113" i="3"/>
  <c r="F113" i="3" s="1"/>
  <c r="L110" i="3"/>
  <c r="N50" i="3"/>
  <c r="N54" i="3"/>
  <c r="N58" i="3"/>
  <c r="N62" i="3"/>
  <c r="N66" i="3"/>
  <c r="N70" i="3"/>
  <c r="N74" i="3"/>
  <c r="N78" i="3"/>
  <c r="N82" i="3"/>
  <c r="N86" i="3"/>
  <c r="N90" i="3"/>
  <c r="N94" i="3"/>
  <c r="N98" i="3"/>
  <c r="N102" i="3"/>
  <c r="N106" i="3"/>
  <c r="N110" i="3"/>
  <c r="N114" i="3"/>
  <c r="N118" i="3"/>
  <c r="N122" i="3"/>
  <c r="N128" i="3"/>
  <c r="N132" i="3"/>
  <c r="N136" i="3"/>
  <c r="N140" i="3"/>
  <c r="N144" i="3"/>
  <c r="N148" i="3"/>
  <c r="N152" i="3"/>
  <c r="N156" i="3"/>
  <c r="N160" i="3"/>
  <c r="N165" i="3"/>
  <c r="N169" i="3"/>
  <c r="N173" i="3"/>
  <c r="N177" i="3"/>
  <c r="N181" i="3"/>
  <c r="L178" i="3"/>
  <c r="L176" i="3"/>
  <c r="L174" i="3"/>
  <c r="L168" i="3"/>
  <c r="L166" i="3"/>
  <c r="K159" i="3"/>
  <c r="F159" i="3" s="1"/>
  <c r="K157" i="3"/>
  <c r="K147" i="3"/>
  <c r="F147" i="3" s="1"/>
  <c r="K122" i="3"/>
  <c r="L96" i="3"/>
  <c r="L82" i="3"/>
  <c r="M47" i="3"/>
  <c r="M51" i="3"/>
  <c r="M55" i="3"/>
  <c r="M59" i="3"/>
  <c r="M63" i="3"/>
  <c r="M67" i="3"/>
  <c r="M71" i="3"/>
  <c r="M75" i="3"/>
  <c r="M79" i="3"/>
  <c r="M83" i="3"/>
  <c r="M87" i="3"/>
  <c r="M91" i="3"/>
  <c r="M95" i="3"/>
  <c r="M99" i="3"/>
  <c r="M103" i="3"/>
  <c r="M107" i="3"/>
  <c r="M111" i="3"/>
  <c r="M115" i="3"/>
  <c r="M119" i="3"/>
  <c r="M124" i="3"/>
  <c r="M129" i="3"/>
  <c r="M133" i="3"/>
  <c r="M137" i="3"/>
  <c r="M141" i="3"/>
  <c r="M145" i="3"/>
  <c r="M149" i="3"/>
  <c r="M153" i="3"/>
  <c r="M157" i="3"/>
  <c r="M162" i="3"/>
  <c r="M166" i="3"/>
  <c r="M170" i="3"/>
  <c r="M174" i="3"/>
  <c r="M178" i="3"/>
  <c r="M182" i="3"/>
  <c r="K183" i="3"/>
  <c r="F183" i="3" s="1"/>
  <c r="K164" i="3"/>
  <c r="F164" i="3" s="1"/>
  <c r="K162" i="3"/>
  <c r="F162" i="3" s="1"/>
  <c r="L159" i="3"/>
  <c r="L157" i="3"/>
  <c r="L147" i="3"/>
  <c r="K145" i="3"/>
  <c r="F145" i="3" s="1"/>
  <c r="K142" i="3"/>
  <c r="F142" i="3" s="1"/>
  <c r="L140" i="3"/>
  <c r="K134" i="3"/>
  <c r="K104" i="3"/>
  <c r="L183" i="3"/>
  <c r="K179" i="3"/>
  <c r="F179" i="3" s="1"/>
  <c r="K175" i="3"/>
  <c r="F175" i="3" s="1"/>
  <c r="K169" i="3"/>
  <c r="F169" i="3" s="1"/>
  <c r="L164" i="3"/>
  <c r="L162" i="3"/>
  <c r="K154" i="3"/>
  <c r="F154" i="3" s="1"/>
  <c r="L145" i="3"/>
  <c r="L142" i="3"/>
  <c r="K137" i="3"/>
  <c r="F137" i="3" s="1"/>
  <c r="L112" i="3"/>
  <c r="K101" i="3"/>
  <c r="F101" i="3" s="1"/>
  <c r="L98" i="3"/>
  <c r="L62" i="3"/>
  <c r="K181" i="3"/>
  <c r="F181" i="3" s="1"/>
  <c r="L179" i="3"/>
  <c r="K177" i="3"/>
  <c r="F177" i="3" s="1"/>
  <c r="L175" i="3"/>
  <c r="K173" i="3"/>
  <c r="F173" i="3" s="1"/>
  <c r="K171" i="3"/>
  <c r="F171" i="3" s="1"/>
  <c r="L169" i="3"/>
  <c r="K167" i="3"/>
  <c r="F167" i="3" s="1"/>
  <c r="L154" i="3"/>
  <c r="K151" i="3"/>
  <c r="F151" i="3" s="1"/>
  <c r="K149" i="3"/>
  <c r="F149" i="3" s="1"/>
  <c r="L137" i="3"/>
  <c r="L125" i="3"/>
  <c r="K117" i="3"/>
  <c r="F117" i="3" s="1"/>
  <c r="K95" i="3"/>
  <c r="F95" i="3" s="1"/>
  <c r="L91" i="3"/>
  <c r="L73" i="3"/>
  <c r="K66" i="3"/>
  <c r="L54" i="3"/>
  <c r="L181" i="3"/>
  <c r="L177" i="3"/>
  <c r="L173" i="3"/>
  <c r="L171" i="3"/>
  <c r="L167" i="3"/>
  <c r="K165" i="3"/>
  <c r="F165" i="3" s="1"/>
  <c r="L149" i="3"/>
  <c r="K80" i="3"/>
  <c r="K69" i="3"/>
  <c r="F69" i="3" s="1"/>
  <c r="AV2" i="93"/>
  <c r="AP6" i="119"/>
  <c r="AV7" i="119"/>
  <c r="AQ2" i="119"/>
  <c r="AQ5" i="119" s="1"/>
  <c r="V137" i="132"/>
  <c r="X137" i="132" s="1"/>
  <c r="I137" i="132" s="1"/>
  <c r="AR6" i="119"/>
  <c r="AU2" i="119"/>
  <c r="AU10" i="119" s="1"/>
  <c r="AT7" i="93"/>
  <c r="AU2" i="93"/>
  <c r="AU10" i="93" s="1"/>
  <c r="AQ6" i="119"/>
  <c r="H15" i="8"/>
  <c r="AR2" i="119"/>
  <c r="AR10" i="119" s="1"/>
  <c r="AT2" i="93"/>
  <c r="AT10" i="93" s="1"/>
  <c r="AU1" i="93"/>
  <c r="AV2" i="119"/>
  <c r="AV11" i="119" s="1"/>
  <c r="D130" i="119" s="1"/>
  <c r="AP4" i="119"/>
  <c r="AT6" i="119"/>
  <c r="AV6" i="93"/>
  <c r="AS2" i="119"/>
  <c r="AS9" i="119" s="1"/>
  <c r="AK116" i="132"/>
  <c r="D23" i="3"/>
  <c r="AQ4" i="93"/>
  <c r="AU7" i="93"/>
  <c r="AQ6" i="93"/>
  <c r="AV7" i="93"/>
  <c r="AS1" i="93"/>
  <c r="AS6" i="119"/>
  <c r="V137" i="119"/>
  <c r="X137" i="119" s="1"/>
  <c r="I137" i="119" s="1"/>
  <c r="AT2" i="119"/>
  <c r="AT10" i="119" s="1"/>
  <c r="AQ4" i="119"/>
  <c r="AU6" i="119"/>
  <c r="AP2" i="93"/>
  <c r="AP11" i="93" s="1"/>
  <c r="D62" i="93" s="1"/>
  <c r="E47" i="93"/>
  <c r="AS6" i="93"/>
  <c r="AT7" i="119"/>
  <c r="E31" i="119"/>
  <c r="AT4" i="119"/>
  <c r="AQ7" i="119"/>
  <c r="AU4" i="93"/>
  <c r="E326" i="3"/>
  <c r="D92" i="3"/>
  <c r="D88" i="3"/>
  <c r="D76" i="3"/>
  <c r="D72" i="3"/>
  <c r="D70" i="3"/>
  <c r="D64" i="3"/>
  <c r="D62" i="3"/>
  <c r="AR7" i="119"/>
  <c r="AU1" i="119"/>
  <c r="E319" i="3"/>
  <c r="E328" i="3"/>
  <c r="D204" i="3"/>
  <c r="D197" i="3"/>
  <c r="D195" i="3"/>
  <c r="D188" i="3"/>
  <c r="D186" i="3"/>
  <c r="D180" i="3"/>
  <c r="D176" i="3"/>
  <c r="D166" i="3"/>
  <c r="D162" i="3"/>
  <c r="D148" i="3"/>
  <c r="D137" i="3"/>
  <c r="D135" i="3"/>
  <c r="D132" i="3"/>
  <c r="D112" i="3"/>
  <c r="D110" i="3"/>
  <c r="D105" i="3"/>
  <c r="D96" i="3"/>
  <c r="D94" i="3"/>
  <c r="D90" i="3"/>
  <c r="D82" i="3"/>
  <c r="D80" i="3"/>
  <c r="D78" i="3"/>
  <c r="D74" i="3"/>
  <c r="D68" i="3"/>
  <c r="D66" i="3"/>
  <c r="D50" i="3"/>
  <c r="D21" i="3"/>
  <c r="F30" i="119" s="1"/>
  <c r="J30" i="119" s="1"/>
  <c r="W30" i="119" s="1"/>
  <c r="AK119" i="132"/>
  <c r="D36" i="3"/>
  <c r="E327" i="3"/>
  <c r="T56" i="93"/>
  <c r="AK93" i="132"/>
  <c r="E99" i="132"/>
  <c r="E320" i="3"/>
  <c r="D226" i="3"/>
  <c r="D212" i="3"/>
  <c r="D201" i="3"/>
  <c r="D173" i="3"/>
  <c r="D170" i="3"/>
  <c r="D158" i="3"/>
  <c r="D151" i="3"/>
  <c r="D145" i="3"/>
  <c r="D143" i="3"/>
  <c r="D140" i="3"/>
  <c r="D121" i="3"/>
  <c r="D119" i="3"/>
  <c r="D117" i="3"/>
  <c r="D107" i="3"/>
  <c r="D57" i="3"/>
  <c r="D52" i="3"/>
  <c r="D47" i="3"/>
  <c r="D42" i="3"/>
  <c r="D28" i="3"/>
  <c r="F25" i="119" s="1"/>
  <c r="J25" i="119" s="1"/>
  <c r="W25" i="119" s="1"/>
  <c r="D233" i="3"/>
  <c r="F21" i="3"/>
  <c r="AP7" i="93"/>
  <c r="AT4" i="93"/>
  <c r="AQ7" i="93"/>
  <c r="P342" i="3"/>
  <c r="W342" i="3" s="1"/>
  <c r="AD342" i="3" s="1"/>
  <c r="AV4" i="119"/>
  <c r="T93" i="132"/>
  <c r="E321" i="3"/>
  <c r="D216" i="3"/>
  <c r="D208" i="3"/>
  <c r="D206" i="3"/>
  <c r="D199" i="3"/>
  <c r="D192" i="3"/>
  <c r="D190" i="3"/>
  <c r="D177" i="3"/>
  <c r="D167" i="3"/>
  <c r="D163" i="3"/>
  <c r="D159" i="3"/>
  <c r="D156" i="3"/>
  <c r="D153" i="3"/>
  <c r="D138" i="3"/>
  <c r="D129" i="3"/>
  <c r="D126" i="3"/>
  <c r="D124" i="3"/>
  <c r="D115" i="3"/>
  <c r="D103" i="3"/>
  <c r="D101" i="3"/>
  <c r="D99" i="3"/>
  <c r="D97" i="3"/>
  <c r="D85" i="3"/>
  <c r="D83" i="3"/>
  <c r="D59" i="3"/>
  <c r="D37" i="3"/>
  <c r="D12" i="3"/>
  <c r="D15" i="3"/>
  <c r="E318" i="3"/>
  <c r="T25" i="119"/>
  <c r="E313" i="3"/>
  <c r="E322" i="3"/>
  <c r="D235" i="3"/>
  <c r="D230" i="3"/>
  <c r="D220" i="3"/>
  <c r="D194" i="3"/>
  <c r="D185" i="3"/>
  <c r="D181" i="3"/>
  <c r="D174" i="3"/>
  <c r="D146" i="3"/>
  <c r="D131" i="3"/>
  <c r="D113" i="3"/>
  <c r="D109" i="3"/>
  <c r="D93" i="3"/>
  <c r="D89" i="3"/>
  <c r="D81" i="3"/>
  <c r="D77" i="3"/>
  <c r="D65" i="3"/>
  <c r="D63" i="3"/>
  <c r="D61" i="3"/>
  <c r="D49" i="3"/>
  <c r="D25" i="3"/>
  <c r="D22" i="3"/>
  <c r="E314" i="3"/>
  <c r="E323" i="3"/>
  <c r="D225" i="3"/>
  <c r="D222" i="3"/>
  <c r="D223" i="3"/>
  <c r="D196" i="3"/>
  <c r="D189" i="3"/>
  <c r="D178" i="3"/>
  <c r="D171" i="3"/>
  <c r="D154" i="3"/>
  <c r="D144" i="3"/>
  <c r="D141" i="3"/>
  <c r="D136" i="3"/>
  <c r="D134" i="3"/>
  <c r="D133" i="3"/>
  <c r="D118" i="3"/>
  <c r="D111" i="3"/>
  <c r="D91" i="3"/>
  <c r="D75" i="3"/>
  <c r="D73" i="3"/>
  <c r="D69" i="3"/>
  <c r="D54" i="3"/>
  <c r="E37" i="93"/>
  <c r="E21" i="119"/>
  <c r="E26" i="119"/>
  <c r="AK56" i="93"/>
  <c r="Q56" i="93"/>
  <c r="Q46" i="93"/>
  <c r="Q30" i="93"/>
  <c r="AK25" i="119"/>
  <c r="E316" i="3"/>
  <c r="F204" i="3"/>
  <c r="F202" i="3"/>
  <c r="F189" i="3"/>
  <c r="F160" i="3"/>
  <c r="F157" i="3"/>
  <c r="F134" i="3"/>
  <c r="F133" i="3"/>
  <c r="F384" i="3"/>
  <c r="AP4" i="93"/>
  <c r="AT6" i="93"/>
  <c r="E46" i="119"/>
  <c r="Q113" i="132"/>
  <c r="T88" i="132"/>
  <c r="F150" i="3"/>
  <c r="F104" i="3"/>
  <c r="AK46" i="93"/>
  <c r="E57" i="93"/>
  <c r="AR4" i="119"/>
  <c r="AV6" i="119"/>
  <c r="AK30" i="119"/>
  <c r="E49" i="119"/>
  <c r="F128" i="3"/>
  <c r="F122" i="3"/>
  <c r="F116" i="3"/>
  <c r="F79" i="3"/>
  <c r="F213" i="3"/>
  <c r="E54" i="119"/>
  <c r="Q342" i="3"/>
  <c r="X342" i="3" s="1"/>
  <c r="AE342" i="3" s="1"/>
  <c r="Q39" i="93"/>
  <c r="F51" i="93"/>
  <c r="J51" i="93" s="1"/>
  <c r="W51" i="93" s="1"/>
  <c r="AV1" i="132"/>
  <c r="F201" i="3"/>
  <c r="F195" i="3"/>
  <c r="F184" i="3"/>
  <c r="F158" i="3"/>
  <c r="F96" i="3"/>
  <c r="F80" i="3"/>
  <c r="F48" i="3"/>
  <c r="AQ2" i="93"/>
  <c r="AQ5" i="93" s="1"/>
  <c r="AK33" i="93"/>
  <c r="T51" i="93"/>
  <c r="E40" i="93"/>
  <c r="AV1" i="93"/>
  <c r="AK48" i="119"/>
  <c r="AK51" i="119"/>
  <c r="Q45" i="119"/>
  <c r="T30" i="119"/>
  <c r="E120" i="132"/>
  <c r="F170" i="3"/>
  <c r="F166" i="3"/>
  <c r="F146" i="3"/>
  <c r="F143" i="3"/>
  <c r="F66" i="3"/>
  <c r="AR2" i="93"/>
  <c r="D9" i="3"/>
  <c r="F20" i="119" s="1"/>
  <c r="J20" i="119" s="1"/>
  <c r="W20" i="119" s="1"/>
  <c r="F383" i="3"/>
  <c r="L133" i="3"/>
  <c r="K129" i="3"/>
  <c r="F129" i="3" s="1"/>
  <c r="L120" i="3"/>
  <c r="L117" i="3"/>
  <c r="K114" i="3"/>
  <c r="F114" i="3" s="1"/>
  <c r="L104" i="3"/>
  <c r="K87" i="3"/>
  <c r="F87" i="3" s="1"/>
  <c r="L83" i="3"/>
  <c r="K67" i="3"/>
  <c r="F67" i="3" s="1"/>
  <c r="K65" i="3"/>
  <c r="F65" i="3" s="1"/>
  <c r="K60" i="3"/>
  <c r="F60" i="3" s="1"/>
  <c r="K56" i="3"/>
  <c r="F56" i="3" s="1"/>
  <c r="L129" i="3"/>
  <c r="K111" i="3"/>
  <c r="F111" i="3" s="1"/>
  <c r="K109" i="3"/>
  <c r="F109" i="3" s="1"/>
  <c r="L107" i="3"/>
  <c r="K105" i="3"/>
  <c r="F105" i="3" s="1"/>
  <c r="K97" i="3"/>
  <c r="F97" i="3" s="1"/>
  <c r="K74" i="3"/>
  <c r="F74" i="3" s="1"/>
  <c r="L124" i="3"/>
  <c r="K121" i="3"/>
  <c r="F121" i="3" s="1"/>
  <c r="K118" i="3"/>
  <c r="F118" i="3" s="1"/>
  <c r="L109" i="3"/>
  <c r="L105" i="3"/>
  <c r="L102" i="3"/>
  <c r="K90" i="3"/>
  <c r="F90" i="3" s="1"/>
  <c r="L74" i="3"/>
  <c r="K63" i="3"/>
  <c r="F63" i="3" s="1"/>
  <c r="L121" i="3"/>
  <c r="K112" i="3"/>
  <c r="F112" i="3" s="1"/>
  <c r="K93" i="3"/>
  <c r="F93" i="3" s="1"/>
  <c r="L90" i="3"/>
  <c r="K88" i="3"/>
  <c r="F88" i="3" s="1"/>
  <c r="K77" i="3"/>
  <c r="F77" i="3" s="1"/>
  <c r="K68" i="3"/>
  <c r="F68" i="3" s="1"/>
  <c r="L155" i="3"/>
  <c r="L151" i="3"/>
  <c r="L143" i="3"/>
  <c r="K139" i="3"/>
  <c r="F139" i="3" s="1"/>
  <c r="L135" i="3"/>
  <c r="K131" i="3"/>
  <c r="F131" i="3" s="1"/>
  <c r="K130" i="3"/>
  <c r="F130" i="3" s="1"/>
  <c r="L122" i="3"/>
  <c r="L118" i="3"/>
  <c r="L114" i="3"/>
  <c r="K108" i="3"/>
  <c r="F108" i="3" s="1"/>
  <c r="L97" i="3"/>
  <c r="L94" i="3"/>
  <c r="L88" i="3"/>
  <c r="L86" i="3"/>
  <c r="K81" i="3"/>
  <c r="F81" i="3" s="1"/>
  <c r="L80" i="3"/>
  <c r="K72" i="3"/>
  <c r="F72" i="3" s="1"/>
  <c r="L69" i="3"/>
  <c r="K64" i="3"/>
  <c r="F64" i="3" s="1"/>
  <c r="L61" i="3"/>
  <c r="L160" i="3"/>
  <c r="K156" i="3"/>
  <c r="F156" i="3" s="1"/>
  <c r="K152" i="3"/>
  <c r="F152" i="3" s="1"/>
  <c r="K148" i="3"/>
  <c r="F148" i="3" s="1"/>
  <c r="K144" i="3"/>
  <c r="F144" i="3" s="1"/>
  <c r="L139" i="3"/>
  <c r="L131" i="3"/>
  <c r="L130" i="3"/>
  <c r="K126" i="3"/>
  <c r="F126" i="3" s="1"/>
  <c r="K119" i="3"/>
  <c r="F119" i="3" s="1"/>
  <c r="L115" i="3"/>
  <c r="K106" i="3"/>
  <c r="F106" i="3" s="1"/>
  <c r="K89" i="3"/>
  <c r="F89" i="3" s="1"/>
  <c r="L81" i="3"/>
  <c r="L72" i="3"/>
  <c r="L64" i="3"/>
  <c r="L156" i="3"/>
  <c r="L152" i="3"/>
  <c r="L148" i="3"/>
  <c r="L144" i="3"/>
  <c r="K140" i="3"/>
  <c r="F140" i="3" s="1"/>
  <c r="K136" i="3"/>
  <c r="F136" i="3" s="1"/>
  <c r="K132" i="3"/>
  <c r="F132" i="3" s="1"/>
  <c r="K124" i="3"/>
  <c r="F124" i="3" s="1"/>
  <c r="K120" i="3"/>
  <c r="F120" i="3" s="1"/>
  <c r="L119" i="3"/>
  <c r="L106" i="3"/>
  <c r="K98" i="3"/>
  <c r="F98" i="3" s="1"/>
  <c r="L89" i="3"/>
  <c r="L78" i="3"/>
  <c r="K73" i="3"/>
  <c r="F73" i="3" s="1"/>
  <c r="L70" i="3"/>
  <c r="AS10" i="119"/>
  <c r="E34" i="93"/>
  <c r="AP2" i="119"/>
  <c r="AH73" i="119" s="1"/>
  <c r="E94" i="132"/>
  <c r="C38" i="3"/>
  <c r="D29" i="3"/>
  <c r="D20" i="3"/>
  <c r="F410" i="3"/>
  <c r="N89" i="119" s="1"/>
  <c r="D27" i="3"/>
  <c r="F46" i="93" s="1"/>
  <c r="J46" i="93" s="1"/>
  <c r="W46" i="93" s="1"/>
  <c r="D325" i="3"/>
  <c r="D319" i="3"/>
  <c r="D313" i="3"/>
  <c r="E334" i="3"/>
  <c r="T122" i="132"/>
  <c r="V122" i="132" s="1"/>
  <c r="G391" i="3"/>
  <c r="G388" i="3"/>
  <c r="G386" i="3"/>
  <c r="H382" i="3"/>
  <c r="F380" i="3"/>
  <c r="H378" i="3"/>
  <c r="H377" i="3"/>
  <c r="E33" i="93" s="1"/>
  <c r="AS2" i="93"/>
  <c r="E111" i="132"/>
  <c r="E26" i="93"/>
  <c r="D87" i="3"/>
  <c r="F85" i="3"/>
  <c r="F82" i="3"/>
  <c r="D71" i="3"/>
  <c r="D67" i="3"/>
  <c r="D60" i="3"/>
  <c r="D55" i="3"/>
  <c r="D53" i="3"/>
  <c r="D38" i="3"/>
  <c r="D14" i="3"/>
  <c r="D11" i="3"/>
  <c r="D311" i="3"/>
  <c r="D217" i="3"/>
  <c r="D322" i="3"/>
  <c r="D318" i="3"/>
  <c r="E391" i="3"/>
  <c r="F382" i="3"/>
  <c r="E31" i="93"/>
  <c r="F18" i="3"/>
  <c r="D16" i="3"/>
  <c r="D8" i="3"/>
  <c r="D13" i="3"/>
  <c r="F98" i="132" s="1"/>
  <c r="J98" i="132" s="1"/>
  <c r="W98" i="132" s="1"/>
  <c r="D10" i="3"/>
  <c r="D24" i="3"/>
  <c r="D317" i="3"/>
  <c r="I389" i="3"/>
  <c r="G387" i="3"/>
  <c r="D26" i="3"/>
  <c r="D18" i="3"/>
  <c r="D240" i="3"/>
  <c r="E333" i="3"/>
  <c r="T30" i="93"/>
  <c r="E389" i="3"/>
  <c r="E387" i="3"/>
  <c r="H383" i="3"/>
  <c r="H381" i="3"/>
  <c r="D19" i="3"/>
  <c r="D232" i="3"/>
  <c r="D213" i="3"/>
  <c r="D17" i="3"/>
  <c r="D41" i="3"/>
  <c r="D30" i="3"/>
  <c r="D215" i="3"/>
  <c r="D231" i="3"/>
  <c r="D326" i="3"/>
  <c r="D314" i="3"/>
  <c r="T45" i="119"/>
  <c r="I391" i="3"/>
  <c r="I386" i="3"/>
  <c r="K42" i="3"/>
  <c r="F42" i="3" s="1"/>
  <c r="K233" i="3"/>
  <c r="F233" i="3" s="1"/>
  <c r="K41" i="3"/>
  <c r="F41" i="3" s="1"/>
  <c r="K30" i="3"/>
  <c r="N17" i="3"/>
  <c r="N28" i="3"/>
  <c r="N26" i="3"/>
  <c r="N241" i="3" s="1"/>
  <c r="N18" i="3"/>
  <c r="N16" i="3"/>
  <c r="N27" i="3"/>
  <c r="N9" i="3"/>
  <c r="N35" i="3"/>
  <c r="M24" i="3"/>
  <c r="N29" i="3"/>
  <c r="N23" i="3"/>
  <c r="N36" i="3"/>
  <c r="C2" i="60"/>
  <c r="E5" i="60" s="1"/>
  <c r="AF35" i="99"/>
  <c r="AF24" i="99"/>
  <c r="AF38" i="99"/>
  <c r="AF34" i="99"/>
  <c r="AF64" i="99"/>
  <c r="AF39" i="99"/>
  <c r="AF29" i="99"/>
  <c r="AF76" i="99"/>
  <c r="AF43" i="99"/>
  <c r="AF28" i="99"/>
  <c r="AF69" i="99"/>
  <c r="AF60" i="99"/>
  <c r="AF42" i="99"/>
  <c r="AF27" i="99"/>
  <c r="AF68" i="99"/>
  <c r="AF58" i="99"/>
  <c r="AF26" i="99"/>
  <c r="AF56" i="99"/>
  <c r="AF25" i="99"/>
  <c r="AF74" i="99"/>
  <c r="AF72" i="99"/>
  <c r="AF65" i="99"/>
  <c r="AF63" i="99"/>
  <c r="AF54" i="99"/>
  <c r="AF50" i="99"/>
  <c r="AF52" i="99"/>
  <c r="AF66" i="99"/>
  <c r="AF41" i="99"/>
  <c r="AF75" i="99"/>
  <c r="AF73" i="99"/>
  <c r="AF71" i="99"/>
  <c r="AF36" i="99"/>
  <c r="AF30" i="99"/>
  <c r="AF67" i="99"/>
  <c r="AC60" i="99"/>
  <c r="AC39" i="99"/>
  <c r="AC54" i="99"/>
  <c r="AC34" i="99"/>
  <c r="AC76" i="99"/>
  <c r="AC30" i="99"/>
  <c r="AC69" i="99"/>
  <c r="AC43" i="99"/>
  <c r="AC28" i="99"/>
  <c r="AC67" i="99"/>
  <c r="AC58" i="99"/>
  <c r="AC42" i="99"/>
  <c r="AC27" i="99"/>
  <c r="AC50" i="99"/>
  <c r="AC66" i="99"/>
  <c r="AC56" i="99"/>
  <c r="AC41" i="99"/>
  <c r="AC26" i="99"/>
  <c r="AC65" i="99"/>
  <c r="AC24" i="99"/>
  <c r="AC74" i="99"/>
  <c r="AC72" i="99"/>
  <c r="AC63" i="99"/>
  <c r="AC52" i="99"/>
  <c r="AC38" i="99"/>
  <c r="AC68" i="99"/>
  <c r="AC64" i="99"/>
  <c r="AC36" i="99"/>
  <c r="AC75" i="99"/>
  <c r="AC73" i="99"/>
  <c r="AC71" i="99"/>
  <c r="AC35" i="99"/>
  <c r="AC29" i="99"/>
  <c r="AC25" i="99"/>
  <c r="AE52" i="99"/>
  <c r="AE58" i="99"/>
  <c r="AE38" i="99"/>
  <c r="AE29" i="99"/>
  <c r="AE50" i="99"/>
  <c r="AE56" i="99"/>
  <c r="AE43" i="99"/>
  <c r="AE28" i="99"/>
  <c r="AE75" i="99"/>
  <c r="AE74" i="99"/>
  <c r="AE73" i="99"/>
  <c r="AE72" i="99"/>
  <c r="AE71" i="99"/>
  <c r="AE63" i="99"/>
  <c r="AE60" i="99"/>
  <c r="AE41" i="99"/>
  <c r="AE26" i="99"/>
  <c r="AE69" i="99"/>
  <c r="AE54" i="99"/>
  <c r="AE36" i="99"/>
  <c r="AE25" i="99"/>
  <c r="AE68" i="99"/>
  <c r="AE35" i="99"/>
  <c r="AE24" i="99"/>
  <c r="AE67" i="99"/>
  <c r="AE65" i="99"/>
  <c r="AE42" i="99"/>
  <c r="AE76" i="99"/>
  <c r="AE34" i="99"/>
  <c r="AE66" i="99"/>
  <c r="AE30" i="99"/>
  <c r="AE27" i="99"/>
  <c r="AE64" i="99"/>
  <c r="AE39" i="99"/>
  <c r="AB39" i="99"/>
  <c r="AB54" i="99"/>
  <c r="AB43" i="99"/>
  <c r="AB28" i="99"/>
  <c r="AB42" i="99"/>
  <c r="AB27" i="99"/>
  <c r="AB68" i="99"/>
  <c r="AB56" i="99"/>
  <c r="AB36" i="99"/>
  <c r="AB25" i="99"/>
  <c r="AB66" i="99"/>
  <c r="AB52" i="99"/>
  <c r="AB35" i="99"/>
  <c r="AB24" i="99"/>
  <c r="AB65" i="99"/>
  <c r="AB38" i="99"/>
  <c r="AB34" i="99"/>
  <c r="AB64" i="99"/>
  <c r="AB50" i="99"/>
  <c r="AB41" i="99"/>
  <c r="AB76" i="99"/>
  <c r="AB60" i="99"/>
  <c r="AB30" i="99"/>
  <c r="AB29" i="99"/>
  <c r="AB75" i="99"/>
  <c r="AB73" i="99"/>
  <c r="AB71" i="99"/>
  <c r="AB26" i="99"/>
  <c r="AB58" i="99"/>
  <c r="AB69" i="99"/>
  <c r="AB67" i="99"/>
  <c r="AB74" i="99"/>
  <c r="AB72" i="99"/>
  <c r="AB63" i="99"/>
  <c r="AD41" i="99"/>
  <c r="AD26" i="99"/>
  <c r="AD75" i="99"/>
  <c r="AD74" i="99"/>
  <c r="AD73" i="99"/>
  <c r="AD72" i="99"/>
  <c r="AD71" i="99"/>
  <c r="AD52" i="99"/>
  <c r="AD60" i="99"/>
  <c r="AD39" i="99"/>
  <c r="AD36" i="99"/>
  <c r="AD25" i="99"/>
  <c r="AD76" i="99"/>
  <c r="AD34" i="99"/>
  <c r="AD68" i="99"/>
  <c r="AD30" i="99"/>
  <c r="AD67" i="99"/>
  <c r="AD29" i="99"/>
  <c r="AD66" i="99"/>
  <c r="AD56" i="99"/>
  <c r="AD35" i="99"/>
  <c r="AD28" i="99"/>
  <c r="AD50" i="99"/>
  <c r="AD63" i="99"/>
  <c r="AD54" i="99"/>
  <c r="AD38" i="99"/>
  <c r="AD27" i="99"/>
  <c r="AD24" i="99"/>
  <c r="AD64" i="99"/>
  <c r="AD58" i="99"/>
  <c r="AD43" i="99"/>
  <c r="AD69" i="99"/>
  <c r="AD42" i="99"/>
  <c r="AD65" i="99"/>
  <c r="AA58" i="99"/>
  <c r="AA59" i="99" s="1"/>
  <c r="AA36" i="99"/>
  <c r="AA25" i="99"/>
  <c r="AA50" i="99"/>
  <c r="AA51" i="99" s="1"/>
  <c r="AA52" i="99"/>
  <c r="AA53" i="99" s="1"/>
  <c r="AA35" i="99"/>
  <c r="AA24" i="99"/>
  <c r="AA67" i="99"/>
  <c r="AA30" i="99"/>
  <c r="AA65" i="99"/>
  <c r="AA60" i="99"/>
  <c r="AA61" i="99" s="1"/>
  <c r="AA38" i="99"/>
  <c r="AA29" i="99"/>
  <c r="AA64" i="99"/>
  <c r="AA54" i="99"/>
  <c r="AA55" i="99" s="1"/>
  <c r="AA43" i="99"/>
  <c r="AA28" i="99"/>
  <c r="AA75" i="99"/>
  <c r="AA74" i="99"/>
  <c r="AA73" i="99"/>
  <c r="AA72" i="99"/>
  <c r="AA71" i="99"/>
  <c r="AA63" i="99"/>
  <c r="AA27" i="99"/>
  <c r="AA76" i="99"/>
  <c r="AA26" i="99"/>
  <c r="AA68" i="99"/>
  <c r="AA66" i="99"/>
  <c r="AA69" i="99"/>
  <c r="AA42" i="99"/>
  <c r="AA56" i="99"/>
  <c r="AA57" i="99" s="1"/>
  <c r="AA39" i="99"/>
  <c r="AA41" i="99"/>
  <c r="AA34" i="99"/>
  <c r="K168" i="43"/>
  <c r="K164" i="43"/>
  <c r="K169" i="43"/>
  <c r="K165" i="43"/>
  <c r="K167" i="43"/>
  <c r="K163" i="43"/>
  <c r="K166" i="43"/>
  <c r="K186" i="43"/>
  <c r="K32" i="43"/>
  <c r="K178" i="43"/>
  <c r="K42" i="43"/>
  <c r="K194" i="43"/>
  <c r="K29" i="43"/>
  <c r="K180" i="43"/>
  <c r="K162" i="43"/>
  <c r="K188" i="43"/>
  <c r="K181" i="43"/>
  <c r="K41" i="43"/>
  <c r="K190" i="43"/>
  <c r="K40" i="43"/>
  <c r="K30" i="43"/>
  <c r="K176" i="43"/>
  <c r="K39" i="43"/>
  <c r="K192" i="43"/>
  <c r="K31" i="43"/>
  <c r="K175" i="43"/>
  <c r="K28" i="43"/>
  <c r="K33" i="43"/>
  <c r="K174" i="43"/>
  <c r="K196" i="43"/>
  <c r="K34" i="43"/>
  <c r="K173" i="43"/>
  <c r="K35" i="43"/>
  <c r="K179" i="43"/>
  <c r="K159" i="43"/>
  <c r="K43" i="43"/>
  <c r="K197" i="43"/>
  <c r="J186" i="43"/>
  <c r="J187" i="43" s="1"/>
  <c r="J164" i="43"/>
  <c r="J169" i="43"/>
  <c r="J167" i="43"/>
  <c r="J165" i="43"/>
  <c r="J163" i="43"/>
  <c r="J168" i="43"/>
  <c r="J166" i="43"/>
  <c r="J32" i="43"/>
  <c r="J178" i="43"/>
  <c r="J159" i="43"/>
  <c r="J192" i="43"/>
  <c r="J193" i="43" s="1"/>
  <c r="J29" i="43"/>
  <c r="J180" i="43"/>
  <c r="J174" i="43"/>
  <c r="J39" i="43"/>
  <c r="J35" i="43"/>
  <c r="J173" i="43"/>
  <c r="J179" i="43"/>
  <c r="J41" i="43"/>
  <c r="J181" i="43"/>
  <c r="J162" i="43"/>
  <c r="J43" i="43"/>
  <c r="J194" i="43"/>
  <c r="J195" i="43" s="1"/>
  <c r="J30" i="43"/>
  <c r="J196" i="43"/>
  <c r="J42" i="43"/>
  <c r="J31" i="43"/>
  <c r="J197" i="43"/>
  <c r="J40" i="43"/>
  <c r="J33" i="43"/>
  <c r="J188" i="43"/>
  <c r="J189" i="43" s="1"/>
  <c r="J34" i="43"/>
  <c r="J176" i="43"/>
  <c r="J175" i="43"/>
  <c r="J28" i="43"/>
  <c r="J190" i="43"/>
  <c r="J191" i="43" s="1"/>
  <c r="N165" i="43"/>
  <c r="N163" i="43"/>
  <c r="N168" i="43"/>
  <c r="N166" i="43"/>
  <c r="N186" i="43"/>
  <c r="N164" i="43"/>
  <c r="N169" i="43"/>
  <c r="N167" i="43"/>
  <c r="N34" i="43"/>
  <c r="N197" i="43"/>
  <c r="N43" i="43"/>
  <c r="N192" i="43"/>
  <c r="N31" i="43"/>
  <c r="N41" i="43"/>
  <c r="N180" i="43"/>
  <c r="N159" i="43"/>
  <c r="N181" i="43"/>
  <c r="N162" i="43"/>
  <c r="N194" i="43"/>
  <c r="N29" i="43"/>
  <c r="N178" i="43"/>
  <c r="N42" i="43"/>
  <c r="N30" i="43"/>
  <c r="N196" i="43"/>
  <c r="N40" i="43"/>
  <c r="N32" i="43"/>
  <c r="N176" i="43"/>
  <c r="N39" i="43"/>
  <c r="N188" i="43"/>
  <c r="N33" i="43"/>
  <c r="N175" i="43"/>
  <c r="N28" i="43"/>
  <c r="N190" i="43"/>
  <c r="N174" i="43"/>
  <c r="N173" i="43"/>
  <c r="N35" i="43"/>
  <c r="N179" i="43"/>
  <c r="L186" i="43"/>
  <c r="L169" i="43"/>
  <c r="L167" i="43"/>
  <c r="L165" i="43"/>
  <c r="L163" i="43"/>
  <c r="L168" i="43"/>
  <c r="L166" i="43"/>
  <c r="L164" i="43"/>
  <c r="L32" i="43"/>
  <c r="L178" i="43"/>
  <c r="L42" i="43"/>
  <c r="L29" i="43"/>
  <c r="L180" i="43"/>
  <c r="L162" i="43"/>
  <c r="L30" i="43"/>
  <c r="L176" i="43"/>
  <c r="L39" i="43"/>
  <c r="L31" i="43"/>
  <c r="L175" i="43"/>
  <c r="L28" i="43"/>
  <c r="L188" i="43"/>
  <c r="L33" i="43"/>
  <c r="L174" i="43"/>
  <c r="L34" i="43"/>
  <c r="L173" i="43"/>
  <c r="L192" i="43"/>
  <c r="L193" i="43" s="1"/>
  <c r="L35" i="43"/>
  <c r="L159" i="43"/>
  <c r="L179" i="43"/>
  <c r="L43" i="43"/>
  <c r="L196" i="43"/>
  <c r="L181" i="43"/>
  <c r="L197" i="43"/>
  <c r="L41" i="43"/>
  <c r="L40" i="43"/>
  <c r="L190" i="43"/>
  <c r="L194" i="43"/>
  <c r="G17" i="115"/>
  <c r="AB1" i="115"/>
  <c r="F17" i="115"/>
  <c r="AB2" i="115"/>
  <c r="F28" i="115"/>
  <c r="F27" i="115"/>
  <c r="F25" i="115"/>
  <c r="J16" i="115"/>
  <c r="F23" i="115"/>
  <c r="B23" i="115"/>
  <c r="F65" i="115" s="1"/>
  <c r="F22" i="115"/>
  <c r="F21" i="115"/>
  <c r="F30" i="115"/>
  <c r="F29" i="115"/>
  <c r="F26" i="115"/>
  <c r="F24" i="115"/>
  <c r="F14" i="115"/>
  <c r="B25" i="115"/>
  <c r="D66" i="115" s="1"/>
  <c r="H66" i="115" s="1"/>
  <c r="B22" i="115"/>
  <c r="E65" i="115" s="1"/>
  <c r="F13" i="115"/>
  <c r="B21" i="115"/>
  <c r="H65" i="115" s="1"/>
  <c r="B26" i="115"/>
  <c r="D67" i="115" s="1"/>
  <c r="H67" i="115" s="1"/>
  <c r="B24" i="115"/>
  <c r="G65" i="115" s="1"/>
  <c r="F12" i="115"/>
  <c r="B31" i="115"/>
  <c r="B27" i="115"/>
  <c r="D68" i="115" s="1"/>
  <c r="H68" i="115" s="1"/>
  <c r="B29" i="115"/>
  <c r="D70" i="115" s="1"/>
  <c r="H70" i="115" s="1"/>
  <c r="W1" i="115"/>
  <c r="F50" i="115" s="1"/>
  <c r="B30" i="115"/>
  <c r="D71" i="115" s="1"/>
  <c r="H71" i="115" s="1"/>
  <c r="B28" i="115"/>
  <c r="D69" i="115" s="1"/>
  <c r="H69" i="115" s="1"/>
  <c r="U1" i="115"/>
  <c r="I50" i="115" s="1"/>
  <c r="AD1" i="115"/>
  <c r="F16" i="115" s="1"/>
  <c r="E16" i="115" s="1"/>
  <c r="M169" i="43"/>
  <c r="M165" i="43"/>
  <c r="M166" i="43"/>
  <c r="M186" i="43"/>
  <c r="M167" i="43"/>
  <c r="M163" i="43"/>
  <c r="M168" i="43"/>
  <c r="M164" i="43"/>
  <c r="M32" i="43"/>
  <c r="M178" i="43"/>
  <c r="M42" i="43"/>
  <c r="M188" i="43"/>
  <c r="M29" i="43"/>
  <c r="M180" i="43"/>
  <c r="M162" i="43"/>
  <c r="M194" i="43"/>
  <c r="M33" i="43"/>
  <c r="M174" i="43"/>
  <c r="M34" i="43"/>
  <c r="M173" i="43"/>
  <c r="M35" i="43"/>
  <c r="M159" i="43"/>
  <c r="M179" i="43"/>
  <c r="M43" i="43"/>
  <c r="M181" i="43"/>
  <c r="M41" i="43"/>
  <c r="M190" i="43"/>
  <c r="M40" i="43"/>
  <c r="M197" i="43"/>
  <c r="M30" i="43"/>
  <c r="M31" i="43"/>
  <c r="M192" i="43"/>
  <c r="M176" i="43"/>
  <c r="M175" i="43"/>
  <c r="M39" i="43"/>
  <c r="M28" i="43"/>
  <c r="M196" i="43"/>
  <c r="O166" i="43"/>
  <c r="O167" i="43"/>
  <c r="O163" i="43"/>
  <c r="O165" i="43"/>
  <c r="O168" i="43"/>
  <c r="O164" i="43"/>
  <c r="O169" i="43"/>
  <c r="O186" i="43"/>
  <c r="O34" i="43"/>
  <c r="O175" i="43"/>
  <c r="O40" i="43"/>
  <c r="O194" i="43"/>
  <c r="O195" i="43" s="1"/>
  <c r="O31" i="43"/>
  <c r="O43" i="43"/>
  <c r="O29" i="43"/>
  <c r="O178" i="43"/>
  <c r="O39" i="43"/>
  <c r="O192" i="43"/>
  <c r="O30" i="43"/>
  <c r="O176" i="43"/>
  <c r="O28" i="43"/>
  <c r="O32" i="43"/>
  <c r="O174" i="43"/>
  <c r="O33" i="43"/>
  <c r="O173" i="43"/>
  <c r="O35" i="43"/>
  <c r="O162" i="43"/>
  <c r="O179" i="43"/>
  <c r="O159" i="43"/>
  <c r="O190" i="43"/>
  <c r="O197" i="43"/>
  <c r="O196" i="43"/>
  <c r="O188" i="43"/>
  <c r="O180" i="43"/>
  <c r="O181" i="43"/>
  <c r="O42" i="43"/>
  <c r="O41" i="43"/>
  <c r="AE222" i="3"/>
  <c r="V25" i="93"/>
  <c r="V141" i="93"/>
  <c r="X141" i="93" s="1"/>
  <c r="I141" i="93" s="1"/>
  <c r="C253" i="3"/>
  <c r="T80" i="132"/>
  <c r="T125" i="119"/>
  <c r="U40" i="132"/>
  <c r="X125" i="119"/>
  <c r="X125" i="93"/>
  <c r="X80" i="132"/>
  <c r="U89" i="119"/>
  <c r="E52" i="119"/>
  <c r="E123" i="132"/>
  <c r="E55" i="119"/>
  <c r="E114" i="132"/>
  <c r="E117" i="132"/>
  <c r="Q6" i="132"/>
  <c r="V80" i="132"/>
  <c r="AA125" i="119"/>
  <c r="AA80" i="132"/>
  <c r="M111" i="132"/>
  <c r="Y12" i="132"/>
  <c r="F14" i="132"/>
  <c r="M36" i="132"/>
  <c r="V125" i="119"/>
  <c r="D55" i="119"/>
  <c r="D109" i="132"/>
  <c r="D41" i="119"/>
  <c r="Z113" i="132"/>
  <c r="U44" i="132"/>
  <c r="Z122" i="132"/>
  <c r="Z119" i="132"/>
  <c r="Z137" i="132"/>
  <c r="Z141" i="132"/>
  <c r="Z98" i="132"/>
  <c r="M116" i="132"/>
  <c r="M76" i="132"/>
  <c r="M24" i="132"/>
  <c r="AD108" i="132"/>
  <c r="AD88" i="132"/>
  <c r="M113" i="132"/>
  <c r="M51" i="119"/>
  <c r="S89" i="119"/>
  <c r="M125" i="119"/>
  <c r="M137" i="132"/>
  <c r="Q62" i="132"/>
  <c r="M122" i="132"/>
  <c r="M54" i="119"/>
  <c r="Q58" i="132"/>
  <c r="S40" i="132"/>
  <c r="M20" i="132"/>
  <c r="M48" i="119"/>
  <c r="AD116" i="132"/>
  <c r="M80" i="132"/>
  <c r="M141" i="132"/>
  <c r="M68" i="132"/>
  <c r="AD113" i="132"/>
  <c r="M88" i="132"/>
  <c r="S125" i="119"/>
  <c r="S80" i="132"/>
  <c r="D123" i="132"/>
  <c r="D46" i="119"/>
  <c r="D49" i="119"/>
  <c r="D120" i="132"/>
  <c r="D117" i="132"/>
  <c r="D94" i="132"/>
  <c r="AK88" i="132"/>
  <c r="U93" i="132"/>
  <c r="S119" i="132"/>
  <c r="U137" i="132"/>
  <c r="D103" i="119"/>
  <c r="S141" i="132"/>
  <c r="N44" i="132"/>
  <c r="F114" i="132"/>
  <c r="F94" i="132"/>
  <c r="D58" i="132"/>
  <c r="C240" i="3"/>
  <c r="D125" i="119"/>
  <c r="D125" i="93"/>
  <c r="E89" i="132"/>
  <c r="F89" i="132"/>
  <c r="S93" i="132"/>
  <c r="F89" i="119"/>
  <c r="F46" i="119"/>
  <c r="F40" i="93"/>
  <c r="F123" i="132"/>
  <c r="L16" i="3"/>
  <c r="F16" i="3"/>
  <c r="H342" i="3"/>
  <c r="E12" i="119"/>
  <c r="E12" i="132"/>
  <c r="E12" i="93"/>
  <c r="C35" i="3"/>
  <c r="M161" i="3"/>
  <c r="L161" i="3"/>
  <c r="K161" i="3"/>
  <c r="F161" i="3" s="1"/>
  <c r="M123" i="3"/>
  <c r="M127" i="3"/>
  <c r="K123" i="3"/>
  <c r="F123" i="3" s="1"/>
  <c r="X6" i="3"/>
  <c r="L127" i="3"/>
  <c r="N161" i="3"/>
  <c r="K127" i="3"/>
  <c r="F127" i="3" s="1"/>
  <c r="L47" i="3"/>
  <c r="K54" i="3"/>
  <c r="F54" i="3" s="1"/>
  <c r="L55" i="3"/>
  <c r="K62" i="3"/>
  <c r="F62" i="3" s="1"/>
  <c r="L63" i="3"/>
  <c r="K70" i="3"/>
  <c r="F70" i="3" s="1"/>
  <c r="L71" i="3"/>
  <c r="N127" i="3"/>
  <c r="N123" i="3"/>
  <c r="L123" i="3"/>
  <c r="K51" i="3"/>
  <c r="F51" i="3" s="1"/>
  <c r="L52" i="3"/>
  <c r="K59" i="3"/>
  <c r="F59" i="3" s="1"/>
  <c r="L60" i="3"/>
  <c r="K50" i="3"/>
  <c r="F50" i="3" s="1"/>
  <c r="K49" i="3"/>
  <c r="F49" i="3" s="1"/>
  <c r="L48" i="3"/>
  <c r="K47" i="3"/>
  <c r="F47" i="3" s="1"/>
  <c r="K35" i="3"/>
  <c r="F35" i="3" s="1"/>
  <c r="C36" i="3"/>
  <c r="M14" i="3"/>
  <c r="L68" i="3"/>
  <c r="L67" i="3"/>
  <c r="L66" i="3"/>
  <c r="L65" i="3"/>
  <c r="K53" i="3"/>
  <c r="F53" i="3" s="1"/>
  <c r="L51" i="3"/>
  <c r="L50" i="3"/>
  <c r="L49" i="3"/>
  <c r="K37" i="3"/>
  <c r="F37" i="3" s="1"/>
  <c r="N14" i="3"/>
  <c r="L111" i="3"/>
  <c r="K110" i="3"/>
  <c r="F110" i="3" s="1"/>
  <c r="L103" i="3"/>
  <c r="K102" i="3"/>
  <c r="F102" i="3" s="1"/>
  <c r="L95" i="3"/>
  <c r="K94" i="3"/>
  <c r="F94" i="3" s="1"/>
  <c r="L87" i="3"/>
  <c r="K86" i="3"/>
  <c r="F86" i="3" s="1"/>
  <c r="L79" i="3"/>
  <c r="K78" i="3"/>
  <c r="F78" i="3" s="1"/>
  <c r="L53" i="3"/>
  <c r="K52" i="3"/>
  <c r="F52" i="3" s="1"/>
  <c r="L37" i="3"/>
  <c r="F19" i="3"/>
  <c r="L18" i="3"/>
  <c r="I2" i="2"/>
  <c r="P6" i="3"/>
  <c r="K240" i="3"/>
  <c r="F240" i="3" s="1"/>
  <c r="K9" i="3"/>
  <c r="AM26" i="93"/>
  <c r="AM27" i="93" s="1"/>
  <c r="AM28" i="93" s="1"/>
  <c r="AM29" i="93" s="1"/>
  <c r="AM30" i="93" s="1"/>
  <c r="S6" i="3"/>
  <c r="K27" i="3"/>
  <c r="K8" i="3"/>
  <c r="L8" i="3" s="1"/>
  <c r="K10" i="3"/>
  <c r="M12" i="3"/>
  <c r="N11" i="3"/>
  <c r="K36" i="3"/>
  <c r="F36" i="3" s="1"/>
  <c r="K14" i="3"/>
  <c r="K20" i="3"/>
  <c r="L20" i="3" s="1"/>
  <c r="K28" i="3"/>
  <c r="K29" i="3"/>
  <c r="L35" i="3"/>
  <c r="K13" i="3"/>
  <c r="K22" i="3"/>
  <c r="K25" i="3"/>
  <c r="R6" i="3"/>
  <c r="K15" i="3"/>
  <c r="K17" i="3"/>
  <c r="L101" i="3"/>
  <c r="K100" i="3"/>
  <c r="F100" i="3" s="1"/>
  <c r="L93" i="3"/>
  <c r="K92" i="3"/>
  <c r="F92" i="3" s="1"/>
  <c r="L85" i="3"/>
  <c r="K84" i="3"/>
  <c r="F84" i="3" s="1"/>
  <c r="L77" i="3"/>
  <c r="K76" i="3"/>
  <c r="F76" i="3" s="1"/>
  <c r="K58" i="3"/>
  <c r="F58" i="3" s="1"/>
  <c r="K57" i="3"/>
  <c r="F57" i="3" s="1"/>
  <c r="L56" i="3"/>
  <c r="K55" i="3"/>
  <c r="F55" i="3" s="1"/>
  <c r="K38" i="3"/>
  <c r="F38" i="3" s="1"/>
  <c r="M11" i="3"/>
  <c r="T6" i="3"/>
  <c r="K24" i="3"/>
  <c r="K23" i="3"/>
  <c r="L134" i="3"/>
  <c r="L126" i="3"/>
  <c r="K125" i="3"/>
  <c r="F125" i="3" s="1"/>
  <c r="L116" i="3"/>
  <c r="K115" i="3"/>
  <c r="F115" i="3" s="1"/>
  <c r="L108" i="3"/>
  <c r="K107" i="3"/>
  <c r="F107" i="3" s="1"/>
  <c r="L100" i="3"/>
  <c r="K99" i="3"/>
  <c r="F99" i="3" s="1"/>
  <c r="L92" i="3"/>
  <c r="K91" i="3"/>
  <c r="F91" i="3" s="1"/>
  <c r="L84" i="3"/>
  <c r="K83" i="3"/>
  <c r="F83" i="3" s="1"/>
  <c r="L76" i="3"/>
  <c r="K75" i="3"/>
  <c r="F75" i="3" s="1"/>
  <c r="K61" i="3"/>
  <c r="F61" i="3" s="1"/>
  <c r="L59" i="3"/>
  <c r="L58" i="3"/>
  <c r="L57" i="3"/>
  <c r="L38" i="3"/>
  <c r="L36" i="3"/>
  <c r="K26" i="3"/>
  <c r="F26" i="3" s="1"/>
  <c r="AY5" i="132"/>
  <c r="AY5" i="119"/>
  <c r="AY5" i="93"/>
  <c r="F11" i="3"/>
  <c r="F12" i="3"/>
  <c r="F231" i="3"/>
  <c r="E342" i="3"/>
  <c r="T113" i="132"/>
  <c r="T54" i="119"/>
  <c r="F414" i="3"/>
  <c r="A9" i="3"/>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F217" i="3"/>
  <c r="K212" i="3"/>
  <c r="F212" i="3" s="1"/>
  <c r="Q6" i="3"/>
  <c r="T39" i="93"/>
  <c r="T33" i="93"/>
  <c r="T119" i="132"/>
  <c r="T48" i="119"/>
  <c r="V137" i="93"/>
  <c r="X137" i="93" s="1"/>
  <c r="I137" i="93" s="1"/>
  <c r="G393" i="3"/>
  <c r="I390" i="3"/>
  <c r="I387" i="3"/>
  <c r="A10" i="2"/>
  <c r="C351" i="3" s="1"/>
  <c r="H379" i="3"/>
  <c r="E39" i="93"/>
  <c r="I377" i="3"/>
  <c r="E36" i="93" s="1"/>
  <c r="G378" i="3"/>
  <c r="E379" i="3"/>
  <c r="I381" i="3"/>
  <c r="G382" i="3"/>
  <c r="E383" i="3"/>
  <c r="H386" i="3"/>
  <c r="F387" i="3"/>
  <c r="H390" i="3"/>
  <c r="F391" i="3"/>
  <c r="H393" i="3"/>
  <c r="I378" i="3"/>
  <c r="G379" i="3"/>
  <c r="E380" i="3"/>
  <c r="I382" i="3"/>
  <c r="G383" i="3"/>
  <c r="E384" i="3"/>
  <c r="H387" i="3"/>
  <c r="F388" i="3"/>
  <c r="H391" i="3"/>
  <c r="F413" i="3"/>
  <c r="E377" i="3"/>
  <c r="E40" i="119" s="1"/>
  <c r="I379" i="3"/>
  <c r="G380" i="3"/>
  <c r="E381" i="3"/>
  <c r="I383" i="3"/>
  <c r="G384" i="3"/>
  <c r="F385" i="3"/>
  <c r="H388" i="3"/>
  <c r="F389" i="3"/>
  <c r="D327" i="3"/>
  <c r="F377" i="3"/>
  <c r="H380" i="3"/>
  <c r="F381" i="3"/>
  <c r="H384" i="3"/>
  <c r="G385" i="3"/>
  <c r="E386" i="3"/>
  <c r="I388" i="3"/>
  <c r="G389" i="3"/>
  <c r="E390" i="3"/>
  <c r="E393" i="3"/>
  <c r="F411" i="3"/>
  <c r="G377" i="3"/>
  <c r="E45" i="119" s="1"/>
  <c r="E378" i="3"/>
  <c r="I380" i="3"/>
  <c r="G381" i="3"/>
  <c r="E382" i="3"/>
  <c r="I384" i="3"/>
  <c r="H385" i="3"/>
  <c r="F386" i="3"/>
  <c r="H389" i="3"/>
  <c r="F390" i="3"/>
  <c r="F393" i="3"/>
  <c r="K232" i="3"/>
  <c r="F232" i="3" s="1"/>
  <c r="K215" i="3"/>
  <c r="F215" i="3" s="1"/>
  <c r="T36" i="93"/>
  <c r="T116" i="132"/>
  <c r="T51" i="119"/>
  <c r="D123" i="3"/>
  <c r="D127" i="3"/>
  <c r="AM41" i="119"/>
  <c r="AM42" i="119" s="1"/>
  <c r="AM43" i="119" s="1"/>
  <c r="AM44" i="119" s="1"/>
  <c r="AM45" i="119" s="1"/>
  <c r="D161" i="3"/>
  <c r="E122" i="132"/>
  <c r="AM109" i="132"/>
  <c r="AM110" i="132" s="1"/>
  <c r="AM111" i="132" s="1"/>
  <c r="AM112" i="132" s="1"/>
  <c r="AM113" i="132" s="1"/>
  <c r="E388" i="3"/>
  <c r="E385" i="3"/>
  <c r="F378" i="3"/>
  <c r="D378" i="3"/>
  <c r="AJ40" i="133" l="1"/>
  <c r="AO40" i="133" s="1"/>
  <c r="AL40" i="133"/>
  <c r="AL39" i="133"/>
  <c r="AJ39" i="133"/>
  <c r="V141" i="119"/>
  <c r="X141" i="119" s="1"/>
  <c r="I141" i="119" s="1"/>
  <c r="AS11" i="119"/>
  <c r="D78" i="119" s="1"/>
  <c r="AV9" i="119"/>
  <c r="V88" i="132"/>
  <c r="X88" i="132" s="1"/>
  <c r="AU11" i="119"/>
  <c r="D118" i="119" s="1"/>
  <c r="AV10" i="119"/>
  <c r="AP5" i="93"/>
  <c r="E65" i="93" s="1"/>
  <c r="L65" i="93" s="1"/>
  <c r="AJ65" i="93" s="1"/>
  <c r="AU9" i="119"/>
  <c r="E209" i="3"/>
  <c r="AV11" i="93"/>
  <c r="D130" i="93" s="1"/>
  <c r="Q54" i="119"/>
  <c r="F93" i="132"/>
  <c r="J93" i="132" s="1"/>
  <c r="W93" i="132" s="1"/>
  <c r="Q122" i="132"/>
  <c r="AR9" i="119"/>
  <c r="AT9" i="93"/>
  <c r="AR11" i="119"/>
  <c r="Q17" i="119" s="1"/>
  <c r="AP11" i="119"/>
  <c r="D62" i="119" s="1"/>
  <c r="AX5" i="93"/>
  <c r="AU9" i="93"/>
  <c r="Q119" i="132"/>
  <c r="Q36" i="93"/>
  <c r="Q51" i="119"/>
  <c r="AT9" i="119"/>
  <c r="N85" i="93"/>
  <c r="E215" i="3"/>
  <c r="F88" i="132"/>
  <c r="J88" i="132" s="1"/>
  <c r="W88" i="132" s="1"/>
  <c r="AU11" i="93"/>
  <c r="D118" i="93" s="1"/>
  <c r="V40" i="119"/>
  <c r="V108" i="132"/>
  <c r="E51" i="119"/>
  <c r="F8" i="3"/>
  <c r="E8" i="3" s="1"/>
  <c r="AH73" i="93"/>
  <c r="AP9" i="93"/>
  <c r="AH69" i="93"/>
  <c r="V30" i="93"/>
  <c r="AV10" i="93"/>
  <c r="AV9" i="93"/>
  <c r="E233" i="3"/>
  <c r="E212" i="3"/>
  <c r="U225" i="3" s="1"/>
  <c r="L97" i="119"/>
  <c r="F20" i="3"/>
  <c r="AR11" i="93"/>
  <c r="Q17" i="93" s="1"/>
  <c r="AR9" i="93"/>
  <c r="AR10" i="93"/>
  <c r="E48" i="119"/>
  <c r="V93" i="132"/>
  <c r="X93" i="132" s="1"/>
  <c r="E232" i="3"/>
  <c r="K99" i="119" s="1"/>
  <c r="P99" i="119" s="1"/>
  <c r="V45" i="119"/>
  <c r="L52" i="132"/>
  <c r="V46" i="93"/>
  <c r="X46" i="93" s="1"/>
  <c r="Q108" i="132"/>
  <c r="Q25" i="93"/>
  <c r="Q40" i="119"/>
  <c r="Q48" i="119"/>
  <c r="Q116" i="132"/>
  <c r="Q33" i="93"/>
  <c r="V105" i="132"/>
  <c r="X105" i="132" s="1"/>
  <c r="V37" i="119"/>
  <c r="X37" i="119" s="1"/>
  <c r="V22" i="93"/>
  <c r="X22" i="93" s="1"/>
  <c r="F56" i="93"/>
  <c r="J56" i="93" s="1"/>
  <c r="W56" i="93" s="1"/>
  <c r="K68" i="132"/>
  <c r="L68" i="132" s="1"/>
  <c r="AJ68" i="132" s="1"/>
  <c r="AO68" i="132" s="1"/>
  <c r="V98" i="132"/>
  <c r="X98" i="132" s="1"/>
  <c r="AP5" i="119"/>
  <c r="E65" i="119" s="1"/>
  <c r="L65" i="119" s="1"/>
  <c r="AL65" i="119" s="1"/>
  <c r="AP9" i="119"/>
  <c r="AH69" i="119"/>
  <c r="E162" i="3"/>
  <c r="E30" i="93"/>
  <c r="E11" i="3"/>
  <c r="AB25" i="93"/>
  <c r="J137" i="119"/>
  <c r="W137" i="119" s="1"/>
  <c r="R119" i="132"/>
  <c r="R141" i="119"/>
  <c r="R48" i="119"/>
  <c r="R51" i="93"/>
  <c r="R116" i="132"/>
  <c r="R137" i="119"/>
  <c r="R45" i="119"/>
  <c r="R46" i="93"/>
  <c r="R141" i="93"/>
  <c r="J89" i="93"/>
  <c r="R113" i="132"/>
  <c r="J89" i="119"/>
  <c r="R40" i="119"/>
  <c r="R39" i="93"/>
  <c r="R137" i="93"/>
  <c r="J85" i="93"/>
  <c r="J141" i="132"/>
  <c r="R108" i="132"/>
  <c r="J85" i="119"/>
  <c r="R37" i="119"/>
  <c r="R36" i="93"/>
  <c r="J141" i="93"/>
  <c r="L97" i="93"/>
  <c r="J137" i="132"/>
  <c r="R105" i="132"/>
  <c r="N89" i="93"/>
  <c r="R30" i="119"/>
  <c r="R33" i="93"/>
  <c r="J137" i="93"/>
  <c r="R141" i="132"/>
  <c r="R98" i="132"/>
  <c r="N85" i="119"/>
  <c r="R25" i="119"/>
  <c r="R30" i="93"/>
  <c r="R137" i="132"/>
  <c r="R93" i="132"/>
  <c r="R54" i="119"/>
  <c r="R20" i="119"/>
  <c r="R25" i="93"/>
  <c r="J141" i="119"/>
  <c r="W141" i="119" s="1"/>
  <c r="R122" i="132"/>
  <c r="R88" i="132"/>
  <c r="R51" i="119"/>
  <c r="R56" i="93"/>
  <c r="R22" i="93"/>
  <c r="K141" i="132"/>
  <c r="L141" i="132" s="1"/>
  <c r="AJ141" i="132" s="1"/>
  <c r="AO141" i="132" s="1"/>
  <c r="V20" i="119"/>
  <c r="X20" i="119" s="1"/>
  <c r="V51" i="93"/>
  <c r="X51" i="93" s="1"/>
  <c r="V30" i="119"/>
  <c r="X30" i="119" s="1"/>
  <c r="V56" i="93"/>
  <c r="X56" i="93" s="1"/>
  <c r="E36" i="3"/>
  <c r="AS11" i="93"/>
  <c r="D78" i="93" s="1"/>
  <c r="AS10" i="93"/>
  <c r="AS9" i="93"/>
  <c r="V25" i="119"/>
  <c r="X25" i="119" s="1"/>
  <c r="E213" i="3"/>
  <c r="E231" i="3"/>
  <c r="K58" i="132" s="1"/>
  <c r="P58" i="132" s="1"/>
  <c r="AJ58" i="132" s="1"/>
  <c r="AO58" i="132" s="1"/>
  <c r="E12" i="3"/>
  <c r="F30" i="3"/>
  <c r="E30" i="3" s="1"/>
  <c r="L30" i="3"/>
  <c r="N195" i="43"/>
  <c r="O187" i="43"/>
  <c r="E55" i="3"/>
  <c r="E92" i="3"/>
  <c r="E127" i="3"/>
  <c r="E83" i="3"/>
  <c r="E115" i="3"/>
  <c r="E143" i="3"/>
  <c r="E80" i="3"/>
  <c r="E193" i="3"/>
  <c r="E165" i="3"/>
  <c r="E189" i="3"/>
  <c r="E161" i="3"/>
  <c r="E135" i="3"/>
  <c r="E86" i="3"/>
  <c r="E152" i="3"/>
  <c r="E63" i="3"/>
  <c r="E67" i="3"/>
  <c r="E196" i="3"/>
  <c r="O193" i="43"/>
  <c r="L191" i="43"/>
  <c r="N191" i="43"/>
  <c r="M187" i="43"/>
  <c r="M193" i="43"/>
  <c r="AG64" i="99"/>
  <c r="Q8" i="99" s="1"/>
  <c r="T200" i="43"/>
  <c r="T112" i="43"/>
  <c r="L187" i="43"/>
  <c r="N187" i="43"/>
  <c r="AG72" i="99"/>
  <c r="AL25" i="99" s="1"/>
  <c r="AG74" i="99"/>
  <c r="Q2" i="99" s="1"/>
  <c r="AD59" i="99"/>
  <c r="M195" i="43"/>
  <c r="L195" i="43"/>
  <c r="L189" i="43"/>
  <c r="K195" i="43"/>
  <c r="AG42" i="99"/>
  <c r="BI7" i="99" s="1"/>
  <c r="AG71" i="99"/>
  <c r="AL24" i="99" s="1"/>
  <c r="AB70" i="99"/>
  <c r="AB55" i="99"/>
  <c r="AF59" i="99"/>
  <c r="AE55" i="99"/>
  <c r="AF70" i="99"/>
  <c r="O189" i="43"/>
  <c r="AG66" i="99"/>
  <c r="Q10" i="99" s="1"/>
  <c r="AB57" i="99"/>
  <c r="AE59" i="99"/>
  <c r="M189" i="43"/>
  <c r="AF55" i="99"/>
  <c r="AG69" i="99"/>
  <c r="Q13" i="99" s="1"/>
  <c r="AC55" i="99"/>
  <c r="O170" i="43"/>
  <c r="N170" i="43"/>
  <c r="AC51" i="99"/>
  <c r="J170" i="43"/>
  <c r="K191" i="43"/>
  <c r="AD51" i="99"/>
  <c r="K189" i="43"/>
  <c r="AD57" i="99"/>
  <c r="C250" i="3"/>
  <c r="O191" i="43"/>
  <c r="M191" i="43"/>
  <c r="N189" i="43"/>
  <c r="AG41" i="99"/>
  <c r="BH7" i="99" s="1"/>
  <c r="E26" i="3"/>
  <c r="F241" i="3"/>
  <c r="E241" i="3" s="1"/>
  <c r="V36" i="93"/>
  <c r="AB36" i="93"/>
  <c r="F23" i="3"/>
  <c r="E23" i="3" s="1"/>
  <c r="K51" i="93" s="1"/>
  <c r="L51" i="93" s="1"/>
  <c r="L23" i="3"/>
  <c r="L25" i="3"/>
  <c r="F25" i="3"/>
  <c r="E25" i="3" s="1"/>
  <c r="E25" i="93"/>
  <c r="E47" i="3"/>
  <c r="E54" i="3"/>
  <c r="E89" i="3"/>
  <c r="AT1" i="132"/>
  <c r="AT1" i="119"/>
  <c r="AT1" i="93"/>
  <c r="O342" i="3"/>
  <c r="V342" i="3" s="1"/>
  <c r="AC342" i="3" s="1"/>
  <c r="E154" i="3"/>
  <c r="E128" i="3"/>
  <c r="E157" i="3"/>
  <c r="E137" i="3"/>
  <c r="E183" i="3"/>
  <c r="E160" i="3"/>
  <c r="F125" i="93"/>
  <c r="J125" i="93"/>
  <c r="E221" i="3"/>
  <c r="E144" i="3"/>
  <c r="C254" i="3"/>
  <c r="L170" i="43"/>
  <c r="P33" i="43"/>
  <c r="P174" i="43"/>
  <c r="AD70" i="99"/>
  <c r="AD53" i="99"/>
  <c r="E90" i="3"/>
  <c r="E223" i="3"/>
  <c r="E184" i="3"/>
  <c r="J99" i="93"/>
  <c r="K141" i="93"/>
  <c r="L141" i="93" s="1"/>
  <c r="L36" i="43"/>
  <c r="L182" i="43"/>
  <c r="P40" i="43"/>
  <c r="P180" i="43"/>
  <c r="AG29" i="99"/>
  <c r="BK12" i="99" s="1"/>
  <c r="P12" i="99"/>
  <c r="BG12" i="99" s="1"/>
  <c r="K73" i="93"/>
  <c r="L73" i="93" s="1"/>
  <c r="E20" i="3"/>
  <c r="E91" i="3"/>
  <c r="E125" i="3"/>
  <c r="E57" i="3"/>
  <c r="E100" i="3"/>
  <c r="F13" i="3"/>
  <c r="E13" i="3" s="1"/>
  <c r="L13" i="3"/>
  <c r="AM31" i="93"/>
  <c r="AM32" i="93" s="1"/>
  <c r="AM33" i="93" s="1"/>
  <c r="E19" i="3"/>
  <c r="E94" i="3"/>
  <c r="E37" i="3"/>
  <c r="E49" i="3"/>
  <c r="K28" i="132"/>
  <c r="L28" i="132" s="1"/>
  <c r="E73" i="3"/>
  <c r="E72" i="3"/>
  <c r="E96" i="3"/>
  <c r="E170" i="3"/>
  <c r="E153" i="3"/>
  <c r="K137" i="132"/>
  <c r="L137" i="132" s="1"/>
  <c r="E214" i="3"/>
  <c r="E185" i="3"/>
  <c r="E74" i="3"/>
  <c r="E122" i="3"/>
  <c r="E166" i="3"/>
  <c r="E97" i="3"/>
  <c r="E225" i="3"/>
  <c r="E201" i="3"/>
  <c r="M170" i="43"/>
  <c r="P197" i="43"/>
  <c r="P181" i="43"/>
  <c r="J182" i="43"/>
  <c r="P29" i="43"/>
  <c r="J36" i="43"/>
  <c r="AG73" i="99"/>
  <c r="AC31" i="99"/>
  <c r="V33" i="93"/>
  <c r="L22" i="3"/>
  <c r="F22" i="3"/>
  <c r="E22" i="3" s="1"/>
  <c r="F105" i="132"/>
  <c r="AS111" i="132" s="1"/>
  <c r="F22" i="93"/>
  <c r="J22" i="93" s="1"/>
  <c r="W22" i="93" s="1"/>
  <c r="F37" i="119"/>
  <c r="AS43" i="119" s="1"/>
  <c r="F40" i="119" s="1"/>
  <c r="E58" i="3"/>
  <c r="F10" i="3"/>
  <c r="E10" i="3" s="1"/>
  <c r="K39" i="93" s="1"/>
  <c r="L10" i="3"/>
  <c r="E50" i="3"/>
  <c r="K73" i="119"/>
  <c r="L73" i="119" s="1"/>
  <c r="E77" i="3"/>
  <c r="E104" i="3"/>
  <c r="E18" i="3"/>
  <c r="E175" i="3"/>
  <c r="E164" i="3"/>
  <c r="E87" i="3"/>
  <c r="E200" i="3"/>
  <c r="E126" i="3"/>
  <c r="E130" i="3"/>
  <c r="E171" i="3"/>
  <c r="E106" i="3"/>
  <c r="E205" i="3"/>
  <c r="J103" i="93"/>
  <c r="AB105" i="132"/>
  <c r="J107" i="93"/>
  <c r="M182" i="43"/>
  <c r="M36" i="43"/>
  <c r="P31" i="43"/>
  <c r="P41" i="43"/>
  <c r="P159" i="43" s="1"/>
  <c r="AG68" i="99"/>
  <c r="Q12" i="99" s="1"/>
  <c r="AG25" i="99"/>
  <c r="BK8" i="99" s="1"/>
  <c r="P8" i="99"/>
  <c r="BG8" i="99" s="1"/>
  <c r="AE53" i="99"/>
  <c r="AC59" i="99"/>
  <c r="V39" i="93"/>
  <c r="J119" i="132"/>
  <c r="W119" i="132" s="1"/>
  <c r="J28" i="93"/>
  <c r="W25" i="93" s="1"/>
  <c r="J54" i="119"/>
  <c r="W54" i="119" s="1"/>
  <c r="J36" i="93"/>
  <c r="W36" i="93" s="1"/>
  <c r="J113" i="132"/>
  <c r="W113" i="132" s="1"/>
  <c r="J48" i="119"/>
  <c r="W48" i="119" s="1"/>
  <c r="J45" i="119"/>
  <c r="W45" i="119" s="1"/>
  <c r="J116" i="132"/>
  <c r="W116" i="132" s="1"/>
  <c r="J122" i="132"/>
  <c r="W122" i="132" s="1"/>
  <c r="J43" i="119"/>
  <c r="W40" i="119" s="1"/>
  <c r="J111" i="132"/>
  <c r="W108" i="132" s="1"/>
  <c r="J33" i="93"/>
  <c r="W33" i="93" s="1"/>
  <c r="J51" i="119"/>
  <c r="W51" i="119" s="1"/>
  <c r="J39" i="93"/>
  <c r="W39" i="93" s="1"/>
  <c r="J30" i="93"/>
  <c r="W30" i="93" s="1"/>
  <c r="F137" i="93"/>
  <c r="W137" i="93" s="1"/>
  <c r="F141" i="132"/>
  <c r="W141" i="132" s="1"/>
  <c r="F57" i="119"/>
  <c r="AS27" i="93"/>
  <c r="F137" i="132"/>
  <c r="W137" i="132" s="1"/>
  <c r="F141" i="93"/>
  <c r="W141" i="93" s="1"/>
  <c r="AS110" i="132"/>
  <c r="AS42" i="119"/>
  <c r="V54" i="119"/>
  <c r="E76" i="3"/>
  <c r="F29" i="3"/>
  <c r="E29" i="3" s="1"/>
  <c r="L29" i="3"/>
  <c r="F9" i="3"/>
  <c r="E9" i="3" s="1"/>
  <c r="K88" i="132" s="1"/>
  <c r="L88" i="132" s="1"/>
  <c r="L9" i="3"/>
  <c r="E52" i="3"/>
  <c r="E102" i="3"/>
  <c r="E41" i="3"/>
  <c r="K24" i="132" s="1"/>
  <c r="L24" i="132" s="1"/>
  <c r="E70" i="3"/>
  <c r="F68" i="132"/>
  <c r="AB108" i="132"/>
  <c r="J62" i="132"/>
  <c r="J54" i="132"/>
  <c r="J107" i="119"/>
  <c r="AB40" i="119"/>
  <c r="K85" i="119"/>
  <c r="R85" i="119" s="1"/>
  <c r="K137" i="119"/>
  <c r="L137" i="119" s="1"/>
  <c r="K107" i="119"/>
  <c r="P107" i="119" s="1"/>
  <c r="F24" i="132"/>
  <c r="K141" i="119"/>
  <c r="L141" i="119" s="1"/>
  <c r="AB37" i="119"/>
  <c r="AC37" i="119" s="1"/>
  <c r="F113" i="119"/>
  <c r="F69" i="119"/>
  <c r="K107" i="93"/>
  <c r="P107" i="93" s="1"/>
  <c r="K137" i="93"/>
  <c r="L137" i="93" s="1"/>
  <c r="K103" i="93"/>
  <c r="P103" i="93" s="1"/>
  <c r="K113" i="93"/>
  <c r="L113" i="93" s="1"/>
  <c r="F113" i="93"/>
  <c r="F69" i="93"/>
  <c r="AX5" i="132"/>
  <c r="E88" i="3"/>
  <c r="E113" i="3"/>
  <c r="E21" i="3"/>
  <c r="K30" i="119" s="1"/>
  <c r="L30" i="119" s="1"/>
  <c r="E180" i="3"/>
  <c r="E60" i="3"/>
  <c r="E168" i="3"/>
  <c r="E103" i="3"/>
  <c r="E230" i="3"/>
  <c r="E204" i="3"/>
  <c r="E141" i="3"/>
  <c r="E136" i="3"/>
  <c r="E176" i="3"/>
  <c r="J58" i="132"/>
  <c r="E109" i="3"/>
  <c r="E93" i="3"/>
  <c r="E210" i="3"/>
  <c r="J99" i="119"/>
  <c r="AB22" i="93"/>
  <c r="O182" i="43"/>
  <c r="O36" i="43"/>
  <c r="F19" i="115"/>
  <c r="G19" i="115"/>
  <c r="E19" i="115"/>
  <c r="P175" i="43"/>
  <c r="P179" i="43"/>
  <c r="K193" i="43"/>
  <c r="K187" i="43"/>
  <c r="AG26" i="99"/>
  <c r="BK9" i="99" s="1"/>
  <c r="P9" i="99"/>
  <c r="BG9" i="99" s="1"/>
  <c r="AG75" i="99"/>
  <c r="U1" i="99" s="1"/>
  <c r="AG65" i="99"/>
  <c r="Q9" i="99" s="1"/>
  <c r="AG36" i="99"/>
  <c r="V11" i="99" s="1"/>
  <c r="E11" i="99" s="1"/>
  <c r="AD31" i="99"/>
  <c r="AB61" i="99"/>
  <c r="AB31" i="99"/>
  <c r="AE31" i="99"/>
  <c r="AF61" i="99"/>
  <c r="AM114" i="132"/>
  <c r="AM115" i="132" s="1"/>
  <c r="AM116" i="132" s="1"/>
  <c r="AM46" i="119"/>
  <c r="AM47" i="119" s="1"/>
  <c r="AM48" i="119" s="1"/>
  <c r="E123" i="3"/>
  <c r="E99" i="3"/>
  <c r="E217" i="3"/>
  <c r="AB54" i="119" s="1"/>
  <c r="V113" i="132"/>
  <c r="E61" i="3"/>
  <c r="L17" i="3"/>
  <c r="F17" i="3"/>
  <c r="E17" i="3" s="1"/>
  <c r="F28" i="3"/>
  <c r="E28" i="3" s="1"/>
  <c r="L28" i="3"/>
  <c r="L27" i="3"/>
  <c r="F27" i="3"/>
  <c r="E27" i="3" s="1"/>
  <c r="K46" i="93" s="1"/>
  <c r="L46" i="93" s="1"/>
  <c r="E59" i="3"/>
  <c r="E48" i="3"/>
  <c r="E131" i="3"/>
  <c r="E146" i="3"/>
  <c r="E65" i="3"/>
  <c r="E197" i="3"/>
  <c r="E101" i="3"/>
  <c r="E169" i="3"/>
  <c r="E119" i="3"/>
  <c r="E208" i="3"/>
  <c r="E163" i="3"/>
  <c r="E145" i="3"/>
  <c r="E177" i="3"/>
  <c r="E112" i="3"/>
  <c r="E129" i="3"/>
  <c r="E236" i="3"/>
  <c r="E235" i="3"/>
  <c r="E222" i="3"/>
  <c r="K113" i="119"/>
  <c r="L113" i="119" s="1"/>
  <c r="A17" i="115"/>
  <c r="J17" i="115" s="1"/>
  <c r="K17" i="115"/>
  <c r="I17" i="115"/>
  <c r="P176" i="43"/>
  <c r="P196" i="43"/>
  <c r="AG76" i="99"/>
  <c r="W1" i="99" s="1"/>
  <c r="AG28" i="99"/>
  <c r="BK11" i="99" s="1"/>
  <c r="P11" i="99"/>
  <c r="BG11" i="99" s="1"/>
  <c r="P13" i="99"/>
  <c r="BG13" i="99" s="1"/>
  <c r="AG30" i="99"/>
  <c r="BK13" i="99" s="1"/>
  <c r="AB59" i="99"/>
  <c r="AE61" i="99"/>
  <c r="AC61" i="99"/>
  <c r="V119" i="132"/>
  <c r="AB119" i="132"/>
  <c r="F24" i="3"/>
  <c r="E24" i="3" s="1"/>
  <c r="K116" i="132" s="1"/>
  <c r="L24" i="3"/>
  <c r="C385" i="3"/>
  <c r="AU2" i="132"/>
  <c r="AS4" i="132"/>
  <c r="AT7" i="132"/>
  <c r="AV2" i="132"/>
  <c r="AT2" i="132"/>
  <c r="AQ2" i="132"/>
  <c r="AP2" i="132"/>
  <c r="AS2" i="132"/>
  <c r="AR2" i="132"/>
  <c r="AP7" i="132"/>
  <c r="AU4" i="132"/>
  <c r="AV4" i="132"/>
  <c r="AU7" i="132"/>
  <c r="AU6" i="132"/>
  <c r="AT6" i="132"/>
  <c r="AS6" i="132"/>
  <c r="AS7" i="132"/>
  <c r="AR6" i="132"/>
  <c r="AR7" i="132"/>
  <c r="AP6" i="132"/>
  <c r="AT4" i="132"/>
  <c r="AQ7" i="132"/>
  <c r="AR4" i="132"/>
  <c r="AQ6" i="132"/>
  <c r="AQ4" i="132"/>
  <c r="AV7" i="132"/>
  <c r="AP4" i="132"/>
  <c r="AV6" i="132"/>
  <c r="V51" i="119"/>
  <c r="AB51" i="119"/>
  <c r="AQ1" i="93"/>
  <c r="AQ1" i="132"/>
  <c r="AQ1" i="119"/>
  <c r="L342" i="3"/>
  <c r="S342" i="3" s="1"/>
  <c r="Z342" i="3" s="1"/>
  <c r="E75" i="3"/>
  <c r="E107" i="3"/>
  <c r="AX5" i="119"/>
  <c r="E38" i="3"/>
  <c r="E84" i="3"/>
  <c r="F15" i="3"/>
  <c r="E15" i="3" s="1"/>
  <c r="L15" i="3"/>
  <c r="E240" i="3"/>
  <c r="K125" i="93" s="1"/>
  <c r="L125" i="93" s="1"/>
  <c r="E78" i="3"/>
  <c r="E110" i="3"/>
  <c r="E53" i="3"/>
  <c r="E62" i="3"/>
  <c r="E64" i="3"/>
  <c r="E56" i="3"/>
  <c r="E71" i="3"/>
  <c r="U226" i="3" s="1"/>
  <c r="E226" i="3" s="1"/>
  <c r="E121" i="3"/>
  <c r="E108" i="3"/>
  <c r="E174" i="3"/>
  <c r="E134" i="3"/>
  <c r="E81" i="3"/>
  <c r="E220" i="3"/>
  <c r="E172" i="3"/>
  <c r="E151" i="3"/>
  <c r="E182" i="3"/>
  <c r="E150" i="3"/>
  <c r="K40" i="132"/>
  <c r="R40" i="132" s="1"/>
  <c r="F18" i="115"/>
  <c r="E18" i="115"/>
  <c r="G18" i="115"/>
  <c r="N182" i="43"/>
  <c r="N36" i="43"/>
  <c r="N193" i="43"/>
  <c r="P34" i="43"/>
  <c r="P30" i="43"/>
  <c r="P35" i="43"/>
  <c r="P32" i="43"/>
  <c r="K170" i="43"/>
  <c r="AG27" i="99"/>
  <c r="BK10" i="99" s="1"/>
  <c r="P10" i="99"/>
  <c r="BG10" i="99" s="1"/>
  <c r="AG43" i="99"/>
  <c r="AG67" i="99"/>
  <c r="Q11" i="99" s="1"/>
  <c r="AB53" i="99"/>
  <c r="AE70" i="99"/>
  <c r="AE57" i="99"/>
  <c r="AC53" i="99"/>
  <c r="AC57" i="99"/>
  <c r="AF53" i="99"/>
  <c r="AF57" i="99"/>
  <c r="AF31" i="99"/>
  <c r="V116" i="132"/>
  <c r="V48" i="119"/>
  <c r="L26" i="3"/>
  <c r="L241" i="3" s="1"/>
  <c r="K241" i="3"/>
  <c r="F14" i="3"/>
  <c r="E14" i="3" s="1"/>
  <c r="L14" i="3"/>
  <c r="E42" i="3"/>
  <c r="E186" i="3"/>
  <c r="E190" i="3"/>
  <c r="E194" i="3"/>
  <c r="E198" i="3"/>
  <c r="E202" i="3"/>
  <c r="E206" i="3"/>
  <c r="E116" i="3"/>
  <c r="E117" i="3"/>
  <c r="E118" i="3"/>
  <c r="E133" i="3"/>
  <c r="E140" i="3"/>
  <c r="E156" i="3"/>
  <c r="E82" i="3"/>
  <c r="E98" i="3"/>
  <c r="E114" i="3"/>
  <c r="E142" i="3"/>
  <c r="E158" i="3"/>
  <c r="E173" i="3"/>
  <c r="E181" i="3"/>
  <c r="E124" i="3"/>
  <c r="E66" i="3"/>
  <c r="E111" i="3"/>
  <c r="E147" i="3"/>
  <c r="E148" i="3"/>
  <c r="E159" i="3"/>
  <c r="E167" i="3"/>
  <c r="E79" i="3"/>
  <c r="E85" i="3"/>
  <c r="E95" i="3"/>
  <c r="E149" i="3"/>
  <c r="E187" i="3"/>
  <c r="E191" i="3"/>
  <c r="E195" i="3"/>
  <c r="E199" i="3"/>
  <c r="E216" i="3"/>
  <c r="E203" i="3"/>
  <c r="E207" i="3"/>
  <c r="E234" i="3"/>
  <c r="E35" i="3"/>
  <c r="E51" i="3"/>
  <c r="E69" i="3"/>
  <c r="E68" i="3"/>
  <c r="E16" i="3"/>
  <c r="E105" i="3"/>
  <c r="E120" i="3"/>
  <c r="E179" i="3"/>
  <c r="E138" i="3"/>
  <c r="E132" i="3"/>
  <c r="E224" i="3"/>
  <c r="E178" i="3"/>
  <c r="E155" i="3"/>
  <c r="E192" i="3"/>
  <c r="E188" i="3"/>
  <c r="E139" i="3"/>
  <c r="J103" i="119"/>
  <c r="K103" i="119"/>
  <c r="P103" i="119" s="1"/>
  <c r="AJ103" i="119" s="1"/>
  <c r="AO103" i="119" s="1"/>
  <c r="K62" i="132"/>
  <c r="P62" i="132" s="1"/>
  <c r="K85" i="93"/>
  <c r="R85" i="93" s="1"/>
  <c r="P39" i="43"/>
  <c r="K182" i="43"/>
  <c r="K36" i="43"/>
  <c r="AG63" i="99"/>
  <c r="AA70" i="99"/>
  <c r="AA31" i="99"/>
  <c r="P7" i="99"/>
  <c r="AG24" i="99"/>
  <c r="AD55" i="99"/>
  <c r="AD61" i="99"/>
  <c r="AB51" i="99"/>
  <c r="AE51" i="99"/>
  <c r="AC70" i="99"/>
  <c r="AF51" i="99"/>
  <c r="AO39" i="133" l="1"/>
  <c r="G252" i="3"/>
  <c r="D42" i="135"/>
  <c r="D43" i="135" s="1"/>
  <c r="J14" i="135"/>
  <c r="E41" i="135"/>
  <c r="K14" i="135"/>
  <c r="AL65" i="93"/>
  <c r="K54" i="119"/>
  <c r="K113" i="132"/>
  <c r="AC22" i="93"/>
  <c r="K99" i="93"/>
  <c r="P99" i="93" s="1"/>
  <c r="AJ99" i="93" s="1"/>
  <c r="AO99" i="93" s="1"/>
  <c r="K54" i="132"/>
  <c r="P54" i="132" s="1"/>
  <c r="AJ54" i="132" s="1"/>
  <c r="AO54" i="132" s="1"/>
  <c r="F45" i="119"/>
  <c r="I45" i="119" s="1"/>
  <c r="X45" i="119" s="1"/>
  <c r="K69" i="93"/>
  <c r="L69" i="93" s="1"/>
  <c r="AJ69" i="93" s="1"/>
  <c r="AO69" i="93" s="1"/>
  <c r="AL141" i="132"/>
  <c r="AL68" i="132"/>
  <c r="AJ65" i="119"/>
  <c r="F125" i="132"/>
  <c r="F42" i="93"/>
  <c r="AC105" i="132"/>
  <c r="AL106" i="132" s="1"/>
  <c r="AB116" i="132"/>
  <c r="K44" i="132"/>
  <c r="R44" i="132" s="1"/>
  <c r="AL44" i="132" s="1"/>
  <c r="AB113" i="132"/>
  <c r="K89" i="119"/>
  <c r="R89" i="119" s="1"/>
  <c r="AJ89" i="119" s="1"/>
  <c r="AO89" i="119" s="1"/>
  <c r="P1" i="99"/>
  <c r="AK2" i="99"/>
  <c r="AN25" i="99"/>
  <c r="P2" i="99"/>
  <c r="P187" i="43"/>
  <c r="Q41" i="43" s="1"/>
  <c r="Q159" i="43" s="1"/>
  <c r="Q163" i="43" s="1"/>
  <c r="Q164" i="43" s="1"/>
  <c r="Q165" i="43" s="1"/>
  <c r="Q166" i="43" s="1"/>
  <c r="Q167" i="43" s="1"/>
  <c r="Q168" i="43" s="1"/>
  <c r="Q169" i="43" s="1"/>
  <c r="Q170" i="43" s="1"/>
  <c r="P195" i="43"/>
  <c r="Q43" i="43" s="1"/>
  <c r="K14" i="115"/>
  <c r="D42" i="115"/>
  <c r="D43" i="115" s="1"/>
  <c r="D44" i="115" s="1"/>
  <c r="D45" i="115" s="1"/>
  <c r="E45" i="115" s="1"/>
  <c r="G251" i="3"/>
  <c r="F252" i="3"/>
  <c r="D252" i="3"/>
  <c r="F251" i="3"/>
  <c r="K1" i="43"/>
  <c r="E41" i="115"/>
  <c r="E252" i="3"/>
  <c r="D251" i="3"/>
  <c r="P191" i="43"/>
  <c r="I43" i="43" s="1"/>
  <c r="P189" i="43"/>
  <c r="I42" i="43" s="1"/>
  <c r="G253" i="3"/>
  <c r="E251" i="3"/>
  <c r="J14" i="115"/>
  <c r="W13" i="99"/>
  <c r="F13" i="99" s="1"/>
  <c r="P42" i="43"/>
  <c r="AG55" i="99"/>
  <c r="AJ2" i="99"/>
  <c r="F253" i="3"/>
  <c r="AG53" i="99"/>
  <c r="AH36" i="99" s="1"/>
  <c r="W11" i="99" s="1"/>
  <c r="F11" i="99" s="1"/>
  <c r="P43" i="43"/>
  <c r="D253" i="3"/>
  <c r="AG61" i="99"/>
  <c r="P193" i="43"/>
  <c r="Q42" i="43" s="1"/>
  <c r="K2" i="43"/>
  <c r="E253" i="3"/>
  <c r="P168" i="43"/>
  <c r="AB2" i="99"/>
  <c r="P164" i="43"/>
  <c r="AB1" i="99"/>
  <c r="AG59" i="99"/>
  <c r="P169" i="43"/>
  <c r="V12" i="99"/>
  <c r="E12" i="99" s="1"/>
  <c r="P14" i="99"/>
  <c r="P166" i="43"/>
  <c r="AL125" i="93"/>
  <c r="AJ125" i="93"/>
  <c r="AO125" i="93" s="1"/>
  <c r="F108" i="132"/>
  <c r="F113" i="132"/>
  <c r="AJ141" i="93"/>
  <c r="AO141" i="93" s="1"/>
  <c r="AL141" i="93"/>
  <c r="Z38" i="99"/>
  <c r="U13" i="99" s="1"/>
  <c r="D13" i="99" s="1"/>
  <c r="AG39" i="99"/>
  <c r="V14" i="99" s="1"/>
  <c r="E14" i="99" s="1"/>
  <c r="AG38" i="99"/>
  <c r="V13" i="99" s="1"/>
  <c r="E13" i="99" s="1"/>
  <c r="AT11" i="132"/>
  <c r="D49" i="132" s="1"/>
  <c r="AT9" i="132"/>
  <c r="AT5" i="132"/>
  <c r="AB98" i="132"/>
  <c r="AC98" i="132" s="1"/>
  <c r="AJ88" i="132"/>
  <c r="AO88" i="132" s="1"/>
  <c r="AL88" i="132"/>
  <c r="AM49" i="119"/>
  <c r="AM50" i="119" s="1"/>
  <c r="AM51" i="119" s="1"/>
  <c r="F48" i="119"/>
  <c r="I48" i="119" s="1"/>
  <c r="X48" i="119" s="1"/>
  <c r="AB30" i="93"/>
  <c r="AL141" i="119"/>
  <c r="AJ141" i="119"/>
  <c r="AO141" i="119" s="1"/>
  <c r="AJ99" i="119"/>
  <c r="AO99" i="119" s="1"/>
  <c r="AL99" i="119"/>
  <c r="K20" i="119"/>
  <c r="L20" i="119" s="1"/>
  <c r="K45" i="119"/>
  <c r="K30" i="93"/>
  <c r="P165" i="43"/>
  <c r="AB33" i="93"/>
  <c r="AN24" i="99"/>
  <c r="Q1" i="99"/>
  <c r="I43" i="119"/>
  <c r="D254" i="3"/>
  <c r="G254" i="3"/>
  <c r="C255" i="3"/>
  <c r="E254" i="3"/>
  <c r="F254" i="3"/>
  <c r="AJ113" i="119"/>
  <c r="AO113" i="119" s="1"/>
  <c r="AL113" i="119"/>
  <c r="AG57" i="99"/>
  <c r="AL103" i="119"/>
  <c r="AJ62" i="132"/>
  <c r="AO62" i="132" s="1"/>
  <c r="AL62" i="132"/>
  <c r="AL2" i="99"/>
  <c r="BJ7" i="99"/>
  <c r="AV11" i="132"/>
  <c r="D130" i="132" s="1"/>
  <c r="AV10" i="132"/>
  <c r="AV9" i="132"/>
  <c r="AJ23" i="93"/>
  <c r="AL23" i="93"/>
  <c r="K89" i="93"/>
  <c r="R89" i="93" s="1"/>
  <c r="AJ85" i="119"/>
  <c r="AO85" i="119" s="1"/>
  <c r="AL85" i="119"/>
  <c r="AL54" i="132"/>
  <c r="AL28" i="132"/>
  <c r="AJ28" i="132"/>
  <c r="AO28" i="132" s="1"/>
  <c r="K56" i="93"/>
  <c r="L56" i="93" s="1"/>
  <c r="K98" i="132"/>
  <c r="L98" i="132" s="1"/>
  <c r="AH44" i="132"/>
  <c r="AH76" i="132"/>
  <c r="AH80" i="132"/>
  <c r="AH99" i="132"/>
  <c r="AH119" i="132"/>
  <c r="AH106" i="132"/>
  <c r="AH120" i="132"/>
  <c r="AH58" i="132"/>
  <c r="AH109" i="132"/>
  <c r="AH123" i="132"/>
  <c r="AH62" i="132"/>
  <c r="AH89" i="132"/>
  <c r="AH113" i="132"/>
  <c r="AH36" i="132"/>
  <c r="AH68" i="132"/>
  <c r="AH93" i="132"/>
  <c r="AH114" i="132"/>
  <c r="AH94" i="132"/>
  <c r="AH116" i="132"/>
  <c r="AH141" i="132"/>
  <c r="AK149" i="132"/>
  <c r="AH88" i="132"/>
  <c r="AH108" i="132"/>
  <c r="AH122" i="132"/>
  <c r="AH54" i="132"/>
  <c r="AH98" i="132"/>
  <c r="AH40" i="132"/>
  <c r="AH133" i="132"/>
  <c r="AH149" i="132"/>
  <c r="AH117" i="132"/>
  <c r="AH137" i="132"/>
  <c r="W14" i="99"/>
  <c r="F14" i="99" s="1"/>
  <c r="Z39" i="99"/>
  <c r="U14" i="99" s="1"/>
  <c r="D14" i="99" s="1"/>
  <c r="AB48" i="119"/>
  <c r="AJ40" i="132"/>
  <c r="AO40" i="132" s="1"/>
  <c r="AL40" i="132"/>
  <c r="AH137" i="119"/>
  <c r="AH51" i="119"/>
  <c r="AH30" i="119"/>
  <c r="AH103" i="119"/>
  <c r="AH38" i="119"/>
  <c r="AH52" i="119"/>
  <c r="AH31" i="119"/>
  <c r="AH40" i="119"/>
  <c r="AH54" i="119"/>
  <c r="AH113" i="119"/>
  <c r="AH41" i="119"/>
  <c r="AH55" i="119"/>
  <c r="AH141" i="119"/>
  <c r="AH45" i="119"/>
  <c r="AH20" i="119"/>
  <c r="AH46" i="119"/>
  <c r="AH21" i="119"/>
  <c r="AH85" i="119"/>
  <c r="AH48" i="119"/>
  <c r="AH25" i="119"/>
  <c r="AH89" i="119"/>
  <c r="AQ11" i="119"/>
  <c r="D17" i="119" s="1"/>
  <c r="AQ9" i="119"/>
  <c r="T3" i="119" s="1"/>
  <c r="AH49" i="119"/>
  <c r="AH26" i="119"/>
  <c r="AH107" i="119"/>
  <c r="AH99" i="119"/>
  <c r="AH121" i="119"/>
  <c r="AH125" i="119"/>
  <c r="AH149" i="119"/>
  <c r="AK149" i="119"/>
  <c r="AH133" i="119"/>
  <c r="AH81" i="119"/>
  <c r="AL58" i="132"/>
  <c r="AB51" i="93"/>
  <c r="AC51" i="93" s="1"/>
  <c r="K125" i="119"/>
  <c r="L125" i="119" s="1"/>
  <c r="J37" i="119"/>
  <c r="W37" i="119" s="1"/>
  <c r="AI2" i="119"/>
  <c r="P163" i="43"/>
  <c r="P36" i="43"/>
  <c r="P182" i="43"/>
  <c r="AS28" i="93"/>
  <c r="F33" i="93" s="1"/>
  <c r="I33" i="93" s="1"/>
  <c r="P167" i="43"/>
  <c r="BK7" i="99"/>
  <c r="AG31" i="99"/>
  <c r="W9" i="99" s="1"/>
  <c r="AJ46" i="93"/>
  <c r="AO46" i="93" s="1"/>
  <c r="AL46" i="93"/>
  <c r="F116" i="132"/>
  <c r="AM117" i="132"/>
  <c r="AM118" i="132" s="1"/>
  <c r="AM119" i="132" s="1"/>
  <c r="AB45" i="119"/>
  <c r="AL99" i="93"/>
  <c r="AB39" i="93"/>
  <c r="K69" i="119"/>
  <c r="L69" i="119" s="1"/>
  <c r="AD1" i="99"/>
  <c r="AL137" i="132"/>
  <c r="AJ137" i="132"/>
  <c r="AO137" i="132" s="1"/>
  <c r="K122" i="132"/>
  <c r="AT11" i="93"/>
  <c r="D94" i="93" s="1"/>
  <c r="AK149" i="93"/>
  <c r="AH39" i="93"/>
  <c r="AH40" i="93"/>
  <c r="AH26" i="93"/>
  <c r="AH37" i="93"/>
  <c r="AH56" i="93"/>
  <c r="AH57" i="93"/>
  <c r="AQ9" i="93"/>
  <c r="T3" i="93" s="1"/>
  <c r="AH103" i="93"/>
  <c r="AQ11" i="93"/>
  <c r="D17" i="93" s="1"/>
  <c r="AH107" i="93"/>
  <c r="AH34" i="93"/>
  <c r="AH113" i="93"/>
  <c r="AH36" i="93"/>
  <c r="AH149" i="93"/>
  <c r="AH31" i="93"/>
  <c r="AH46" i="93"/>
  <c r="AH30" i="93"/>
  <c r="AH23" i="93"/>
  <c r="AH137" i="93"/>
  <c r="AH133" i="93"/>
  <c r="AH89" i="93"/>
  <c r="AH85" i="93"/>
  <c r="AH141" i="93"/>
  <c r="AH52" i="93"/>
  <c r="AH51" i="93"/>
  <c r="AH125" i="93"/>
  <c r="AH99" i="93"/>
  <c r="AH33" i="93"/>
  <c r="AH81" i="93"/>
  <c r="AH47" i="93"/>
  <c r="AH121" i="93"/>
  <c r="AH25" i="93"/>
  <c r="AR11" i="132"/>
  <c r="Q85" i="132" s="1"/>
  <c r="AR9" i="132"/>
  <c r="AR10" i="132"/>
  <c r="AU5" i="132"/>
  <c r="E76" i="132" s="1"/>
  <c r="L76" i="132" s="1"/>
  <c r="AU9" i="132"/>
  <c r="AU11" i="132"/>
  <c r="D73" i="132" s="1"/>
  <c r="AJ113" i="93"/>
  <c r="AO113" i="93" s="1"/>
  <c r="AL113" i="93"/>
  <c r="AJ107" i="119"/>
  <c r="AO107" i="119" s="1"/>
  <c r="AL107" i="119"/>
  <c r="AB122" i="132"/>
  <c r="AJ24" i="132"/>
  <c r="AO24" i="132" s="1"/>
  <c r="AL24" i="132"/>
  <c r="AJ73" i="119"/>
  <c r="AO73" i="119" s="1"/>
  <c r="AL73" i="119"/>
  <c r="AI2" i="132"/>
  <c r="J105" i="132"/>
  <c r="W105" i="132" s="1"/>
  <c r="AG51" i="99"/>
  <c r="AB46" i="93"/>
  <c r="AC46" i="93" s="1"/>
  <c r="AT11" i="119"/>
  <c r="D94" i="119" s="1"/>
  <c r="AJ137" i="93"/>
  <c r="AO137" i="93" s="1"/>
  <c r="AL137" i="93"/>
  <c r="AS5" i="132"/>
  <c r="E36" i="132" s="1"/>
  <c r="L36" i="132" s="1"/>
  <c r="AS11" i="132"/>
  <c r="D33" i="132" s="1"/>
  <c r="AS9" i="132"/>
  <c r="E119" i="132"/>
  <c r="E108" i="132"/>
  <c r="E116" i="132"/>
  <c r="E113" i="132"/>
  <c r="K19" i="115"/>
  <c r="A19" i="115"/>
  <c r="J19" i="115" s="1"/>
  <c r="I19" i="115"/>
  <c r="AL103" i="93"/>
  <c r="AJ103" i="93"/>
  <c r="AO103" i="93" s="1"/>
  <c r="AB20" i="119"/>
  <c r="AC20" i="119" s="1"/>
  <c r="AB56" i="93"/>
  <c r="AC56" i="93" s="1"/>
  <c r="AL26" i="99"/>
  <c r="AM25" i="99"/>
  <c r="AB30" i="119"/>
  <c r="AC30" i="119" s="1"/>
  <c r="AL51" i="93"/>
  <c r="AJ51" i="93"/>
  <c r="AO51" i="93" s="1"/>
  <c r="K80" i="132"/>
  <c r="L80" i="132" s="1"/>
  <c r="Q7" i="99"/>
  <c r="Q14" i="99" s="1"/>
  <c r="AG70" i="99"/>
  <c r="K111" i="132"/>
  <c r="K28" i="93"/>
  <c r="K43" i="119"/>
  <c r="AP9" i="132"/>
  <c r="AP5" i="132"/>
  <c r="E20" i="132" s="1"/>
  <c r="L20" i="132" s="1"/>
  <c r="AH24" i="132"/>
  <c r="AH28" i="132"/>
  <c r="AP11" i="132"/>
  <c r="D17" i="132" s="1"/>
  <c r="K25" i="119"/>
  <c r="L25" i="119" s="1"/>
  <c r="K93" i="132"/>
  <c r="L93" i="132" s="1"/>
  <c r="AJ30" i="119"/>
  <c r="AO30" i="119" s="1"/>
  <c r="AL30" i="119"/>
  <c r="AB25" i="119"/>
  <c r="AC25" i="119" s="1"/>
  <c r="AJ137" i="119"/>
  <c r="AO137" i="119" s="1"/>
  <c r="AL137" i="119"/>
  <c r="AB93" i="132"/>
  <c r="AC93" i="132" s="1"/>
  <c r="K36" i="93"/>
  <c r="K119" i="132"/>
  <c r="AM34" i="93"/>
  <c r="AM35" i="93" s="1"/>
  <c r="AM36" i="93" s="1"/>
  <c r="K51" i="119"/>
  <c r="AJ85" i="93"/>
  <c r="AO85" i="93" s="1"/>
  <c r="AL85" i="93"/>
  <c r="I18" i="115"/>
  <c r="A18" i="115"/>
  <c r="J18" i="115" s="1"/>
  <c r="K18" i="115"/>
  <c r="AQ11" i="132"/>
  <c r="D85" i="132" s="1"/>
  <c r="AQ10" i="132"/>
  <c r="AQ9" i="132"/>
  <c r="K33" i="93"/>
  <c r="K48" i="119"/>
  <c r="AJ107" i="93"/>
  <c r="AO107" i="93" s="1"/>
  <c r="AL107" i="93"/>
  <c r="AL38" i="119"/>
  <c r="AJ38" i="119"/>
  <c r="AO38" i="119" s="1"/>
  <c r="AB88" i="132"/>
  <c r="AC88" i="132" s="1"/>
  <c r="AJ73" i="93"/>
  <c r="AO73" i="93" s="1"/>
  <c r="AL73" i="93"/>
  <c r="G43" i="135" l="1"/>
  <c r="F43" i="135"/>
  <c r="E43" i="135"/>
  <c r="I43" i="135"/>
  <c r="D44" i="135"/>
  <c r="P1" i="133"/>
  <c r="P2" i="133"/>
  <c r="BC5" i="133" s="1"/>
  <c r="BC6" i="133" s="1"/>
  <c r="BC7" i="133" s="1"/>
  <c r="AV5" i="133"/>
  <c r="E133" i="133" s="1"/>
  <c r="AU5" i="133"/>
  <c r="E121" i="133" s="1"/>
  <c r="AS5" i="133"/>
  <c r="E81" i="133" s="1"/>
  <c r="AT5" i="133"/>
  <c r="AR5" i="133"/>
  <c r="I42" i="135"/>
  <c r="G42" i="135"/>
  <c r="F42" i="135"/>
  <c r="E42" i="135"/>
  <c r="AJ106" i="132"/>
  <c r="AO106" i="132" s="1"/>
  <c r="AC45" i="119"/>
  <c r="AJ46" i="119" s="1"/>
  <c r="AO46" i="119" s="1"/>
  <c r="L45" i="119"/>
  <c r="AL45" i="119" s="1"/>
  <c r="AL69" i="93"/>
  <c r="AL89" i="119"/>
  <c r="AJ44" i="132"/>
  <c r="AO44" i="132" s="1"/>
  <c r="AN26" i="99"/>
  <c r="L33" i="93"/>
  <c r="AJ33" i="93" s="1"/>
  <c r="AO33" i="93" s="1"/>
  <c r="AC48" i="119"/>
  <c r="AJ49" i="119" s="1"/>
  <c r="AO49" i="119" s="1"/>
  <c r="G42" i="115"/>
  <c r="G44" i="115"/>
  <c r="E42" i="115"/>
  <c r="G45" i="115"/>
  <c r="D46" i="115"/>
  <c r="D47" i="115" s="1"/>
  <c r="I43" i="115"/>
  <c r="I44" i="115"/>
  <c r="E44" i="115"/>
  <c r="I45" i="115"/>
  <c r="F43" i="115"/>
  <c r="I42" i="115"/>
  <c r="E43" i="115"/>
  <c r="G43" i="115"/>
  <c r="F44" i="115"/>
  <c r="F42" i="115"/>
  <c r="F45" i="115"/>
  <c r="AL46" i="119"/>
  <c r="AJ25" i="119"/>
  <c r="AO25" i="119" s="1"/>
  <c r="AL25" i="119"/>
  <c r="AM120" i="132"/>
  <c r="AM121" i="132" s="1"/>
  <c r="AM122" i="132" s="1"/>
  <c r="F119" i="132"/>
  <c r="I119" i="132" s="1"/>
  <c r="AJ56" i="93"/>
  <c r="AO56" i="93" s="1"/>
  <c r="AL56" i="93"/>
  <c r="AJ89" i="93"/>
  <c r="AO89" i="93" s="1"/>
  <c r="AL89" i="93"/>
  <c r="F25" i="93"/>
  <c r="I28" i="93" s="1"/>
  <c r="F30" i="93"/>
  <c r="I30" i="93" s="1"/>
  <c r="AJ98" i="132"/>
  <c r="AO98" i="132" s="1"/>
  <c r="AL98" i="132"/>
  <c r="AJ31" i="119"/>
  <c r="AO31" i="119" s="1"/>
  <c r="AL31" i="119"/>
  <c r="AJ94" i="132"/>
  <c r="AO94" i="132" s="1"/>
  <c r="AL94" i="132"/>
  <c r="AJ69" i="119"/>
  <c r="AO69" i="119" s="1"/>
  <c r="AL69" i="119"/>
  <c r="I116" i="132"/>
  <c r="AJ76" i="132"/>
  <c r="AL76" i="132"/>
  <c r="P170" i="43"/>
  <c r="AO23" i="93"/>
  <c r="F255" i="3"/>
  <c r="C256" i="3"/>
  <c r="D255" i="3"/>
  <c r="G255" i="3"/>
  <c r="E255" i="3"/>
  <c r="AM37" i="93"/>
  <c r="AM38" i="93" s="1"/>
  <c r="AM39" i="93" s="1"/>
  <c r="F36" i="93"/>
  <c r="I36" i="93" s="1"/>
  <c r="AJ93" i="132"/>
  <c r="AO93" i="132" s="1"/>
  <c r="AL93" i="132"/>
  <c r="AJ36" i="132"/>
  <c r="AL36" i="132"/>
  <c r="AJ99" i="132"/>
  <c r="AO99" i="132" s="1"/>
  <c r="AL99" i="132"/>
  <c r="AJ89" i="132"/>
  <c r="AO89" i="132" s="1"/>
  <c r="AL89" i="132"/>
  <c r="T3" i="132"/>
  <c r="AJ57" i="93"/>
  <c r="AO57" i="93" s="1"/>
  <c r="AL57" i="93"/>
  <c r="X33" i="93"/>
  <c r="AC33" i="93" s="1"/>
  <c r="L48" i="119"/>
  <c r="I113" i="132"/>
  <c r="AJ26" i="119"/>
  <c r="AO26" i="119" s="1"/>
  <c r="AL26" i="119"/>
  <c r="AJ47" i="93"/>
  <c r="AO47" i="93" s="1"/>
  <c r="AL47" i="93"/>
  <c r="F51" i="119"/>
  <c r="I51" i="119" s="1"/>
  <c r="AM52" i="119"/>
  <c r="AM53" i="119" s="1"/>
  <c r="AM54" i="119" s="1"/>
  <c r="I111" i="132"/>
  <c r="AJ20" i="132"/>
  <c r="AL20" i="132"/>
  <c r="AJ80" i="132"/>
  <c r="AO80" i="132" s="1"/>
  <c r="AL80" i="132"/>
  <c r="AL125" i="119"/>
  <c r="AJ125" i="119"/>
  <c r="AO125" i="119" s="1"/>
  <c r="L43" i="119"/>
  <c r="X40" i="119"/>
  <c r="AC40" i="119" s="1"/>
  <c r="AL20" i="119"/>
  <c r="AJ20" i="119"/>
  <c r="AJ21" i="119"/>
  <c r="AO21" i="119" s="1"/>
  <c r="AL21" i="119"/>
  <c r="AL52" i="93"/>
  <c r="AJ52" i="93"/>
  <c r="AO52" i="93" s="1"/>
  <c r="K133" i="133" l="1"/>
  <c r="L133" i="133" s="1"/>
  <c r="BB5" i="133"/>
  <c r="BB6" i="133" s="1"/>
  <c r="BB7" i="133" s="1"/>
  <c r="K65" i="133"/>
  <c r="K81" i="133"/>
  <c r="L81" i="133" s="1"/>
  <c r="K121" i="133"/>
  <c r="L121" i="133" s="1"/>
  <c r="I44" i="135"/>
  <c r="G44" i="135"/>
  <c r="F44" i="135"/>
  <c r="E44" i="135"/>
  <c r="D45" i="135"/>
  <c r="AJ45" i="119"/>
  <c r="AO45" i="119" s="1"/>
  <c r="AL49" i="119"/>
  <c r="AL33" i="93"/>
  <c r="F46" i="115"/>
  <c r="E46" i="115"/>
  <c r="G46" i="115"/>
  <c r="I46" i="115"/>
  <c r="AM40" i="93"/>
  <c r="AM41" i="93" s="1"/>
  <c r="AM42" i="93" s="1"/>
  <c r="AM43" i="93" s="1"/>
  <c r="F39" i="93"/>
  <c r="I39" i="93" s="1"/>
  <c r="AO20" i="119"/>
  <c r="AJ48" i="119"/>
  <c r="AO48" i="119" s="1"/>
  <c r="AL48" i="119"/>
  <c r="AJ34" i="93"/>
  <c r="AO34" i="93" s="1"/>
  <c r="AL34" i="93"/>
  <c r="G256" i="3"/>
  <c r="F256" i="3"/>
  <c r="C257" i="3"/>
  <c r="E256" i="3"/>
  <c r="D256" i="3"/>
  <c r="L51" i="119"/>
  <c r="X51" i="119"/>
  <c r="AC51" i="119" s="1"/>
  <c r="AJ41" i="119"/>
  <c r="AO41" i="119" s="1"/>
  <c r="AL41" i="119"/>
  <c r="L116" i="132"/>
  <c r="X116" i="132"/>
  <c r="AC116" i="132" s="1"/>
  <c r="F47" i="115"/>
  <c r="I47" i="115"/>
  <c r="E47" i="115"/>
  <c r="G47" i="115"/>
  <c r="D48" i="115"/>
  <c r="AL40" i="119"/>
  <c r="AJ40" i="119"/>
  <c r="L30" i="93"/>
  <c r="X30" i="93"/>
  <c r="AC30" i="93" s="1"/>
  <c r="L119" i="132"/>
  <c r="X119" i="132"/>
  <c r="AC119" i="132" s="1"/>
  <c r="L111" i="132"/>
  <c r="X108" i="132"/>
  <c r="AC108" i="132" s="1"/>
  <c r="L36" i="93"/>
  <c r="X36" i="93"/>
  <c r="AC36" i="93" s="1"/>
  <c r="L28" i="93"/>
  <c r="X25" i="93"/>
  <c r="AC25" i="93" s="1"/>
  <c r="F122" i="132"/>
  <c r="I122" i="132" s="1"/>
  <c r="AM123" i="132"/>
  <c r="AM124" i="132" s="1"/>
  <c r="AM125" i="132" s="1"/>
  <c r="AM126" i="132" s="1"/>
  <c r="F54" i="119"/>
  <c r="I54" i="119" s="1"/>
  <c r="AM55" i="119"/>
  <c r="AM56" i="119" s="1"/>
  <c r="AM57" i="119" s="1"/>
  <c r="AM58" i="119" s="1"/>
  <c r="L113" i="132"/>
  <c r="X113" i="132"/>
  <c r="AC113" i="132" s="1"/>
  <c r="AJ133" i="133" l="1"/>
  <c r="AL133" i="133"/>
  <c r="AL121" i="133"/>
  <c r="AJ121" i="133"/>
  <c r="AL81" i="133"/>
  <c r="AJ81" i="133"/>
  <c r="E45" i="135"/>
  <c r="I45" i="135"/>
  <c r="G45" i="135"/>
  <c r="F45" i="135"/>
  <c r="D46" i="135"/>
  <c r="AJ37" i="93"/>
  <c r="AO37" i="93" s="1"/>
  <c r="AL37" i="93"/>
  <c r="AJ120" i="132"/>
  <c r="AO120" i="132" s="1"/>
  <c r="AL120" i="132"/>
  <c r="AJ113" i="132"/>
  <c r="AO113" i="132" s="1"/>
  <c r="AL113" i="132"/>
  <c r="AJ26" i="93"/>
  <c r="AO26" i="93" s="1"/>
  <c r="AL26" i="93"/>
  <c r="AJ31" i="93"/>
  <c r="AO31" i="93" s="1"/>
  <c r="AL31" i="93"/>
  <c r="AO40" i="119"/>
  <c r="AJ116" i="132"/>
  <c r="AO116" i="132" s="1"/>
  <c r="AL116" i="132"/>
  <c r="AJ52" i="119"/>
  <c r="AO52" i="119" s="1"/>
  <c r="AL52" i="119"/>
  <c r="L39" i="93"/>
  <c r="X39" i="93"/>
  <c r="AC39" i="93" s="1"/>
  <c r="AJ109" i="132"/>
  <c r="AO109" i="132" s="1"/>
  <c r="AL109" i="132"/>
  <c r="AJ51" i="119"/>
  <c r="AL51" i="119"/>
  <c r="AJ25" i="93"/>
  <c r="AL25" i="93"/>
  <c r="AJ30" i="93"/>
  <c r="AO30" i="93" s="1"/>
  <c r="AL30" i="93"/>
  <c r="AJ108" i="132"/>
  <c r="AL108" i="132"/>
  <c r="F48" i="115"/>
  <c r="I48" i="115"/>
  <c r="E48" i="115"/>
  <c r="G48" i="115"/>
  <c r="D49" i="115"/>
  <c r="L54" i="119"/>
  <c r="X54" i="119"/>
  <c r="AC54" i="119" s="1"/>
  <c r="AJ36" i="93"/>
  <c r="AO36" i="93" s="1"/>
  <c r="AL36" i="93"/>
  <c r="AJ114" i="132"/>
  <c r="AO114" i="132" s="1"/>
  <c r="AL114" i="132"/>
  <c r="L122" i="132"/>
  <c r="X122" i="132"/>
  <c r="AC122" i="132" s="1"/>
  <c r="AL119" i="132"/>
  <c r="AJ119" i="132"/>
  <c r="AO119" i="132" s="1"/>
  <c r="AJ117" i="132"/>
  <c r="AO117" i="132" s="1"/>
  <c r="AL117" i="132"/>
  <c r="F257" i="3"/>
  <c r="D257" i="3"/>
  <c r="C258" i="3"/>
  <c r="E257" i="3"/>
  <c r="G257" i="3"/>
  <c r="P9" i="133" l="1"/>
  <c r="P10" i="133"/>
  <c r="P12" i="133"/>
  <c r="I46" i="135"/>
  <c r="G46" i="135"/>
  <c r="F46" i="135"/>
  <c r="E46" i="135"/>
  <c r="D47" i="135"/>
  <c r="Q7" i="133"/>
  <c r="Q13" i="133"/>
  <c r="Q9" i="133"/>
  <c r="Q12" i="133"/>
  <c r="Q8" i="133"/>
  <c r="Q1" i="133"/>
  <c r="BD5" i="133" s="1"/>
  <c r="Q11" i="133"/>
  <c r="Q2" i="133"/>
  <c r="BD6" i="133" s="1"/>
  <c r="Q10" i="133"/>
  <c r="P11" i="133"/>
  <c r="AL2" i="133"/>
  <c r="N7" i="133" s="1"/>
  <c r="AJ2" i="133"/>
  <c r="L7" i="133" s="1"/>
  <c r="AK2" i="133"/>
  <c r="M7" i="133" s="1"/>
  <c r="P7" i="133"/>
  <c r="W1" i="133"/>
  <c r="U1" i="133"/>
  <c r="P13" i="133"/>
  <c r="P8" i="133"/>
  <c r="AJ122" i="132"/>
  <c r="AO122" i="132" s="1"/>
  <c r="AL122" i="132"/>
  <c r="AJ40" i="93"/>
  <c r="AO40" i="93" s="1"/>
  <c r="AL40" i="93"/>
  <c r="AJ55" i="119"/>
  <c r="AO55" i="119" s="1"/>
  <c r="AL55" i="119"/>
  <c r="AO25" i="93"/>
  <c r="AJ39" i="93"/>
  <c r="AO39" i="93" s="1"/>
  <c r="AL39" i="93"/>
  <c r="C259" i="3"/>
  <c r="E258" i="3"/>
  <c r="D258" i="3"/>
  <c r="F258" i="3"/>
  <c r="G258" i="3"/>
  <c r="AO108" i="132"/>
  <c r="AO51" i="119"/>
  <c r="AJ54" i="119"/>
  <c r="AL54" i="119"/>
  <c r="AJ123" i="132"/>
  <c r="AO123" i="132" s="1"/>
  <c r="AL123" i="132"/>
  <c r="I49" i="115"/>
  <c r="F49" i="115"/>
  <c r="E49" i="115"/>
  <c r="G49" i="115"/>
  <c r="I47" i="135" l="1"/>
  <c r="G47" i="135"/>
  <c r="F47" i="135"/>
  <c r="E47" i="135"/>
  <c r="D48" i="135"/>
  <c r="AP3" i="133"/>
  <c r="P14" i="133"/>
  <c r="BE7" i="133"/>
  <c r="AV3" i="133"/>
  <c r="AV8" i="133" s="1"/>
  <c r="AR3" i="133"/>
  <c r="AR8" i="133" s="1"/>
  <c r="AU3" i="133"/>
  <c r="AU8" i="133" s="1"/>
  <c r="AT3" i="133"/>
  <c r="AT8" i="133" s="1"/>
  <c r="AQ3" i="133"/>
  <c r="AS3" i="133"/>
  <c r="AS8" i="133" s="1"/>
  <c r="BD7" i="133"/>
  <c r="BE8" i="133"/>
  <c r="O8" i="133"/>
  <c r="O12" i="133"/>
  <c r="BE12" i="133"/>
  <c r="O11" i="133"/>
  <c r="BE11" i="133"/>
  <c r="O10" i="133"/>
  <c r="BE10" i="133"/>
  <c r="O13" i="133"/>
  <c r="BE13" i="133"/>
  <c r="O9" i="133"/>
  <c r="BE9" i="133"/>
  <c r="P2" i="132"/>
  <c r="BC5" i="132" s="1"/>
  <c r="BC6" i="132" s="1"/>
  <c r="BC7" i="132" s="1"/>
  <c r="P1" i="132"/>
  <c r="AR5" i="132"/>
  <c r="AV5" i="132"/>
  <c r="E133" i="132" s="1"/>
  <c r="AQ5" i="132"/>
  <c r="F259" i="3"/>
  <c r="E259" i="3"/>
  <c r="C260" i="3"/>
  <c r="D259" i="3"/>
  <c r="G259" i="3"/>
  <c r="AO54" i="119"/>
  <c r="AV5" i="119" s="1"/>
  <c r="E133" i="119" s="1"/>
  <c r="P1" i="93"/>
  <c r="P2" i="93"/>
  <c r="BC5" i="93" s="1"/>
  <c r="BC6" i="93" s="1"/>
  <c r="BC7" i="93" s="1"/>
  <c r="AU5" i="93"/>
  <c r="E121" i="93" s="1"/>
  <c r="AT5" i="93"/>
  <c r="AR5" i="93"/>
  <c r="AS5" i="93"/>
  <c r="E81" i="93" s="1"/>
  <c r="AV5" i="93"/>
  <c r="E133" i="93" s="1"/>
  <c r="T6" i="133" l="1"/>
  <c r="V12" i="133"/>
  <c r="AP8" i="133"/>
  <c r="AP10" i="133"/>
  <c r="AQ8" i="133"/>
  <c r="AQ10" i="133"/>
  <c r="F48" i="135"/>
  <c r="E48" i="135"/>
  <c r="I48" i="135"/>
  <c r="G48" i="135"/>
  <c r="D49" i="135"/>
  <c r="P1" i="119"/>
  <c r="K81" i="119" s="1"/>
  <c r="AU5" i="119"/>
  <c r="E121" i="119" s="1"/>
  <c r="AT5" i="119"/>
  <c r="AR5" i="119"/>
  <c r="AS5" i="119"/>
  <c r="E81" i="119" s="1"/>
  <c r="P2" i="119"/>
  <c r="BC5" i="119" s="1"/>
  <c r="BC6" i="119" s="1"/>
  <c r="BC7" i="119" s="1"/>
  <c r="K133" i="132"/>
  <c r="L133" i="132" s="1"/>
  <c r="K20" i="132"/>
  <c r="K76" i="132"/>
  <c r="K36" i="132"/>
  <c r="BB5" i="132"/>
  <c r="BB6" i="132" s="1"/>
  <c r="BB7" i="132" s="1"/>
  <c r="K133" i="93"/>
  <c r="L133" i="93" s="1"/>
  <c r="K81" i="93"/>
  <c r="L81" i="93" s="1"/>
  <c r="K121" i="93"/>
  <c r="L121" i="93" s="1"/>
  <c r="BB5" i="93"/>
  <c r="BB6" i="93" s="1"/>
  <c r="BB7" i="93" s="1"/>
  <c r="K65" i="93"/>
  <c r="G260" i="3"/>
  <c r="C261" i="3"/>
  <c r="D260" i="3"/>
  <c r="E260" i="3"/>
  <c r="F260" i="3"/>
  <c r="AW10" i="133" l="1"/>
  <c r="T5" i="133" s="1"/>
  <c r="I49" i="135"/>
  <c r="G49" i="135"/>
  <c r="F49" i="135"/>
  <c r="E49" i="135"/>
  <c r="K133" i="119"/>
  <c r="L133" i="119" s="1"/>
  <c r="AL133" i="119" s="1"/>
  <c r="K121" i="119"/>
  <c r="L121" i="119" s="1"/>
  <c r="AL121" i="119" s="1"/>
  <c r="K65" i="119"/>
  <c r="BB5" i="119"/>
  <c r="BB6" i="119" s="1"/>
  <c r="BB7" i="119" s="1"/>
  <c r="L81" i="119"/>
  <c r="AJ81" i="119" s="1"/>
  <c r="AL121" i="93"/>
  <c r="AJ121" i="93"/>
  <c r="AJ81" i="93"/>
  <c r="AL81" i="93"/>
  <c r="G261" i="3"/>
  <c r="E261" i="3"/>
  <c r="D261" i="3"/>
  <c r="C262" i="3"/>
  <c r="F261" i="3"/>
  <c r="AJ133" i="132"/>
  <c r="AL133" i="132"/>
  <c r="AJ133" i="93"/>
  <c r="AL133" i="93"/>
  <c r="AJ121" i="119" l="1"/>
  <c r="AJ133" i="119"/>
  <c r="AL2" i="93"/>
  <c r="N7" i="93" s="1"/>
  <c r="AL81" i="119"/>
  <c r="Q8" i="119" s="1"/>
  <c r="AJ2" i="132"/>
  <c r="L7" i="132" s="1"/>
  <c r="P7" i="132"/>
  <c r="AL2" i="132"/>
  <c r="N7" i="132" s="1"/>
  <c r="P13" i="132"/>
  <c r="AK2" i="132"/>
  <c r="M7" i="132" s="1"/>
  <c r="W1" i="132"/>
  <c r="P8" i="132"/>
  <c r="P12" i="132"/>
  <c r="P11" i="132"/>
  <c r="P10" i="132"/>
  <c r="P9" i="132"/>
  <c r="U1" i="132"/>
  <c r="D262" i="3"/>
  <c r="G262" i="3"/>
  <c r="C263" i="3"/>
  <c r="E262" i="3"/>
  <c r="F262" i="3"/>
  <c r="Q2" i="93"/>
  <c r="BD6" i="93" s="1"/>
  <c r="Q8" i="93"/>
  <c r="Q10" i="93"/>
  <c r="Q1" i="93"/>
  <c r="BD5" i="93" s="1"/>
  <c r="Q12" i="93"/>
  <c r="Q13" i="93"/>
  <c r="Q7" i="93"/>
  <c r="Q9" i="93"/>
  <c r="Q11" i="93"/>
  <c r="P7" i="93"/>
  <c r="AK2" i="93"/>
  <c r="M7" i="93" s="1"/>
  <c r="W1" i="93"/>
  <c r="P10" i="93"/>
  <c r="P13" i="93"/>
  <c r="AJ2" i="93"/>
  <c r="L7" i="93" s="1"/>
  <c r="P11" i="93"/>
  <c r="P9" i="93"/>
  <c r="P8" i="93"/>
  <c r="P12" i="93"/>
  <c r="U1" i="93"/>
  <c r="P11" i="119"/>
  <c r="Q7" i="132"/>
  <c r="Q2" i="132"/>
  <c r="BD6" i="132" s="1"/>
  <c r="Q1" i="132"/>
  <c r="BD5" i="132" s="1"/>
  <c r="Q13" i="132"/>
  <c r="Q8" i="132"/>
  <c r="Q11" i="132"/>
  <c r="Q10" i="132"/>
  <c r="Q9" i="132"/>
  <c r="Q12" i="132"/>
  <c r="P12" i="119" l="1"/>
  <c r="O12" i="119" s="1"/>
  <c r="AL2" i="119"/>
  <c r="N7" i="119" s="1"/>
  <c r="W1" i="119"/>
  <c r="U1" i="119"/>
  <c r="P10" i="119"/>
  <c r="BE10" i="119" s="1"/>
  <c r="AJ2" i="119"/>
  <c r="L7" i="119" s="1"/>
  <c r="P8" i="119"/>
  <c r="BE8" i="119" s="1"/>
  <c r="P7" i="119"/>
  <c r="BE7" i="119" s="1"/>
  <c r="P13" i="119"/>
  <c r="BE13" i="119" s="1"/>
  <c r="P9" i="119"/>
  <c r="O9" i="119" s="1"/>
  <c r="AK2" i="119"/>
  <c r="M7" i="119" s="1"/>
  <c r="Q7" i="119"/>
  <c r="Q1" i="119"/>
  <c r="BD5" i="119" s="1"/>
  <c r="Q2" i="119"/>
  <c r="BD6" i="119" s="1"/>
  <c r="Q10" i="119"/>
  <c r="Q12" i="119"/>
  <c r="Q13" i="119"/>
  <c r="Q9" i="119"/>
  <c r="Q11" i="119"/>
  <c r="BD7" i="132"/>
  <c r="BD7" i="93"/>
  <c r="O12" i="93"/>
  <c r="BE12" i="93"/>
  <c r="BE12" i="132"/>
  <c r="O12" i="132"/>
  <c r="O8" i="93"/>
  <c r="BE8" i="93"/>
  <c r="P14" i="93"/>
  <c r="AT3" i="93"/>
  <c r="AT8" i="93" s="1"/>
  <c r="AQ3" i="93"/>
  <c r="BE7" i="93"/>
  <c r="AU3" i="93"/>
  <c r="AU8" i="93" s="1"/>
  <c r="AP3" i="93"/>
  <c r="AV3" i="93"/>
  <c r="AV8" i="93" s="1"/>
  <c r="AR3" i="93"/>
  <c r="AR8" i="93" s="1"/>
  <c r="AS3" i="93"/>
  <c r="AS8" i="93" s="1"/>
  <c r="BE10" i="93"/>
  <c r="O10" i="93"/>
  <c r="O9" i="93"/>
  <c r="BE9" i="93"/>
  <c r="BE13" i="132"/>
  <c r="O13" i="132"/>
  <c r="O8" i="132"/>
  <c r="BE8" i="132"/>
  <c r="O11" i="93"/>
  <c r="BE11" i="93"/>
  <c r="BE9" i="132"/>
  <c r="O9" i="132"/>
  <c r="O11" i="119"/>
  <c r="BE11" i="119"/>
  <c r="BE10" i="132"/>
  <c r="O10" i="132"/>
  <c r="AU3" i="132"/>
  <c r="AV3" i="132"/>
  <c r="AV8" i="132" s="1"/>
  <c r="AP3" i="132"/>
  <c r="BE7" i="132"/>
  <c r="P14" i="132"/>
  <c r="AS3" i="132"/>
  <c r="AR3" i="132"/>
  <c r="AR8" i="132" s="1"/>
  <c r="AT3" i="132"/>
  <c r="AQ3" i="132"/>
  <c r="AQ8" i="132" s="1"/>
  <c r="BE13" i="93"/>
  <c r="O13" i="93"/>
  <c r="F263" i="3"/>
  <c r="C264" i="3"/>
  <c r="D263" i="3"/>
  <c r="G263" i="3"/>
  <c r="E263" i="3"/>
  <c r="BE11" i="132"/>
  <c r="O11" i="132"/>
  <c r="BE12" i="119" l="1"/>
  <c r="O10" i="119"/>
  <c r="O8" i="119"/>
  <c r="BE9" i="119"/>
  <c r="AS3" i="119"/>
  <c r="AS8" i="119" s="1"/>
  <c r="AP3" i="119"/>
  <c r="AP8" i="119" s="1"/>
  <c r="AV3" i="119"/>
  <c r="AV8" i="119" s="1"/>
  <c r="AR3" i="119"/>
  <c r="AR8" i="119" s="1"/>
  <c r="AT3" i="119"/>
  <c r="AT8" i="119" s="1"/>
  <c r="AU3" i="119"/>
  <c r="AU8" i="119" s="1"/>
  <c r="O13" i="119"/>
  <c r="AQ3" i="119"/>
  <c r="AQ10" i="119" s="1"/>
  <c r="P14" i="119"/>
  <c r="V12" i="119" s="1"/>
  <c r="BD7" i="119"/>
  <c r="AP8" i="93"/>
  <c r="AP10" i="93"/>
  <c r="AP8" i="132"/>
  <c r="AP10" i="132"/>
  <c r="T6" i="132"/>
  <c r="V12" i="132"/>
  <c r="AT10" i="132"/>
  <c r="AT8" i="132"/>
  <c r="V12" i="93"/>
  <c r="T6" i="93"/>
  <c r="AS10" i="132"/>
  <c r="AS8" i="132"/>
  <c r="G264" i="3"/>
  <c r="F264" i="3"/>
  <c r="D264" i="3"/>
  <c r="E264" i="3"/>
  <c r="C265" i="3"/>
  <c r="AU8" i="132"/>
  <c r="AU10" i="132"/>
  <c r="AQ10" i="93"/>
  <c r="AQ8" i="93"/>
  <c r="T6" i="119" l="1"/>
  <c r="AP10" i="119"/>
  <c r="AW10" i="119" s="1"/>
  <c r="T5" i="119" s="1"/>
  <c r="AQ8" i="119"/>
  <c r="AW10" i="132"/>
  <c r="T5" i="132" s="1"/>
  <c r="F265" i="3"/>
  <c r="D265" i="3"/>
  <c r="C266" i="3"/>
  <c r="G265" i="3"/>
  <c r="E265" i="3"/>
  <c r="AW10" i="93"/>
  <c r="T5" i="93" s="1"/>
  <c r="C267" i="3" l="1"/>
  <c r="E266" i="3"/>
  <c r="D266" i="3"/>
  <c r="F266" i="3"/>
  <c r="G266" i="3"/>
  <c r="F267" i="3" l="1"/>
  <c r="E267" i="3"/>
  <c r="G267" i="3"/>
  <c r="C268" i="3"/>
  <c r="D267" i="3"/>
  <c r="G268" i="3" l="1"/>
  <c r="C269" i="3"/>
  <c r="D268" i="3"/>
  <c r="E268" i="3"/>
  <c r="F268" i="3"/>
  <c r="G269" i="3" l="1"/>
  <c r="E269" i="3"/>
  <c r="F269" i="3"/>
  <c r="C270" i="3"/>
  <c r="D269" i="3"/>
  <c r="D270" i="3" l="1"/>
  <c r="G270" i="3"/>
  <c r="C271" i="3"/>
  <c r="E270" i="3"/>
  <c r="F270" i="3"/>
  <c r="F271" i="3" l="1"/>
  <c r="C272" i="3"/>
  <c r="D271" i="3"/>
  <c r="G271" i="3"/>
  <c r="E271" i="3"/>
  <c r="G272" i="3" l="1"/>
  <c r="F272" i="3"/>
  <c r="D272" i="3"/>
  <c r="C273" i="3"/>
  <c r="E272" i="3"/>
  <c r="F273" i="3" l="1"/>
  <c r="D273" i="3"/>
  <c r="C274" i="3"/>
  <c r="G273" i="3"/>
  <c r="E273" i="3"/>
  <c r="C275" i="3" l="1"/>
  <c r="E274" i="3"/>
  <c r="D274" i="3"/>
  <c r="F274" i="3"/>
  <c r="G274" i="3"/>
  <c r="F275" i="3" l="1"/>
  <c r="E275" i="3"/>
  <c r="C276" i="3"/>
  <c r="G275" i="3"/>
  <c r="D275" i="3"/>
  <c r="G276" i="3" l="1"/>
  <c r="C277" i="3"/>
  <c r="D276" i="3"/>
  <c r="E276" i="3"/>
  <c r="F276" i="3"/>
  <c r="G277" i="3" l="1"/>
  <c r="E277" i="3"/>
  <c r="C278" i="3"/>
  <c r="F277" i="3"/>
  <c r="D277" i="3"/>
  <c r="D278" i="3" l="1"/>
  <c r="G278" i="3"/>
  <c r="C279" i="3"/>
  <c r="E278" i="3"/>
  <c r="F278" i="3"/>
  <c r="F279" i="3" l="1"/>
  <c r="C280" i="3"/>
  <c r="D279" i="3"/>
  <c r="G279" i="3"/>
  <c r="E279" i="3"/>
  <c r="G280" i="3" l="1"/>
  <c r="F280" i="3"/>
  <c r="D280" i="3"/>
  <c r="E28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tc={4986084D-0C02-B24F-BCEA-1BDBE63D0F0C}</author>
  </authors>
  <commentList>
    <comment ref="T35" authorId="0" shapeId="0" xr:uid="{4986084D-0C02-B24F-BCEA-1BDBE63D0F0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ICE V3 does not include new and recycled emissions factors but only averages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nbarriosr</author>
  </authors>
  <commentList>
    <comment ref="E337" authorId="0" shapeId="0" xr:uid="{00000000-0006-0000-0C00-000001000000}">
      <text>
        <r>
          <rPr>
            <b/>
            <sz val="8"/>
            <color indexed="81"/>
            <rFont val="Tahoma"/>
            <family val="2"/>
          </rPr>
          <t>nbarriosr:</t>
        </r>
        <r>
          <rPr>
            <sz val="8"/>
            <color indexed="81"/>
            <rFont val="Tahoma"/>
            <family val="2"/>
          </rPr>
          <t xml:space="preserve">
please note that gibraltar is not a country</t>
        </r>
      </text>
    </comment>
  </commentList>
</comments>
</file>

<file path=xl/sharedStrings.xml><?xml version="1.0" encoding="utf-8"?>
<sst xmlns="http://schemas.openxmlformats.org/spreadsheetml/2006/main" count="4219" uniqueCount="2736">
  <si>
    <t>Bored piles</t>
  </si>
  <si>
    <t>Grouting</t>
  </si>
  <si>
    <t>Soil Mixing</t>
  </si>
  <si>
    <t>Materials</t>
  </si>
  <si>
    <t>GGbs</t>
  </si>
  <si>
    <t>Fly Ash</t>
  </si>
  <si>
    <t>Limestone</t>
  </si>
  <si>
    <t>minor additional constituent</t>
  </si>
  <si>
    <t>CEM I</t>
  </si>
  <si>
    <t>CEM II/A-LL or L</t>
  </si>
  <si>
    <t>CEM II/A-V</t>
  </si>
  <si>
    <t>CEM II/B-V</t>
  </si>
  <si>
    <t>CEM II/B-S</t>
  </si>
  <si>
    <t>CEM III/A</t>
  </si>
  <si>
    <t>CEM III/B</t>
  </si>
  <si>
    <t>CEM IV/B-V</t>
  </si>
  <si>
    <t>Emission factor</t>
  </si>
  <si>
    <t>Quantity</t>
  </si>
  <si>
    <t>Concrete / Slurry / Grout mix</t>
  </si>
  <si>
    <t>t</t>
  </si>
  <si>
    <t>m3</t>
  </si>
  <si>
    <t>Cement</t>
  </si>
  <si>
    <t>Default value</t>
  </si>
  <si>
    <t>Real Value</t>
  </si>
  <si>
    <t>Secondary constituent content</t>
  </si>
  <si>
    <t>Secondary constituent</t>
  </si>
  <si>
    <t>Bentonite</t>
  </si>
  <si>
    <t>Water</t>
  </si>
  <si>
    <t>Steel</t>
  </si>
  <si>
    <t>PVC pipes</t>
  </si>
  <si>
    <t>sustainableconcrete</t>
  </si>
  <si>
    <t>GHG Protocol</t>
  </si>
  <si>
    <t>Calcium chloride</t>
  </si>
  <si>
    <t>Chemicals inorganic</t>
  </si>
  <si>
    <t>liter</t>
  </si>
  <si>
    <t>Machines</t>
  </si>
  <si>
    <t>Sand</t>
  </si>
  <si>
    <t>Aggregate</t>
  </si>
  <si>
    <t>vkm</t>
  </si>
  <si>
    <t>pkm</t>
  </si>
  <si>
    <t>tkm</t>
  </si>
  <si>
    <t>Acrylic acid</t>
  </si>
  <si>
    <t>Sodium carbonate</t>
  </si>
  <si>
    <t>Energy</t>
  </si>
  <si>
    <t>Electricity</t>
  </si>
  <si>
    <t>kWh</t>
  </si>
  <si>
    <t>Working days</t>
  </si>
  <si>
    <t>Workforce</t>
  </si>
  <si>
    <t>Turnover</t>
  </si>
  <si>
    <t>Date</t>
  </si>
  <si>
    <t>Technique</t>
  </si>
  <si>
    <t>Car</t>
  </si>
  <si>
    <t>Bus</t>
  </si>
  <si>
    <t>Train</t>
  </si>
  <si>
    <t>Coming by</t>
  </si>
  <si>
    <t>Freight</t>
  </si>
  <si>
    <t>Type</t>
  </si>
  <si>
    <t>Load</t>
  </si>
  <si>
    <t>travels</t>
  </si>
  <si>
    <t>kgCO2e</t>
  </si>
  <si>
    <t>empty-return rate</t>
  </si>
  <si>
    <t>Country</t>
  </si>
  <si>
    <t>Distance</t>
  </si>
  <si>
    <t>km</t>
  </si>
  <si>
    <t>Activity data</t>
  </si>
  <si>
    <t>GHG Emissions</t>
  </si>
  <si>
    <t>Simplified ratio</t>
  </si>
  <si>
    <t>Machines weight</t>
  </si>
  <si>
    <t>years</t>
  </si>
  <si>
    <t>Assets</t>
  </si>
  <si>
    <t>ratio</t>
  </si>
  <si>
    <t>Mob/demob</t>
  </si>
  <si>
    <t>Waste</t>
  </si>
  <si>
    <t>Sources</t>
  </si>
  <si>
    <t>tCO2e</t>
  </si>
  <si>
    <t>TOTAL</t>
  </si>
  <si>
    <t>Project</t>
  </si>
  <si>
    <t>Average</t>
  </si>
  <si>
    <t>Displacement piles</t>
  </si>
  <si>
    <t>Diaphragm and slurry walls</t>
  </si>
  <si>
    <t>Sheet pile walls</t>
  </si>
  <si>
    <t>Test ON</t>
  </si>
  <si>
    <t>Test OFF</t>
  </si>
  <si>
    <t>unit</t>
  </si>
  <si>
    <t>Emission factor name</t>
  </si>
  <si>
    <t>Emission factor used (kgCO2/unit)</t>
  </si>
  <si>
    <t>Emission factor data base</t>
  </si>
  <si>
    <t>UK - DEFRA/Uni of Bath</t>
  </si>
  <si>
    <t>France - Bilan Carbone</t>
  </si>
  <si>
    <t>Emission factor database used</t>
  </si>
  <si>
    <t>User-defined emission factor (kgCO2/unit)</t>
  </si>
  <si>
    <t>User-defined emission factor source</t>
  </si>
  <si>
    <t>Name</t>
  </si>
  <si>
    <t>Subproject</t>
  </si>
  <si>
    <t>Results</t>
  </si>
  <si>
    <t>Projects</t>
  </si>
  <si>
    <t>Subprojects</t>
  </si>
  <si>
    <t>Both</t>
  </si>
  <si>
    <t>Copy from</t>
  </si>
  <si>
    <t>Leave empty to create an empty project</t>
  </si>
  <si>
    <t>www.carbone4.com</t>
  </si>
  <si>
    <t>Carbone 4</t>
  </si>
  <si>
    <t>DATE</t>
  </si>
  <si>
    <t>WHAT IS THIS TOOL ?</t>
  </si>
  <si>
    <t>HOW TO USE THIS TOOL ? SOME QUICK TIPS</t>
  </si>
  <si>
    <t>Color code</t>
  </si>
  <si>
    <t>In all worksheets</t>
  </si>
  <si>
    <t xml:space="preserve">   Project input data (to be filled by user)</t>
  </si>
  <si>
    <t>Jean-Yves Wilmotte</t>
  </si>
  <si>
    <t>jean-yves.wilmotte@carbone4.com</t>
  </si>
  <si>
    <t>People's transportation</t>
  </si>
  <si>
    <t>---OECD Europe</t>
  </si>
  <si>
    <t>---Non-OECD Europe and Eurasia</t>
  </si>
  <si>
    <t>---OECD Asia Oceania</t>
  </si>
  <si>
    <t>---Africa</t>
  </si>
  <si>
    <t>---Middle East</t>
  </si>
  <si>
    <t>---Latin America</t>
  </si>
  <si>
    <t>---Asia</t>
  </si>
  <si>
    <t>Electricity transport and distribution losses</t>
  </si>
  <si>
    <t>Techniques</t>
  </si>
  <si>
    <t>Countries</t>
  </si>
  <si>
    <t>Austria</t>
  </si>
  <si>
    <t>Belgium</t>
  </si>
  <si>
    <t>Czech Republic</t>
  </si>
  <si>
    <t>Denmark</t>
  </si>
  <si>
    <t>Estonia</t>
  </si>
  <si>
    <t>Finland</t>
  </si>
  <si>
    <t>France</t>
  </si>
  <si>
    <t>Germany</t>
  </si>
  <si>
    <t>Greece</t>
  </si>
  <si>
    <t>Hungary</t>
  </si>
  <si>
    <t>Iceland</t>
  </si>
  <si>
    <t>Ireland</t>
  </si>
  <si>
    <t>Italy</t>
  </si>
  <si>
    <t>Luxembourg</t>
  </si>
  <si>
    <t>Netherlands</t>
  </si>
  <si>
    <t>Norway</t>
  </si>
  <si>
    <t>Poland</t>
  </si>
  <si>
    <t>Portugal</t>
  </si>
  <si>
    <t>Slovak Republic</t>
  </si>
  <si>
    <t>Slovenia</t>
  </si>
  <si>
    <t>Spain</t>
  </si>
  <si>
    <t>Sweden</t>
  </si>
  <si>
    <t>Switzerland</t>
  </si>
  <si>
    <t>Turkey</t>
  </si>
  <si>
    <t>United Kingdom</t>
  </si>
  <si>
    <t>Albania</t>
  </si>
  <si>
    <t>Armenia</t>
  </si>
  <si>
    <t>Azerbaijan</t>
  </si>
  <si>
    <t>Belarus</t>
  </si>
  <si>
    <t>Bosnia and Herzegovina</t>
  </si>
  <si>
    <t>Bulgaria</t>
  </si>
  <si>
    <t>Croatia</t>
  </si>
  <si>
    <t>Cyprus</t>
  </si>
  <si>
    <t>Georgia</t>
  </si>
  <si>
    <t>Gibraltar</t>
  </si>
  <si>
    <t>Kazakhstan</t>
  </si>
  <si>
    <t>Kyrgyzstan</t>
  </si>
  <si>
    <t>Latvia</t>
  </si>
  <si>
    <t>Lithuania</t>
  </si>
  <si>
    <t>FYR of Macedonia</t>
  </si>
  <si>
    <t>Malta</t>
  </si>
  <si>
    <t>Republic of Moldova</t>
  </si>
  <si>
    <t>Romania</t>
  </si>
  <si>
    <t>Russian Federation</t>
  </si>
  <si>
    <t>Serbia</t>
  </si>
  <si>
    <t>Tajikistan</t>
  </si>
  <si>
    <t>Turkmenistan</t>
  </si>
  <si>
    <t>Ukraine</t>
  </si>
  <si>
    <t>Uzbekistan</t>
  </si>
  <si>
    <t>Canada</t>
  </si>
  <si>
    <t>Chile</t>
  </si>
  <si>
    <t>Mexico</t>
  </si>
  <si>
    <t>United States</t>
  </si>
  <si>
    <t>Australia</t>
  </si>
  <si>
    <t>Israel</t>
  </si>
  <si>
    <t>Japan</t>
  </si>
  <si>
    <t>Korea</t>
  </si>
  <si>
    <t>New Zealand</t>
  </si>
  <si>
    <t>Algeria</t>
  </si>
  <si>
    <t>Angola</t>
  </si>
  <si>
    <t>Benin</t>
  </si>
  <si>
    <t>Botswana</t>
  </si>
  <si>
    <t>Cameroon</t>
  </si>
  <si>
    <t>Congo</t>
  </si>
  <si>
    <t>Dem. Rep. of Congo</t>
  </si>
  <si>
    <t>Côte d'Ivoire</t>
  </si>
  <si>
    <t>Egypt</t>
  </si>
  <si>
    <t>Eritrea</t>
  </si>
  <si>
    <t>Ethiopia</t>
  </si>
  <si>
    <t>Gabon</t>
  </si>
  <si>
    <t>Ghana</t>
  </si>
  <si>
    <t>Kenya</t>
  </si>
  <si>
    <t>Libyan Arab Jamahiriya</t>
  </si>
  <si>
    <t>Morocco</t>
  </si>
  <si>
    <t>Mozambique</t>
  </si>
  <si>
    <t>Namibia</t>
  </si>
  <si>
    <t>Nigeria</t>
  </si>
  <si>
    <t>Senegal</t>
  </si>
  <si>
    <t>South Africa</t>
  </si>
  <si>
    <t>Sudan</t>
  </si>
  <si>
    <t>United Rep. of Tanzania</t>
  </si>
  <si>
    <t>Togo</t>
  </si>
  <si>
    <t>Tunisia</t>
  </si>
  <si>
    <t>Zambia</t>
  </si>
  <si>
    <t>Zimbabwe</t>
  </si>
  <si>
    <t>Other Africa</t>
  </si>
  <si>
    <t>Bahrain</t>
  </si>
  <si>
    <t>Islamic Rep. of Iran</t>
  </si>
  <si>
    <t>Iraq</t>
  </si>
  <si>
    <t>Jordan</t>
  </si>
  <si>
    <t>Kuwait</t>
  </si>
  <si>
    <t>Lebanon</t>
  </si>
  <si>
    <t>Oman</t>
  </si>
  <si>
    <t>Qatar</t>
  </si>
  <si>
    <t>Saudi Arabia</t>
  </si>
  <si>
    <t xml:space="preserve">Syrian Arab Republic </t>
  </si>
  <si>
    <t>United Arab Emirates</t>
  </si>
  <si>
    <t>Yemen</t>
  </si>
  <si>
    <t>Argentina</t>
  </si>
  <si>
    <t>Bolivia</t>
  </si>
  <si>
    <t>Brazil</t>
  </si>
  <si>
    <t>Colombia</t>
  </si>
  <si>
    <t>Costa Rica</t>
  </si>
  <si>
    <t>Cuba</t>
  </si>
  <si>
    <t>Dominican Republic</t>
  </si>
  <si>
    <t>Ecuador</t>
  </si>
  <si>
    <t>El Salvador</t>
  </si>
  <si>
    <t>Guatemala</t>
  </si>
  <si>
    <t>Haiti</t>
  </si>
  <si>
    <t>Honduras</t>
  </si>
  <si>
    <t>Jamaica</t>
  </si>
  <si>
    <t>Netherlands Antilles</t>
  </si>
  <si>
    <t>Nicaragua</t>
  </si>
  <si>
    <t>Panama</t>
  </si>
  <si>
    <t>Peru</t>
  </si>
  <si>
    <t>Trinidad and Tobago</t>
  </si>
  <si>
    <t>Uruguay</t>
  </si>
  <si>
    <t>Venezuela</t>
  </si>
  <si>
    <t>Other Latin America</t>
  </si>
  <si>
    <t>Bangladesh</t>
  </si>
  <si>
    <t>Brunei Darussalam</t>
  </si>
  <si>
    <t>Cambodia</t>
  </si>
  <si>
    <t>China</t>
  </si>
  <si>
    <t>Chinese Taipei</t>
  </si>
  <si>
    <t>India</t>
  </si>
  <si>
    <t>Indonesia</t>
  </si>
  <si>
    <t>DPR of Korea</t>
  </si>
  <si>
    <t>Malaysia</t>
  </si>
  <si>
    <t>Mongolia</t>
  </si>
  <si>
    <t>Myanmar</t>
  </si>
  <si>
    <t>Nepal</t>
  </si>
  <si>
    <t>Pakistan</t>
  </si>
  <si>
    <t>Philippines</t>
  </si>
  <si>
    <t>Singapore</t>
  </si>
  <si>
    <t>Sri Lanka</t>
  </si>
  <si>
    <t>Thailand</t>
  </si>
  <si>
    <t>Vietnam</t>
  </si>
  <si>
    <t>Other Asia</t>
  </si>
  <si>
    <t>-Select the project country</t>
  </si>
  <si>
    <t>Cement types</t>
  </si>
  <si>
    <t>Secondary constituent minimum content</t>
  </si>
  <si>
    <t>Secondary constituent maximum content</t>
  </si>
  <si>
    <t>Secondary constituent average content</t>
  </si>
  <si>
    <t>-</t>
  </si>
  <si>
    <t>Freight load</t>
  </si>
  <si>
    <t>Default load</t>
  </si>
  <si>
    <t>Too high</t>
  </si>
  <si>
    <t>Too low</t>
  </si>
  <si>
    <t>Project emission repartition</t>
  </si>
  <si>
    <t>Maximum ratio</t>
  </si>
  <si>
    <t>Minimum ratio</t>
  </si>
  <si>
    <t xml:space="preserve"> emissions are relatively high
</t>
  </si>
  <si>
    <t xml:space="preserve"> emissions are relatively low
</t>
  </si>
  <si>
    <t xml:space="preserve">Enter the number of working days
</t>
  </si>
  <si>
    <t xml:space="preserve">Enter the average number of people working on the project
</t>
  </si>
  <si>
    <t xml:space="preserve">Select a country
</t>
  </si>
  <si>
    <t>Primary (1) / Secoundary (2) sources</t>
  </si>
  <si>
    <t>Average ratio</t>
  </si>
  <si>
    <t>Messages</t>
  </si>
  <si>
    <t>Ratio needed</t>
  </si>
  <si>
    <t>value</t>
  </si>
  <si>
    <t>Comments :</t>
  </si>
  <si>
    <t>test country</t>
  </si>
  <si>
    <t>test unit 1</t>
  </si>
  <si>
    <t>Comparison</t>
  </si>
  <si>
    <t>ratio variable :</t>
  </si>
  <si>
    <t>Subproject name</t>
  </si>
  <si>
    <t>Size</t>
  </si>
  <si>
    <t>Company</t>
  </si>
  <si>
    <t>Test FU 1</t>
  </si>
  <si>
    <t>Test FU 2</t>
  </si>
  <si>
    <t>country</t>
  </si>
  <si>
    <t>Emission factor database</t>
  </si>
  <si>
    <t>Date of calculation</t>
  </si>
  <si>
    <t>added emission factors</t>
  </si>
  <si>
    <t>select your project or subproject</t>
  </si>
  <si>
    <t>Your Company name</t>
  </si>
  <si>
    <t>The logo have to fit in the white box</t>
  </si>
  <si>
    <t>Load your own logo</t>
  </si>
  <si>
    <t>Recycled content</t>
  </si>
  <si>
    <t>Default recycled content</t>
  </si>
  <si>
    <t>Source</t>
  </si>
  <si>
    <t>Do not change the database unless you really need it</t>
  </si>
  <si>
    <t>Comparison sheet</t>
  </si>
  <si>
    <t>Select the subprojects and projects that you want to compare</t>
  </si>
  <si>
    <t>EFFC DFI methodology recommended emission factors</t>
  </si>
  <si>
    <t>roundtrips</t>
  </si>
  <si>
    <t>msg active</t>
  </si>
  <si>
    <t xml:space="preserve">    (Secondary source)</t>
  </si>
  <si>
    <t>made at plant</t>
  </si>
  <si>
    <t xml:space="preserve">    (Primary source)</t>
  </si>
  <si>
    <t xml:space="preserve"> </t>
  </si>
  <si>
    <t>Externaly calculated emissions</t>
  </si>
  <si>
    <t>Material type</t>
  </si>
  <si>
    <t>Other</t>
  </si>
  <si>
    <t>+</t>
  </si>
  <si>
    <t>duplication +</t>
  </si>
  <si>
    <t>Uncertainty</t>
  </si>
  <si>
    <t>Emissions source</t>
  </si>
  <si>
    <t>Emissions</t>
  </si>
  <si>
    <t>Uncertainties</t>
  </si>
  <si>
    <t>Bloc height</t>
  </si>
  <si>
    <t>Emissions source importance</t>
  </si>
  <si>
    <t>Primary(1)/Secondary(2)</t>
  </si>
  <si>
    <t>Total primary emission sources</t>
  </si>
  <si>
    <t>Use time</t>
  </si>
  <si>
    <t>days</t>
  </si>
  <si>
    <t>Primary emission sources</t>
  </si>
  <si>
    <t>Secondary emission sources</t>
  </si>
  <si>
    <t>Total</t>
  </si>
  <si>
    <t>Number of roundtrips</t>
  </si>
  <si>
    <t>every X day(s)</t>
  </si>
  <si>
    <t>TOTAL GHG EMISSIONS</t>
  </si>
  <si>
    <t>Total secondary emission sources</t>
  </si>
  <si>
    <t>Primary sources emissions</t>
  </si>
  <si>
    <t>Secondary sources emissions</t>
  </si>
  <si>
    <t>Primary sources uncertainties</t>
  </si>
  <si>
    <t>Secondary sources uncertainties</t>
  </si>
  <si>
    <t>Project name</t>
  </si>
  <si>
    <t>Select the subprojects and projects that you want to total</t>
  </si>
  <si>
    <t>AJ2</t>
  </si>
  <si>
    <t>AK2</t>
  </si>
  <si>
    <t>AL2</t>
  </si>
  <si>
    <t>Materials detail</t>
  </si>
  <si>
    <t>Full-time equivalent</t>
  </si>
  <si>
    <t>ext</t>
  </si>
  <si>
    <t>externally calculated emissions</t>
  </si>
  <si>
    <t>ratios used</t>
  </si>
  <si>
    <t>Externally calculated emissions</t>
  </si>
  <si>
    <t>Ratios used</t>
  </si>
  <si>
    <t>Insert your logo here</t>
  </si>
  <si>
    <t>Purpose</t>
  </si>
  <si>
    <t>Input</t>
  </si>
  <si>
    <t>Kind of Worksheet</t>
  </si>
  <si>
    <t>Subproject sheets
Project sheets</t>
  </si>
  <si>
    <t>Extract the main data in a printable layout</t>
  </si>
  <si>
    <t>Calculate the carbon footprint of a part of a project</t>
  </si>
  <si>
    <t>Total other sheets</t>
  </si>
  <si>
    <t>Diesel oil</t>
  </si>
  <si>
    <t>Network electricity</t>
  </si>
  <si>
    <t>Heavy fuel oil</t>
  </si>
  <si>
    <t>Diesel (100% mineral diesel)</t>
  </si>
  <si>
    <t>Road - Rigid &gt;3.5-7.5t</t>
  </si>
  <si>
    <t>Road - Rigid &gt;7.5-17t</t>
  </si>
  <si>
    <t>Road - Rigid &gt;17t</t>
  </si>
  <si>
    <t>Road - Articulated &gt;3.5-33t</t>
  </si>
  <si>
    <t>Road - Articulated &gt;33t</t>
  </si>
  <si>
    <t xml:space="preserve">Maritime -  General cargo </t>
  </si>
  <si>
    <t xml:space="preserve">Maritime -  Container </t>
  </si>
  <si>
    <t>Comments</t>
  </si>
  <si>
    <t>DEFRA % weight laden</t>
  </si>
  <si>
    <t>DEFRA average load (tonnes)</t>
  </si>
  <si>
    <t>Functional unit 1</t>
  </si>
  <si>
    <t>Functional unit 2</t>
  </si>
  <si>
    <t>test Functional unit 1</t>
  </si>
  <si>
    <t>test Functional unit 2</t>
  </si>
  <si>
    <t>Functional units have to be the exactly the same</t>
  </si>
  <si>
    <t>Air - Short-haul international</t>
  </si>
  <si>
    <t>Air - Long-haul international</t>
  </si>
  <si>
    <t>Air - Domestic</t>
  </si>
  <si>
    <t>Standard ratios</t>
  </si>
  <si>
    <t>Standard freight activities data</t>
  </si>
  <si>
    <t>Freight Type</t>
  </si>
  <si>
    <t>Common distance (km)</t>
  </si>
  <si>
    <t>-new or recycled-</t>
  </si>
  <si>
    <t>Rail - Average freight - thermic</t>
  </si>
  <si>
    <t>EcoTransit</t>
  </si>
  <si>
    <t>RailFreightElectric</t>
  </si>
  <si>
    <t>EcoTransit + DEFRA</t>
  </si>
  <si>
    <t>EcoTransit + IEA</t>
  </si>
  <si>
    <t>Steel sheet</t>
  </si>
  <si>
    <t>Steel bars</t>
  </si>
  <si>
    <t>Steel tubes</t>
  </si>
  <si>
    <t>Steel wires</t>
  </si>
  <si>
    <t>test currency</t>
  </si>
  <si>
    <t>test unit 2</t>
  </si>
  <si>
    <t>F11</t>
  </si>
  <si>
    <t>Default</t>
  </si>
  <si>
    <t>$P$7</t>
  </si>
  <si>
    <t>$P$8</t>
  </si>
  <si>
    <t>$P$9</t>
  </si>
  <si>
    <t>$P$10</t>
  </si>
  <si>
    <t>$P$11</t>
  </si>
  <si>
    <t>$P$12</t>
  </si>
  <si>
    <t>$P$13</t>
  </si>
  <si>
    <t>$E$9</t>
  </si>
  <si>
    <t>$E$10</t>
  </si>
  <si>
    <t>$E$11</t>
  </si>
  <si>
    <t>$E$13</t>
  </si>
  <si>
    <t>$E$14</t>
  </si>
  <si>
    <t>$P$1</t>
  </si>
  <si>
    <t>$P$2</t>
  </si>
  <si>
    <t>$D$13</t>
  </si>
  <si>
    <t>$D$14</t>
  </si>
  <si>
    <t>$F$13</t>
  </si>
  <si>
    <t>$F$14</t>
  </si>
  <si>
    <t>$Q$1</t>
  </si>
  <si>
    <t>$Q$2</t>
  </si>
  <si>
    <t>Other materials</t>
  </si>
  <si>
    <t xml:space="preserve">Show other </t>
  </si>
  <si>
    <t xml:space="preserve">emission </t>
  </si>
  <si>
    <t>Existing Subprojects</t>
  </si>
  <si>
    <t>Existing Projects</t>
  </si>
  <si>
    <t>Air passenger - Domestic</t>
  </si>
  <si>
    <t>Air passenger - Long-haul international</t>
  </si>
  <si>
    <t>Air passenger - Short-haul international</t>
  </si>
  <si>
    <t>Copyright</t>
  </si>
  <si>
    <t>EFFC &amp; DFI, 2012. All rights reserved.</t>
  </si>
  <si>
    <t>This excel spreadsheet is a carbon emission calculator for deep foundation techniques and projects.</t>
  </si>
  <si>
    <t>1) Please first make sure that you have the latest version of the tool - check EFFC relevant webpage.</t>
  </si>
  <si>
    <t>Compare different projects or subprojects</t>
  </si>
  <si>
    <t>Field activities data (USER SPECIFIED)</t>
  </si>
  <si>
    <t>Create here your projects sheets</t>
  </si>
  <si>
    <t>Create here your subproject sheets</t>
  </si>
  <si>
    <t>Total cementitious content</t>
  </si>
  <si>
    <t>Project value</t>
  </si>
  <si>
    <t>€</t>
  </si>
  <si>
    <t>Author</t>
  </si>
  <si>
    <t>Waste 1</t>
  </si>
  <si>
    <t>Waste 2</t>
  </si>
  <si>
    <t>Comparison sheet (1/2)</t>
  </si>
  <si>
    <t>Comparison sheet (2/2)</t>
  </si>
  <si>
    <t>Results sheets</t>
  </si>
  <si>
    <t>Comparison sheets</t>
  </si>
  <si>
    <t>Create here a results sheet</t>
  </si>
  <si>
    <t>Create here your comparison sheets</t>
  </si>
  <si>
    <t>seuxio</t>
  </si>
  <si>
    <t>Default concrete</t>
  </si>
  <si>
    <t>Cement used</t>
  </si>
  <si>
    <t>Steel sheets</t>
  </si>
  <si>
    <t>Factor 2 not taken into account</t>
  </si>
  <si>
    <t>It has been developed to support EFFC and DFI members in calculating the carbon footprint of their projects, compare solutions and value technical innovation to reduce GHG emissions.</t>
  </si>
  <si>
    <t>On behalf of EFFC DFI, Carbone 4 developed a specific methodology and this tool to ensure coherence and comparability between  various companies calculation</t>
  </si>
  <si>
    <t>Functionalities: calculation of the carbon footprint using standard or specific values, comparisons of projects, construction of complex project by adding simple techniques one to another.</t>
  </si>
  <si>
    <t>a) Enter all information relative to your different projects in the yellow tabs. You can add, duplicate or remove as many yellow tabs as you like.</t>
  </si>
  <si>
    <t>A project is an ensemble of subprojects and projects</t>
  </si>
  <si>
    <t>First time on this tool? Make sure your logo appears on the results page!</t>
  </si>
  <si>
    <t>Steel rebars</t>
  </si>
  <si>
    <t>CEM III/C</t>
  </si>
  <si>
    <t>made on site</t>
  </si>
  <si>
    <t>Manually turned OFF</t>
  </si>
  <si>
    <t>Projects emission repartitions</t>
  </si>
  <si>
    <t>emissions repartition</t>
  </si>
  <si>
    <t>new_recycled_reused</t>
  </si>
  <si>
    <t>-reused-</t>
  </si>
  <si>
    <t>TITLE</t>
  </si>
  <si>
    <t>AUTHORS</t>
  </si>
  <si>
    <t>VERSION NUMBER</t>
  </si>
  <si>
    <t>A subproject sheet is a spreadsheet in which you enter all  activity data regarding one technique.</t>
  </si>
  <si>
    <t>ERROR : '</t>
  </si>
  <si>
    <t>do not apply</t>
  </si>
  <si>
    <t>OFF</t>
  </si>
  <si>
    <t xml:space="preserve">Primary emission sources : 
</t>
  </si>
  <si>
    <t>Please enter activities data relative to the primary emission sources</t>
  </si>
  <si>
    <t>Functional units 1 are not the same</t>
  </si>
  <si>
    <t>Check the unit</t>
  </si>
  <si>
    <t>Functional units 2 are not the same</t>
  </si>
  <si>
    <t>unit problem</t>
  </si>
  <si>
    <t>User-defined emission factors</t>
  </si>
  <si>
    <t>Additional percentage used</t>
  </si>
  <si>
    <t>Externally calculated emissions added</t>
  </si>
  <si>
    <t>Other emission sources</t>
  </si>
  <si>
    <t xml:space="preserve">Projects emissions per </t>
  </si>
  <si>
    <t xml:space="preserve">Rail - Average freight - electric - </t>
  </si>
  <si>
    <t>Used</t>
  </si>
  <si>
    <t>English</t>
  </si>
  <si>
    <t>Français</t>
  </si>
  <si>
    <t>Language</t>
  </si>
  <si>
    <t>TITRE</t>
  </si>
  <si>
    <t>TITEL</t>
  </si>
  <si>
    <t>TÍTULO</t>
  </si>
  <si>
    <t>AUTEURS</t>
  </si>
  <si>
    <t>AUTOREN</t>
  </si>
  <si>
    <t>AUTORES</t>
  </si>
  <si>
    <t>Número de versión</t>
  </si>
  <si>
    <t>VERSIENUMMER</t>
  </si>
  <si>
    <t>Droit d'auteur</t>
  </si>
  <si>
    <t>Derechos de autor</t>
  </si>
  <si>
    <t>FECHA</t>
  </si>
  <si>
    <t>DATUM</t>
  </si>
  <si>
    <t>¿QUÉ ES ESTA HERRAMIENTA?</t>
  </si>
  <si>
    <t>COMMENT UTILISER CET OUTIL? QUELQUES CONSEILS RAPIDES</t>
  </si>
  <si>
    <t>COMO USAR ESTA HERRAMIENTA? ALGUNOS CONSEJOS RÁPIDOS</t>
  </si>
  <si>
    <t>Code couleur</t>
  </si>
  <si>
    <t>Código de colores</t>
  </si>
  <si>
    <t>Kleurcode</t>
  </si>
  <si>
    <t>Dans toutes les feuilles</t>
  </si>
  <si>
    <t>In alle werkbladen</t>
  </si>
  <si>
    <t>2) Asegúrese de que está capacitado para usar esta herramienta y entender sus potencialidades y limitaciones. Lea el manual del usuario y el documento metodológico asociado.</t>
  </si>
  <si>
    <t>b) Les données d'entrée pour un projet donné sont hiérarchisées en fonction de la technique utilisée.</t>
  </si>
  <si>
    <t>b) Los datos de entrada para un proyecto dado se priorizan según la técnica utilizada.</t>
  </si>
  <si>
    <t>Un proyecto es un conjunto de sub-proyectos y proyectos</t>
  </si>
  <si>
    <t>EFFC &amp; DFI, 2012. Tous droits réservés.</t>
  </si>
  <si>
    <t>EFFC &amp; DFI, 2012. Alle Rechte vorbehalten.</t>
  </si>
  <si>
    <t>EFFC y DFI, 2012. Todos los derechos reservados.</t>
  </si>
  <si>
    <t>EFFC &amp; DFI, 2012. Alle rechten voorbehouden.</t>
  </si>
  <si>
    <t>   Données d'entrée du projet (à remplir par l'utilisateur)</t>
  </si>
  <si>
    <t>Farbige Zellen: Nicht editierbare Zellen</t>
  </si>
  <si>
    <t>Gekleurde cellen: niet bewerkbare cellen</t>
  </si>
  <si>
    <t>Tipo de hoja de cálculo</t>
  </si>
  <si>
    <t>Sous-projet</t>
  </si>
  <si>
    <t>Teilprojekt</t>
  </si>
  <si>
    <t>Subproyecto</t>
  </si>
  <si>
    <t>Deelproject</t>
  </si>
  <si>
    <t>Projet</t>
  </si>
  <si>
    <t>Projekt</t>
  </si>
  <si>
    <t>Proyecto</t>
  </si>
  <si>
    <t>Résultats</t>
  </si>
  <si>
    <t>Ergebnisse</t>
  </si>
  <si>
    <t>Resultados</t>
  </si>
  <si>
    <t>Resultaten</t>
  </si>
  <si>
    <t>Comparaison</t>
  </si>
  <si>
    <t>Vergleich</t>
  </si>
  <si>
    <t>Comparación</t>
  </si>
  <si>
    <t>Vergelijking</t>
  </si>
  <si>
    <t>But</t>
  </si>
  <si>
    <t>Zweck</t>
  </si>
  <si>
    <t>Propósito</t>
  </si>
  <si>
    <t>Doel</t>
  </si>
  <si>
    <t>Calculer l'empreinte carbone d'une partie d'un projet</t>
  </si>
  <si>
    <t>Cálculo de la huella de carbono de una parte de un proyecto</t>
  </si>
  <si>
    <t>Total des autres feuilles</t>
  </si>
  <si>
    <t>Total de otras hojas</t>
  </si>
  <si>
    <t>Extraire les données principales d'une mise en page à imprimer</t>
  </si>
  <si>
    <t>Comparer les différents projets ou sous-projets</t>
  </si>
  <si>
    <t>Nom</t>
  </si>
  <si>
    <t>Nombre</t>
  </si>
  <si>
    <t>Naam</t>
  </si>
  <si>
    <t>Técnica</t>
  </si>
  <si>
    <t>Techniek</t>
  </si>
  <si>
    <t>Copier à partir de</t>
  </si>
  <si>
    <t>Kopieren von</t>
  </si>
  <si>
    <t>Copia de</t>
  </si>
  <si>
    <t>Kopiëren van</t>
  </si>
  <si>
    <t>Créer ici une feuille de résultats</t>
  </si>
  <si>
    <t>Chargez votre propre logo</t>
  </si>
  <si>
    <t>Cargue su propio logotipo</t>
  </si>
  <si>
    <t>ERREUR: '</t>
  </si>
  <si>
    <t>FEHLER: '</t>
  </si>
  <si>
    <t>ERROR: '</t>
  </si>
  <si>
    <t>FOUT: '</t>
  </si>
  <si>
    <t>Dejar en blanco para crear un proyecto vacío</t>
  </si>
  <si>
    <t>Eingabe</t>
  </si>
  <si>
    <t>Entrada</t>
  </si>
  <si>
    <t>Invoer</t>
  </si>
  <si>
    <t>Les sous-projets existants</t>
  </si>
  <si>
    <t>Sub-proyectos existentes</t>
  </si>
  <si>
    <t>Bestaande Deelprojecten</t>
  </si>
  <si>
    <t>Les projets existants</t>
  </si>
  <si>
    <t>Proyectos existentes</t>
  </si>
  <si>
    <t>Bestaande projecten</t>
  </si>
  <si>
    <t>Feuilles de résultats</t>
  </si>
  <si>
    <t>Feuilles de comparaison</t>
  </si>
  <si>
    <t>Hojas de comparación</t>
  </si>
  <si>
    <t>duplicación +</t>
  </si>
  <si>
    <t>duplicatie +</t>
  </si>
  <si>
    <t>Nom du sous-projet</t>
  </si>
  <si>
    <t>Date de calcul</t>
  </si>
  <si>
    <t>Fecha de cálculo</t>
  </si>
  <si>
    <t>Datum van de berekening</t>
  </si>
  <si>
    <t>Auteur</t>
  </si>
  <si>
    <t>Autor</t>
  </si>
  <si>
    <t>Arbeitstage</t>
  </si>
  <si>
    <t>Días de trabajo</t>
  </si>
  <si>
    <t>Werkdagen</t>
  </si>
  <si>
    <t>Personal</t>
  </si>
  <si>
    <t>Projektwert</t>
  </si>
  <si>
    <t>Projectwaarde</t>
  </si>
  <si>
    <t>Pays</t>
  </si>
  <si>
    <t>Land</t>
  </si>
  <si>
    <t>País</t>
  </si>
  <si>
    <t>Unité fonctionnelle 1</t>
  </si>
  <si>
    <t>Unité fonctionnelle 2</t>
  </si>
  <si>
    <t>Quantité</t>
  </si>
  <si>
    <t>Menge</t>
  </si>
  <si>
    <t>Cantidad</t>
  </si>
  <si>
    <t>Hoeveelheid</t>
  </si>
  <si>
    <t>Ciment</t>
  </si>
  <si>
    <t>Zement</t>
  </si>
  <si>
    <t>Cemento</t>
  </si>
  <si>
    <t>Totaal cementgebonden inhoud</t>
  </si>
  <si>
    <t>Constituant secondaire</t>
  </si>
  <si>
    <t>Contenu constituant secondaire</t>
  </si>
  <si>
    <t>Contenu recyclé</t>
  </si>
  <si>
    <t>Relación simplificada</t>
  </si>
  <si>
    <t>Venir en</t>
  </si>
  <si>
    <t>Déchets 1</t>
  </si>
  <si>
    <t>Residuos 1</t>
  </si>
  <si>
    <t>Afval 1</t>
  </si>
  <si>
    <t>Afval 2</t>
  </si>
  <si>
    <t>Bohrpfähle</t>
  </si>
  <si>
    <t>Boorpalen</t>
  </si>
  <si>
    <t>valeur</t>
  </si>
  <si>
    <t>Wert</t>
  </si>
  <si>
    <t>valor</t>
  </si>
  <si>
    <t>waarde</t>
  </si>
  <si>
    <t>Standaard beton</t>
  </si>
  <si>
    <t>Valor por defecto</t>
  </si>
  <si>
    <t>niet van toepassing</t>
  </si>
  <si>
    <t>Par défaut</t>
  </si>
  <si>
    <t>Defecto</t>
  </si>
  <si>
    <t>APAGADO</t>
  </si>
  <si>
    <t>Nombre d'allers-retours</t>
  </si>
  <si>
    <t>Équivalent temps plein</t>
  </si>
  <si>
    <t>Equivalente a Tiempo Completo</t>
  </si>
  <si>
    <t>unité</t>
  </si>
  <si>
    <t>Einheit</t>
  </si>
  <si>
    <t>unidad</t>
  </si>
  <si>
    <t>eenheid</t>
  </si>
  <si>
    <t>Valeur réelle</t>
  </si>
  <si>
    <t>Sachwert</t>
  </si>
  <si>
    <t>Valor Real</t>
  </si>
  <si>
    <t>allers-retours</t>
  </si>
  <si>
    <t>elke X dag (en)</t>
  </si>
  <si>
    <t>Quellen</t>
  </si>
  <si>
    <t>Fuentes</t>
  </si>
  <si>
    <t>Bronnen</t>
  </si>
  <si>
    <t>Materiales</t>
  </si>
  <si>
    <t>Énergie</t>
  </si>
  <si>
    <t>Energie</t>
  </si>
  <si>
    <t>Energía</t>
  </si>
  <si>
    <t>Fracht</t>
  </si>
  <si>
    <t>Carga</t>
  </si>
  <si>
    <t>Vracht</t>
  </si>
  <si>
    <t>Déchets</t>
  </si>
  <si>
    <t>Residuos</t>
  </si>
  <si>
    <t>-Réutilisée-</t>
  </si>
  <si>
    <t>-Hergebruikt-</t>
  </si>
  <si>
    <t>Distancia</t>
  </si>
  <si>
    <t>Afstand</t>
  </si>
  <si>
    <t>Autre</t>
  </si>
  <si>
    <t>Otro</t>
  </si>
  <si>
    <t>kilometros</t>
  </si>
  <si>
    <t>Typ</t>
  </si>
  <si>
    <t>Tipo</t>
  </si>
  <si>
    <t>ans</t>
  </si>
  <si>
    <t>años</t>
  </si>
  <si>
    <t>jaar</t>
  </si>
  <si>
    <t xml:space="preserve">Sources d'émissions primaires:
</t>
  </si>
  <si>
    <t xml:space="preserve">Primäre Emissionsquellen:
</t>
  </si>
  <si>
    <t xml:space="preserve">Primaire emissiebronnen:
</t>
  </si>
  <si>
    <t>Por favor, introduzca los datos de las actividades relativas a las fuentes de emisiones primarias</t>
  </si>
  <si>
    <t>Émissions totales de GES</t>
  </si>
  <si>
    <t>Emisiones totales de GEI</t>
  </si>
  <si>
    <t>Totale uitstoot van broeikasgassen</t>
  </si>
  <si>
    <t>días</t>
  </si>
  <si>
    <t>dagen</t>
  </si>
  <si>
    <t>Reisen</t>
  </si>
  <si>
    <t>viajes</t>
  </si>
  <si>
    <t>Commentaires:</t>
  </si>
  <si>
    <t>Kommentare:</t>
  </si>
  <si>
    <t>Comentarios:</t>
  </si>
  <si>
    <t>Commentaar:</t>
  </si>
  <si>
    <t>Sources d'émissions primaires</t>
  </si>
  <si>
    <t>Primäre Emissionsquellen</t>
  </si>
  <si>
    <t>Primaire emissiebronnen</t>
  </si>
  <si>
    <t>Sources d'émissions secondaires</t>
  </si>
  <si>
    <t>Sekundäre Emissionsquellen</t>
  </si>
  <si>
    <t>Secundaire emissiebronnen</t>
  </si>
  <si>
    <t>Gesamt</t>
  </si>
  <si>
    <t>Totaal</t>
  </si>
  <si>
    <t>Nom du projet</t>
  </si>
  <si>
    <t>Name des Projekts</t>
  </si>
  <si>
    <t>Nombre del proyecto</t>
  </si>
  <si>
    <t>Détail des matériaux</t>
  </si>
  <si>
    <t>Chiffre d'affaires</t>
  </si>
  <si>
    <t>Umsatz</t>
  </si>
  <si>
    <t>Volumen de negocios</t>
  </si>
  <si>
    <t>Omzet</t>
  </si>
  <si>
    <t>Acier</t>
  </si>
  <si>
    <t>Stahl</t>
  </si>
  <si>
    <t>Acero</t>
  </si>
  <si>
    <t>Staal</t>
  </si>
  <si>
    <t>Unités fonctionnelles 1 ne sont pas identiques</t>
  </si>
  <si>
    <t>Compruebe la unidad</t>
  </si>
  <si>
    <t>Les unités fonctionnelles 2 ne sont pas les mêmes</t>
  </si>
  <si>
    <t>unidad problema</t>
  </si>
  <si>
    <t>sélectionnez votre projet ou sous-projet</t>
  </si>
  <si>
    <t>Wählen Sie Ihr Projekt oder Teilprojekt</t>
  </si>
  <si>
    <t>seleccione el proyecto o subproyecto</t>
  </si>
  <si>
    <t>selecteer een project of deelproject</t>
  </si>
  <si>
    <t>Entreprise</t>
  </si>
  <si>
    <t>Firma</t>
  </si>
  <si>
    <t>Empresa</t>
  </si>
  <si>
    <t>Facteurs d'émission définis par l'utilisateur</t>
  </si>
  <si>
    <t>Benutzerdefinierte Emissionsfaktoren</t>
  </si>
  <si>
    <t>Door de gebruiker gedefinieerde emissiefactoren</t>
  </si>
  <si>
    <t>Porcentaje adicional utilizado</t>
  </si>
  <si>
    <t>Ihr Firmenname</t>
  </si>
  <si>
    <t>Nombre de su empresa</t>
  </si>
  <si>
    <t>Uw bedrijfsnaam</t>
  </si>
  <si>
    <t> </t>
  </si>
  <si>
    <t>ratio par</t>
  </si>
  <si>
    <t>Extern berekende emissies toegevoegd</t>
  </si>
  <si>
    <t>Emissionsfaktor Datenbank</t>
  </si>
  <si>
    <t>Incertitudes</t>
  </si>
  <si>
    <t>Unsicherheiten</t>
  </si>
  <si>
    <t>Onzekerheden</t>
  </si>
  <si>
    <t>Otros materiales</t>
  </si>
  <si>
    <t>Andere materialen</t>
  </si>
  <si>
    <t>Autres sources d'émission</t>
  </si>
  <si>
    <t>Weitere Emissionsquellen</t>
  </si>
  <si>
    <t>Otras fuentes de emisión</t>
  </si>
  <si>
    <t>Andere emissiebronnen</t>
  </si>
  <si>
    <t>Sélectionnez les sous-projets et projets que vous souhaitez comparer</t>
  </si>
  <si>
    <t>Selecteer de deelprojecten en projecten die u wilt vergelijken</t>
  </si>
  <si>
    <t>la variation du taux:</t>
  </si>
  <si>
    <t>Verhältnis Variable:</t>
  </si>
  <si>
    <t>Montrer autres</t>
  </si>
  <si>
    <t>Mostrar otros</t>
  </si>
  <si>
    <t>Toon andere</t>
  </si>
  <si>
    <t>émission</t>
  </si>
  <si>
    <t>Emission</t>
  </si>
  <si>
    <t>emisión</t>
  </si>
  <si>
    <t>emissie</t>
  </si>
  <si>
    <t>Les unités fonctionnelles doivent être exactement les mêmes</t>
  </si>
  <si>
    <t>Répartitions des projets d'émissions</t>
  </si>
  <si>
    <t>répartition des émissions</t>
  </si>
  <si>
    <t>Facteur d'émission de données de base</t>
  </si>
  <si>
    <t>Emissiefactor database</t>
  </si>
  <si>
    <t>Emissiefactor naam</t>
  </si>
  <si>
    <t>Acrylsäure</t>
  </si>
  <si>
    <t>Acrylzuur</t>
  </si>
  <si>
    <t>Aggregaat</t>
  </si>
  <si>
    <t>Bentonit</t>
  </si>
  <si>
    <t>Bentonita</t>
  </si>
  <si>
    <t>Bentoniet</t>
  </si>
  <si>
    <t>Calciumchlorid</t>
  </si>
  <si>
    <t>Cloruro de calcio</t>
  </si>
  <si>
    <t>Calciumchloride</t>
  </si>
  <si>
    <t>GGB</t>
  </si>
  <si>
    <t>GGBS</t>
  </si>
  <si>
    <t>Cendres volantes</t>
  </si>
  <si>
    <t>Flugasche</t>
  </si>
  <si>
    <t>Las cenizas volantes</t>
  </si>
  <si>
    <t>Calcaire</t>
  </si>
  <si>
    <t>Kalkstein</t>
  </si>
  <si>
    <t>Caliza</t>
  </si>
  <si>
    <t>Kalksteen</t>
  </si>
  <si>
    <t>Produits chimiques inorganiques</t>
  </si>
  <si>
    <t>Productos químicos inorgánicos</t>
  </si>
  <si>
    <t>Tuyaux en PVC</t>
  </si>
  <si>
    <t>PVC-Rohre</t>
  </si>
  <si>
    <t>Tubos de PVC</t>
  </si>
  <si>
    <t>PVC-buizen</t>
  </si>
  <si>
    <t>Sable</t>
  </si>
  <si>
    <t>Arena</t>
  </si>
  <si>
    <t>Zand</t>
  </si>
  <si>
    <t>Carbonate de sodium</t>
  </si>
  <si>
    <t>Natriumcarbonat</t>
  </si>
  <si>
    <t>Natriumcarbonaat</t>
  </si>
  <si>
    <t>Staalplaten</t>
  </si>
  <si>
    <t>Armatures en acier</t>
  </si>
  <si>
    <t>Stalen wapening</t>
  </si>
  <si>
    <t>Tubes en acier</t>
  </si>
  <si>
    <t>Stahlrohre</t>
  </si>
  <si>
    <t>Tubos de acero</t>
  </si>
  <si>
    <t>Stalen buizen</t>
  </si>
  <si>
    <t>Stahldrähte</t>
  </si>
  <si>
    <t>Staaldraden</t>
  </si>
  <si>
    <t>Eau</t>
  </si>
  <si>
    <t>Wasser</t>
  </si>
  <si>
    <t>Agua</t>
  </si>
  <si>
    <t>Fioul lourd</t>
  </si>
  <si>
    <t>Schweres Heizöl</t>
  </si>
  <si>
    <t>Zware stookolie</t>
  </si>
  <si>
    <t>Électricité</t>
  </si>
  <si>
    <t>Strom</t>
  </si>
  <si>
    <t>Electricidad</t>
  </si>
  <si>
    <t>Elektriciteit</t>
  </si>
  <si>
    <t>Diesel (100% minerale diesel)</t>
  </si>
  <si>
    <t>Route - rigide&gt; 3,5 7.5t</t>
  </si>
  <si>
    <t>Route - rigide&gt; 7.5-17t</t>
  </si>
  <si>
    <t>Route - rigide&gt; 17t</t>
  </si>
  <si>
    <t>Route - articulé&gt; 3.5-33t</t>
  </si>
  <si>
    <t>Weg - Gelede&gt; 3,5-33t</t>
  </si>
  <si>
    <t>Route - articulé&gt; 33t</t>
  </si>
  <si>
    <t>Weg - Gelede&gt; 33t</t>
  </si>
  <si>
    <t>Air - Long-courrier international</t>
  </si>
  <si>
    <t>Marítimo - Carga general</t>
  </si>
  <si>
    <t>Dieselöl</t>
  </si>
  <si>
    <t>Gasóleo</t>
  </si>
  <si>
    <t>Autobús</t>
  </si>
  <si>
    <t>Voiture</t>
  </si>
  <si>
    <t>Auto</t>
  </si>
  <si>
    <t>Coche</t>
  </si>
  <si>
    <t>Zug</t>
  </si>
  <si>
    <t>Tren</t>
  </si>
  <si>
    <t>Trein</t>
  </si>
  <si>
    <t>Passagers aériens - Domestic</t>
  </si>
  <si>
    <t>Passagers aériens - Court-courrier international</t>
  </si>
  <si>
    <t>Passagers aériens - Long-courrier international</t>
  </si>
  <si>
    <t>Máquinas</t>
  </si>
  <si>
    <t>Types de ciment</t>
  </si>
  <si>
    <t>Zementsorten</t>
  </si>
  <si>
    <t>Tipos de cemento</t>
  </si>
  <si>
    <t>Cementsoorten</t>
  </si>
  <si>
    <t>CEM II / A-LL ou L</t>
  </si>
  <si>
    <t>CEM II / A-LL oder L</t>
  </si>
  <si>
    <t>CEM II / A-LL o L</t>
  </si>
  <si>
    <t>CEM II / A-LL of L</t>
  </si>
  <si>
    <t>CEM II / A-V</t>
  </si>
  <si>
    <t>CEM II / B-V</t>
  </si>
  <si>
    <t>CEM II / B-S</t>
  </si>
  <si>
    <t>CEM III / A</t>
  </si>
  <si>
    <t>CEM III / B</t>
  </si>
  <si>
    <t>CEM III / C</t>
  </si>
  <si>
    <t>CEM IV / B-V</t>
  </si>
  <si>
    <t>CEM IV / B V-</t>
  </si>
  <si>
    <t>Standaard gerecycled materiaal</t>
  </si>
  <si>
    <t>Tôle d'acier</t>
  </si>
  <si>
    <t>Stahlblech</t>
  </si>
  <si>
    <t>Chapa de acero</t>
  </si>
  <si>
    <t>Les barres d'acier</t>
  </si>
  <si>
    <t>Stabstahl</t>
  </si>
  <si>
    <t>Stalen staven</t>
  </si>
  <si>
    <t>No cambie la base de datos a menos que realmente lo necesite</t>
  </si>
  <si>
    <t>litre</t>
  </si>
  <si>
    <t>Liter</t>
  </si>
  <si>
    <t>litro</t>
  </si>
  <si>
    <t>VKM</t>
  </si>
  <si>
    <t>Charge par défaut</t>
  </si>
  <si>
    <t>Type de fret</t>
  </si>
  <si>
    <t>Tipo de Carga</t>
  </si>
  <si>
    <t>Vracht Type</t>
  </si>
  <si>
    <t>Le facteur d'émission utilisé (kgCO2/unit)</t>
  </si>
  <si>
    <t>Quelle</t>
  </si>
  <si>
    <t>Fuente</t>
  </si>
  <si>
    <t>Bron</t>
  </si>
  <si>
    <t>Gemeinsame Entfernung (km)</t>
  </si>
  <si>
    <t>Base de données facteur d'émission utilisé</t>
  </si>
  <si>
    <t>Définie par l'utilisateur facteur d'émission (kgCO2/unit)</t>
  </si>
  <si>
    <t>Door de gebruiker gedefinieerde emissiefactor (kgCO2/unit)</t>
  </si>
  <si>
    <t>Secondaire teneur moyenne en constituant</t>
  </si>
  <si>
    <t>Tipo de material</t>
  </si>
  <si>
    <t>Materiaalsoort</t>
  </si>
  <si>
    <t>Incertitude</t>
  </si>
  <si>
    <t>Unsicherheit</t>
  </si>
  <si>
    <t>Incertidumbre</t>
  </si>
  <si>
    <t>Onzekerheid</t>
  </si>
  <si>
    <t>EcoTransIT</t>
  </si>
  <si>
    <t>Frankreich - Bilan Carbone</t>
  </si>
  <si>
    <t>Francia - Bilan Carbone</t>
  </si>
  <si>
    <t>Frankrijk - Bilan Carbone</t>
  </si>
  <si>
    <t>Royaume-Uni - DEFRA / Uni de Bath</t>
  </si>
  <si>
    <t>UK - DEFRA / Uni of Bath</t>
  </si>
  <si>
    <t>Reino Unido - DEFRA / Uni of Bath</t>
  </si>
  <si>
    <t>Commentaires</t>
  </si>
  <si>
    <t>Kommentare</t>
  </si>
  <si>
    <t>Comentarios</t>
  </si>
  <si>
    <t>Reacties</t>
  </si>
  <si>
    <t>Poids DEFRA% chargé</t>
  </si>
  <si>
    <t>DEFRA% Gewicht beladen</t>
  </si>
  <si>
    <t>Factor 2 niet meegerekend</t>
  </si>
  <si>
    <t>EcoTransIT + DEFRA</t>
  </si>
  <si>
    <t>EcoTransit + AIE</t>
  </si>
  <si>
    <t>EcoTransIT + IEA</t>
  </si>
  <si>
    <t>DEFRA gemiddelde belasting (ton)</t>
  </si>
  <si>
    <t>Taille</t>
  </si>
  <si>
    <t>Größe</t>
  </si>
  <si>
    <t>Tamaño</t>
  </si>
  <si>
    <t>Omvang</t>
  </si>
  <si>
    <t>Insérez votre logo ici</t>
  </si>
  <si>
    <t>Inserte su logo aquí</t>
  </si>
  <si>
    <t>Plaats hier uw logo</t>
  </si>
  <si>
    <t>Le logo doit tenir dans la case blanche</t>
  </si>
  <si>
    <t>Teilprojekte</t>
  </si>
  <si>
    <t>Subproyectos</t>
  </si>
  <si>
    <t>Deelprojecten</t>
  </si>
  <si>
    <t>Projets</t>
  </si>
  <si>
    <t>Projekte</t>
  </si>
  <si>
    <t>Proyectos</t>
  </si>
  <si>
    <t>Projecten</t>
  </si>
  <si>
    <t>Tous les deux</t>
  </si>
  <si>
    <t>Beide</t>
  </si>
  <si>
    <t>Ambos</t>
  </si>
  <si>
    <t>Técnicas</t>
  </si>
  <si>
    <t>Technieken</t>
  </si>
  <si>
    <t>Pilotes de desplazamiento</t>
  </si>
  <si>
    <t>Micropieux</t>
  </si>
  <si>
    <t>Mikropfähle</t>
  </si>
  <si>
    <t>Micropilotes</t>
  </si>
  <si>
    <t>Micropalen</t>
  </si>
  <si>
    <t>Rideaux de palplanches</t>
  </si>
  <si>
    <t>Spundwände</t>
  </si>
  <si>
    <t>Muros de tablestacas</t>
  </si>
  <si>
    <t>Damwanden</t>
  </si>
  <si>
    <t>PRUEBA</t>
  </si>
  <si>
    <t>Test UIT</t>
  </si>
  <si>
    <t>Länder</t>
  </si>
  <si>
    <t>Países</t>
  </si>
  <si>
    <t>Landen</t>
  </si>
  <si>
    <t>Autriche</t>
  </si>
  <si>
    <t>Österreich</t>
  </si>
  <si>
    <t>Oostenrijk</t>
  </si>
  <si>
    <t>Belgique</t>
  </si>
  <si>
    <t>Belgien</t>
  </si>
  <si>
    <t>Bélgica</t>
  </si>
  <si>
    <t>België</t>
  </si>
  <si>
    <t>République tchèque</t>
  </si>
  <si>
    <t>Tschechische Republik</t>
  </si>
  <si>
    <t>República Checa</t>
  </si>
  <si>
    <t>Danemark</t>
  </si>
  <si>
    <t>Dänemark</t>
  </si>
  <si>
    <t>Dinamarca</t>
  </si>
  <si>
    <t>Denemarken</t>
  </si>
  <si>
    <t>Estonie</t>
  </si>
  <si>
    <t>Estland</t>
  </si>
  <si>
    <t>Finlande</t>
  </si>
  <si>
    <t>Finnland</t>
  </si>
  <si>
    <t>Finlandia</t>
  </si>
  <si>
    <t>Frankreich</t>
  </si>
  <si>
    <t>Francia</t>
  </si>
  <si>
    <t>Frankrijk</t>
  </si>
  <si>
    <t>Allemagne</t>
  </si>
  <si>
    <t>Deutschland</t>
  </si>
  <si>
    <t>Alemania</t>
  </si>
  <si>
    <t>Duitsland</t>
  </si>
  <si>
    <t>Grèce</t>
  </si>
  <si>
    <t>Griechenland</t>
  </si>
  <si>
    <t>Grecia</t>
  </si>
  <si>
    <t>Griekenland</t>
  </si>
  <si>
    <t>Hongrie</t>
  </si>
  <si>
    <t>Ungarn</t>
  </si>
  <si>
    <t>Hungría</t>
  </si>
  <si>
    <t>Hongarije</t>
  </si>
  <si>
    <t>Islande</t>
  </si>
  <si>
    <t>Island</t>
  </si>
  <si>
    <t>Islandia</t>
  </si>
  <si>
    <t>IJsland</t>
  </si>
  <si>
    <t>Irlande</t>
  </si>
  <si>
    <t>Irland</t>
  </si>
  <si>
    <t>Irlanda</t>
  </si>
  <si>
    <t>Ierland</t>
  </si>
  <si>
    <t>Italie</t>
  </si>
  <si>
    <t>Italien</t>
  </si>
  <si>
    <t>Italia</t>
  </si>
  <si>
    <t>Italië</t>
  </si>
  <si>
    <t>Luxemburg</t>
  </si>
  <si>
    <t>Luxemburgo</t>
  </si>
  <si>
    <t>Pays-Bas</t>
  </si>
  <si>
    <t>Niederlande</t>
  </si>
  <si>
    <t>Países Bajos</t>
  </si>
  <si>
    <t>Nederland</t>
  </si>
  <si>
    <t>Norvège</t>
  </si>
  <si>
    <t>Norwegen</t>
  </si>
  <si>
    <t>Noruega</t>
  </si>
  <si>
    <t>Noorwegen</t>
  </si>
  <si>
    <t>Pologne</t>
  </si>
  <si>
    <t>Polen</t>
  </si>
  <si>
    <t>Polonia</t>
  </si>
  <si>
    <t>République slovaque</t>
  </si>
  <si>
    <t>República Eslovaca</t>
  </si>
  <si>
    <t>Slovénie</t>
  </si>
  <si>
    <t>Slowenien</t>
  </si>
  <si>
    <t>Eslovenia</t>
  </si>
  <si>
    <t>Slovenië</t>
  </si>
  <si>
    <t>Espagne</t>
  </si>
  <si>
    <t>Spanien</t>
  </si>
  <si>
    <t>España</t>
  </si>
  <si>
    <t>Spanje</t>
  </si>
  <si>
    <t>Suède</t>
  </si>
  <si>
    <t>Schweden</t>
  </si>
  <si>
    <t>Suecia</t>
  </si>
  <si>
    <t>Zweden</t>
  </si>
  <si>
    <t>Suisse</t>
  </si>
  <si>
    <t>Schweiz</t>
  </si>
  <si>
    <t>Suiza</t>
  </si>
  <si>
    <t>Zwitserland</t>
  </si>
  <si>
    <t>Turquie</t>
  </si>
  <si>
    <t>Türkei</t>
  </si>
  <si>
    <t>Turquía</t>
  </si>
  <si>
    <t>Turkije</t>
  </si>
  <si>
    <t>Royaume-Uni</t>
  </si>
  <si>
    <t>Vereinigtes Königreich</t>
  </si>
  <si>
    <t>Reino Unido</t>
  </si>
  <si>
    <t>Verenigd Koninkrijk</t>
  </si>
  <si>
    <t>--- Non-OCDE Europe et l'Eurasie</t>
  </si>
  <si>
    <t>Albanie</t>
  </si>
  <si>
    <t>Albanien</t>
  </si>
  <si>
    <t>Albanië</t>
  </si>
  <si>
    <t>Arménie</t>
  </si>
  <si>
    <t>Armenien</t>
  </si>
  <si>
    <t>Armenië</t>
  </si>
  <si>
    <t>Azerbaïdjan</t>
  </si>
  <si>
    <t>Aserbaidschan</t>
  </si>
  <si>
    <t>Azerbaiyán</t>
  </si>
  <si>
    <t>Azerbeidzjan</t>
  </si>
  <si>
    <t>Weißrussland</t>
  </si>
  <si>
    <t>Bielorrusia</t>
  </si>
  <si>
    <t>Wit-Rusland</t>
  </si>
  <si>
    <t>Bosnie-Herzégovine</t>
  </si>
  <si>
    <t>Bosnia y Herzegovina</t>
  </si>
  <si>
    <t>Bosnië en Herzegovina</t>
  </si>
  <si>
    <t>Bulgarie</t>
  </si>
  <si>
    <t>Bulgarien</t>
  </si>
  <si>
    <t>Bulgarije</t>
  </si>
  <si>
    <t>Croatie</t>
  </si>
  <si>
    <t>Kroatien</t>
  </si>
  <si>
    <t>Croacia</t>
  </si>
  <si>
    <t>Kroatië</t>
  </si>
  <si>
    <t>Chypre</t>
  </si>
  <si>
    <t>Zypern</t>
  </si>
  <si>
    <t>Chipre</t>
  </si>
  <si>
    <t>Géorgie</t>
  </si>
  <si>
    <t>Georgië</t>
  </si>
  <si>
    <t>Kasachstan</t>
  </si>
  <si>
    <t>Kazajstán</t>
  </si>
  <si>
    <t>Kazachstan</t>
  </si>
  <si>
    <t>Kirghizistan</t>
  </si>
  <si>
    <t>Kirgistan</t>
  </si>
  <si>
    <t>Kirguistán</t>
  </si>
  <si>
    <t>Kirgizië</t>
  </si>
  <si>
    <t>Lettonie</t>
  </si>
  <si>
    <t>Lettland</t>
  </si>
  <si>
    <t>Letonia</t>
  </si>
  <si>
    <t>Letland</t>
  </si>
  <si>
    <t>Lituanie</t>
  </si>
  <si>
    <t>Litauen</t>
  </si>
  <si>
    <t>Lituania</t>
  </si>
  <si>
    <t>Litouwen</t>
  </si>
  <si>
    <t>Ex-République yougoslave de Macédoine</t>
  </si>
  <si>
    <t>ARY de Macedonia</t>
  </si>
  <si>
    <t>Malte</t>
  </si>
  <si>
    <t>République de Moldova</t>
  </si>
  <si>
    <t>República de Moldova</t>
  </si>
  <si>
    <t>Roumanie</t>
  </si>
  <si>
    <t>Rumänien</t>
  </si>
  <si>
    <t>Rumania</t>
  </si>
  <si>
    <t>Roemenië</t>
  </si>
  <si>
    <t>Fédération de Russie</t>
  </si>
  <si>
    <t>Federación de Rusia</t>
  </si>
  <si>
    <t>Serbie</t>
  </si>
  <si>
    <t>Serbien</t>
  </si>
  <si>
    <t>Servië</t>
  </si>
  <si>
    <t>Tadjikistan</t>
  </si>
  <si>
    <t>Tadschikistan</t>
  </si>
  <si>
    <t>Tayikistán</t>
  </si>
  <si>
    <t>Tadzjikistan</t>
  </si>
  <si>
    <t>Turkménistan</t>
  </si>
  <si>
    <t>Turkmenistán</t>
  </si>
  <si>
    <t>Ucrania</t>
  </si>
  <si>
    <t>Oekraïne</t>
  </si>
  <si>
    <t>Ouzbékistan</t>
  </si>
  <si>
    <t>Usbekistan</t>
  </si>
  <si>
    <t>Uzbekistán</t>
  </si>
  <si>
    <t>Oezbekistan</t>
  </si>
  <si>
    <t>Kanada</t>
  </si>
  <si>
    <t>Canadá</t>
  </si>
  <si>
    <t>Chili</t>
  </si>
  <si>
    <t>Mexique</t>
  </si>
  <si>
    <t>Mexiko</t>
  </si>
  <si>
    <t>México</t>
  </si>
  <si>
    <t>États-Unis</t>
  </si>
  <si>
    <t>Vereinigte Staaten</t>
  </si>
  <si>
    <t>Estados Unidos</t>
  </si>
  <si>
    <t>Verenigde Staten van Amerika</t>
  </si>
  <si>
    <t>Australie</t>
  </si>
  <si>
    <t>Australien</t>
  </si>
  <si>
    <t>Australië</t>
  </si>
  <si>
    <t>Israël</t>
  </si>
  <si>
    <t>Japon</t>
  </si>
  <si>
    <t>Japón</t>
  </si>
  <si>
    <t>Corée</t>
  </si>
  <si>
    <t>Corea</t>
  </si>
  <si>
    <t>Nouvelle-Zélande</t>
  </si>
  <si>
    <t>Nueva Zelandia</t>
  </si>
  <si>
    <t>Algérie</t>
  </si>
  <si>
    <t>Algerien</t>
  </si>
  <si>
    <t>Argelia</t>
  </si>
  <si>
    <t>Algerije</t>
  </si>
  <si>
    <t>Bénin</t>
  </si>
  <si>
    <t>Cameroun</t>
  </si>
  <si>
    <t>Kamerun</t>
  </si>
  <si>
    <t>Camerún</t>
  </si>
  <si>
    <t>Kameroen</t>
  </si>
  <si>
    <t>Kongo</t>
  </si>
  <si>
    <t>Dem. République du Congo</t>
  </si>
  <si>
    <t>Dem. Rep. Kongo</t>
  </si>
  <si>
    <t>Dem. Rep. del Congo</t>
  </si>
  <si>
    <t>Egypte</t>
  </si>
  <si>
    <t>Ägypten</t>
  </si>
  <si>
    <t>Egipto</t>
  </si>
  <si>
    <t>L'Erythrée</t>
  </si>
  <si>
    <t>Ethiopie</t>
  </si>
  <si>
    <t>Äthiopien</t>
  </si>
  <si>
    <t>Etiopía</t>
  </si>
  <si>
    <t>Ethiopië</t>
  </si>
  <si>
    <t>Gabón</t>
  </si>
  <si>
    <t>Kenia</t>
  </si>
  <si>
    <t>Jamahiriya arabe libyenne</t>
  </si>
  <si>
    <t>Jamahiriya Árabe Libia</t>
  </si>
  <si>
    <t>Libië</t>
  </si>
  <si>
    <t>Maroc</t>
  </si>
  <si>
    <t>Marokko</t>
  </si>
  <si>
    <t>Marruecos</t>
  </si>
  <si>
    <t>Namibie</t>
  </si>
  <si>
    <t>Namibië</t>
  </si>
  <si>
    <t>Sénégal</t>
  </si>
  <si>
    <t>Afrique du Sud</t>
  </si>
  <si>
    <t>Südafrika</t>
  </si>
  <si>
    <t>Sudáfrica</t>
  </si>
  <si>
    <t>Soudan</t>
  </si>
  <si>
    <t>Sudán</t>
  </si>
  <si>
    <t>Soedan</t>
  </si>
  <si>
    <t>République-Unie de Tanzanie</t>
  </si>
  <si>
    <t>Rep. Unida de Tanzania</t>
  </si>
  <si>
    <t>Tunisie</t>
  </si>
  <si>
    <t>Tunesien</t>
  </si>
  <si>
    <t>Túnez</t>
  </si>
  <si>
    <t>Tunesië</t>
  </si>
  <si>
    <t>Zambie</t>
  </si>
  <si>
    <t>Sambia</t>
  </si>
  <si>
    <t>Zimbabue</t>
  </si>
  <si>
    <t>Autres pays d'Afrique</t>
  </si>
  <si>
    <t>Otros países de África</t>
  </si>
  <si>
    <t>Bahreïn</t>
  </si>
  <si>
    <t>Bahrein</t>
  </si>
  <si>
    <t>Bahréin</t>
  </si>
  <si>
    <t>République islamique d'Iran</t>
  </si>
  <si>
    <t>República Islámica del Irán</t>
  </si>
  <si>
    <t>Irak</t>
  </si>
  <si>
    <t>Jordanie</t>
  </si>
  <si>
    <t>Jordania</t>
  </si>
  <si>
    <t>Jordanië</t>
  </si>
  <si>
    <t>Koweit</t>
  </si>
  <si>
    <t>Koeweit</t>
  </si>
  <si>
    <t>Liban</t>
  </si>
  <si>
    <t>Libanon</t>
  </si>
  <si>
    <t>Líbano</t>
  </si>
  <si>
    <t>Omán</t>
  </si>
  <si>
    <t>Katar</t>
  </si>
  <si>
    <t>Arabie Saoudite</t>
  </si>
  <si>
    <t>Saudi-Arabien</t>
  </si>
  <si>
    <t>Arabia Saudita</t>
  </si>
  <si>
    <t>Saoedi-Arabië</t>
  </si>
  <si>
    <t>République arabe syrienne</t>
  </si>
  <si>
    <t>República Árabe Siria</t>
  </si>
  <si>
    <t>Émirats arabes unis</t>
  </si>
  <si>
    <t>Vereinigte Arabische Emirate</t>
  </si>
  <si>
    <t>Emiratos Árabes Unidos</t>
  </si>
  <si>
    <t>Verenigde Arabische Emiraten</t>
  </si>
  <si>
    <t>Yémen</t>
  </si>
  <si>
    <t>Jemen</t>
  </si>
  <si>
    <t>Argentine</t>
  </si>
  <si>
    <t>Argentinien</t>
  </si>
  <si>
    <t>Argentinië</t>
  </si>
  <si>
    <t>Bolivie</t>
  </si>
  <si>
    <t>Bolivien</t>
  </si>
  <si>
    <t>Brésil</t>
  </si>
  <si>
    <t>Brasilien</t>
  </si>
  <si>
    <t>Brasil</t>
  </si>
  <si>
    <t>Brazilië</t>
  </si>
  <si>
    <t>Colombie</t>
  </si>
  <si>
    <t>Kolumbien</t>
  </si>
  <si>
    <t>Kuba</t>
  </si>
  <si>
    <t>République Dominicaine</t>
  </si>
  <si>
    <t>Dominikanische Republik</t>
  </si>
  <si>
    <t>República Dominicana</t>
  </si>
  <si>
    <t>Dominicaanse Republiek</t>
  </si>
  <si>
    <t>Equateur</t>
  </si>
  <si>
    <t>Haïti</t>
  </si>
  <si>
    <t>Haití</t>
  </si>
  <si>
    <t>Jamaïque</t>
  </si>
  <si>
    <t>Jamaika</t>
  </si>
  <si>
    <t>Antilles Néerlandaises</t>
  </si>
  <si>
    <t>Antillas Neerlandesas</t>
  </si>
  <si>
    <t>Nederlandse Antillen</t>
  </si>
  <si>
    <t>Panamá</t>
  </si>
  <si>
    <t>Pérou</t>
  </si>
  <si>
    <t>Perú</t>
  </si>
  <si>
    <t>Trinité-et-Tobago</t>
  </si>
  <si>
    <t>Trinidad und Tobago</t>
  </si>
  <si>
    <t>Trinidad y Tobago</t>
  </si>
  <si>
    <t>Trinidad en Tobago</t>
  </si>
  <si>
    <t>Autres Amérique latine</t>
  </si>
  <si>
    <t>Otros países de América Latina</t>
  </si>
  <si>
    <t>Bangladesch</t>
  </si>
  <si>
    <t>Cambodge</t>
  </si>
  <si>
    <t>Kambodscha</t>
  </si>
  <si>
    <t>Camboya</t>
  </si>
  <si>
    <t>Cambodja</t>
  </si>
  <si>
    <t>Chine</t>
  </si>
  <si>
    <t>Taipei chinois</t>
  </si>
  <si>
    <t>Taipei Chino</t>
  </si>
  <si>
    <t>Inde</t>
  </si>
  <si>
    <t>Indien</t>
  </si>
  <si>
    <t>Indonésie</t>
  </si>
  <si>
    <t>Indonesien</t>
  </si>
  <si>
    <t>Indonesië</t>
  </si>
  <si>
    <t>RPD de Corée</t>
  </si>
  <si>
    <t>República Popular Democrática de Corea</t>
  </si>
  <si>
    <t>Malaisie</t>
  </si>
  <si>
    <t>Malasia</t>
  </si>
  <si>
    <t>Maleisië</t>
  </si>
  <si>
    <t>Mongolie</t>
  </si>
  <si>
    <t>Mongolei</t>
  </si>
  <si>
    <t>Mongolië</t>
  </si>
  <si>
    <t>Népal</t>
  </si>
  <si>
    <t>Pakistán</t>
  </si>
  <si>
    <t>Philippinen</t>
  </si>
  <si>
    <t>Filipinas</t>
  </si>
  <si>
    <t>Filippijnen</t>
  </si>
  <si>
    <t>Singapour</t>
  </si>
  <si>
    <t>Singapur</t>
  </si>
  <si>
    <t>Thaïlande</t>
  </si>
  <si>
    <t>Tailandia</t>
  </si>
  <si>
    <t>Viêt-Nam</t>
  </si>
  <si>
    <t>Autres pays d'Asie</t>
  </si>
  <si>
    <t>Otros países de Asia</t>
  </si>
  <si>
    <t>Overig Azië</t>
  </si>
  <si>
    <t>Éteint manuellement</t>
  </si>
  <si>
    <t>Apagado manualmente</t>
  </si>
  <si>
    <t>Nuevo o reciclado</t>
  </si>
  <si>
    <t xml:space="preserve">Introduzca el número de días de trabajo
</t>
  </si>
  <si>
    <t xml:space="preserve">Entrez le nombre moyen de personnes travaillant sur le projet
</t>
  </si>
  <si>
    <t xml:space="preserve">Sélectionnez un pays
</t>
  </si>
  <si>
    <t xml:space="preserve">Wählen Sie ein Land
</t>
  </si>
  <si>
    <t xml:space="preserve">Seleccione un país
</t>
  </si>
  <si>
    <t xml:space="preserve">Kies een land
</t>
  </si>
  <si>
    <t xml:space="preserve"> emissies relatief hoog
</t>
  </si>
  <si>
    <t xml:space="preserve"> les émissions sont relativement faibles
</t>
  </si>
  <si>
    <t xml:space="preserve"> emissies zijn relatief laag
</t>
  </si>
  <si>
    <t>    (Source primaire)</t>
  </si>
  <si>
    <t>    (Fuente primaria)</t>
  </si>
  <si>
    <t>    (Primaire bron)</t>
  </si>
  <si>
    <t>    (Source secondaire)</t>
  </si>
  <si>
    <t>    (Fuente secundaria)</t>
  </si>
  <si>
    <t>    (Secundaire bron)</t>
  </si>
  <si>
    <t>Deutsch</t>
  </si>
  <si>
    <t>Nederlands</t>
  </si>
  <si>
    <t>Español</t>
  </si>
  <si>
    <t>General Principles :  emission sources are split into two categories :
 - primary emission sources (represented in colors)
  - secondary emission sources (represented in gray)
The method recommends to start with the primary emission sources,with the secondary emission sources being automatically estimated. Then you may want to fine tune the calculation using specific activity data for the secondary emission sources also.</t>
  </si>
  <si>
    <t>New Subproject sheet</t>
  </si>
  <si>
    <t>New Project sheet</t>
  </si>
  <si>
    <t>New Comparison sheet</t>
  </si>
  <si>
    <t>New Results sheet</t>
  </si>
  <si>
    <t>Nouvelle feuille de résultats</t>
  </si>
  <si>
    <t>Load your logo</t>
  </si>
  <si>
    <t>Chargez votre logo</t>
  </si>
  <si>
    <t>Cargue su logotipo</t>
  </si>
  <si>
    <t>Set the size</t>
  </si>
  <si>
    <t>Définissez la taille</t>
  </si>
  <si>
    <t>Ajuste el tamaño</t>
  </si>
  <si>
    <t>When your image fit in the white box, click here to import the logo</t>
  </si>
  <si>
    <t>Projects emissions</t>
  </si>
  <si>
    <t>Materials Detail</t>
  </si>
  <si>
    <t>-Sélectionnez le pays du projet</t>
  </si>
  <si>
    <t>--- OCDE Europe</t>
  </si>
  <si>
    <t>--- OCDE Asie Océanie</t>
  </si>
  <si>
    <t>--- Afrique</t>
  </si>
  <si>
    <t>--- Moyen-Orient</t>
  </si>
  <si>
    <t>--- Amérique latine</t>
  </si>
  <si>
    <t>--- Asie</t>
  </si>
  <si>
    <t>-Seleccione el país del proyecto</t>
  </si>
  <si>
    <t xml:space="preserve"> - recycled</t>
  </si>
  <si>
    <t>- recyclé</t>
  </si>
  <si>
    <t xml:space="preserve"> - wiederverwertet</t>
  </si>
  <si>
    <t xml:space="preserve"> - reciclados</t>
  </si>
  <si>
    <t xml:space="preserve"> - gerecycled</t>
  </si>
  <si>
    <t>EFFC DFI Carbon Calculator Tool</t>
  </si>
  <si>
    <t>TITOLO</t>
  </si>
  <si>
    <t>AUTORI</t>
  </si>
  <si>
    <t>DATA</t>
  </si>
  <si>
    <t>COS'E 'QUESTO STRUMENTO?</t>
  </si>
  <si>
    <t>Codice del colore</t>
  </si>
  <si>
    <t>In tutti i fogli</t>
  </si>
  <si>
    <t>EFFC e DFI, 2012. Tutti i diritti riservati.</t>
  </si>
  <si>
    <t>   Dati di input del progetto (da compilare a cura dell'utente)</t>
  </si>
  <si>
    <t>Tipo di foglio di lavoro</t>
  </si>
  <si>
    <t>Sottoprogetto</t>
  </si>
  <si>
    <t>Progetto</t>
  </si>
  <si>
    <t>Risultati</t>
  </si>
  <si>
    <t>Confronto</t>
  </si>
  <si>
    <t>Scopo</t>
  </si>
  <si>
    <t>Totale altri fogli</t>
  </si>
  <si>
    <t>Estrarre i dati principali in un formato stampabile</t>
  </si>
  <si>
    <t>Confronta i diversi progetti o sottoprogetti</t>
  </si>
  <si>
    <t>Crea qui i fogli del sottoprogetto</t>
  </si>
  <si>
    <t>Nome</t>
  </si>
  <si>
    <t>Tecnica</t>
  </si>
  <si>
    <t>Copia da</t>
  </si>
  <si>
    <t>Crea qui i fogli progetti</t>
  </si>
  <si>
    <t>Crea qui un foglio risultati</t>
  </si>
  <si>
    <t>Crea qui i fogli di confronto</t>
  </si>
  <si>
    <t>Caricare il proprio logo</t>
  </si>
  <si>
    <t>Lasciare vuoto per creare un progetto vuoto</t>
  </si>
  <si>
    <t>Attività di campo dati (specificato dall'utente)</t>
  </si>
  <si>
    <t>Sottoprogetti esistenti</t>
  </si>
  <si>
    <t>Progetti esistenti</t>
  </si>
  <si>
    <t>duplicazione +</t>
  </si>
  <si>
    <t>Autore</t>
  </si>
  <si>
    <t>Giorni lavorativi</t>
  </si>
  <si>
    <t>Paese</t>
  </si>
  <si>
    <t>Unità funzionale 1</t>
  </si>
  <si>
    <t>Unità funzionale 2</t>
  </si>
  <si>
    <t>Quantità</t>
  </si>
  <si>
    <t>Componente secondaria</t>
  </si>
  <si>
    <t>Rapporto semplificato</t>
  </si>
  <si>
    <t>Rete elettrica</t>
  </si>
  <si>
    <t>Rifiuti 1</t>
  </si>
  <si>
    <t>Rifiuti 2</t>
  </si>
  <si>
    <t>Emissioni calcolate esternamente</t>
  </si>
  <si>
    <t>Pali trivellati</t>
  </si>
  <si>
    <t>valore</t>
  </si>
  <si>
    <t>Valore predefinito</t>
  </si>
  <si>
    <t>Equivalenti a tempo pieno</t>
  </si>
  <si>
    <t>unità</t>
  </si>
  <si>
    <t>andata e ritorno</t>
  </si>
  <si>
    <t>ogni giorno X (s)</t>
  </si>
  <si>
    <t>Fonti</t>
  </si>
  <si>
    <t>Materiale</t>
  </si>
  <si>
    <t>Energia</t>
  </si>
  <si>
    <t>Trasporto</t>
  </si>
  <si>
    <t>-Riutilizzati-</t>
  </si>
  <si>
    <t>Distanza</t>
  </si>
  <si>
    <t>Altro</t>
  </si>
  <si>
    <t>anni</t>
  </si>
  <si>
    <t xml:space="preserve">Fonti di emissione primarie:
</t>
  </si>
  <si>
    <t>Emissioni totali di GHG</t>
  </si>
  <si>
    <t>Utilizzare il tempo</t>
  </si>
  <si>
    <t>Carico</t>
  </si>
  <si>
    <t>Commenti:</t>
  </si>
  <si>
    <t>Fonti di emissione primarie</t>
  </si>
  <si>
    <t>Fonti di emissioni secondarie</t>
  </si>
  <si>
    <t>Totale</t>
  </si>
  <si>
    <t>Nome del progetto</t>
  </si>
  <si>
    <t>Giro d'affari</t>
  </si>
  <si>
    <t>Acciaio</t>
  </si>
  <si>
    <t>Azienda</t>
  </si>
  <si>
    <t>rapporto per</t>
  </si>
  <si>
    <t>Esternamente le emissioni calcolate aggiunto</t>
  </si>
  <si>
    <t>fattori di emissione aggiunto</t>
  </si>
  <si>
    <t>Confronto foglio (1/2)</t>
  </si>
  <si>
    <t>Confronto foglio (2/2)</t>
  </si>
  <si>
    <t>Incertezze</t>
  </si>
  <si>
    <t>Altri materiali</t>
  </si>
  <si>
    <t>Altre fonti di emissione</t>
  </si>
  <si>
    <t>Selezionare i sottoprogetti e dei progetti che si desidera confrontare</t>
  </si>
  <si>
    <t>Progetti per le emissioni</t>
  </si>
  <si>
    <t>rapporto variabile:</t>
  </si>
  <si>
    <t>Mostra altri</t>
  </si>
  <si>
    <t>emissione</t>
  </si>
  <si>
    <t>Unità funzionali devono essere esattamente uguali</t>
  </si>
  <si>
    <t>Progetti di emissione ripartizioni</t>
  </si>
  <si>
    <t>Fattore di emissione dei dati di base</t>
  </si>
  <si>
    <t>Fattore di emissione nome</t>
  </si>
  <si>
    <t>Acido acrilico</t>
  </si>
  <si>
    <t>Cloruro di calcio</t>
  </si>
  <si>
    <t>Calcare</t>
  </si>
  <si>
    <t>Prodotti chimici inorganici</t>
  </si>
  <si>
    <t>Tubi in PVC</t>
  </si>
  <si>
    <t>Sabbia</t>
  </si>
  <si>
    <t>Carbonato di sodio</t>
  </si>
  <si>
    <t>Lamiere di acciaio</t>
  </si>
  <si>
    <t>Tubi in acciaio</t>
  </si>
  <si>
    <t>Acqua</t>
  </si>
  <si>
    <t>Elettricità</t>
  </si>
  <si>
    <t>Diesel (100% diesel di origine minerale)</t>
  </si>
  <si>
    <t>Gasolio</t>
  </si>
  <si>
    <t>Autobus</t>
  </si>
  <si>
    <t>Treno</t>
  </si>
  <si>
    <t>Macchine</t>
  </si>
  <si>
    <t>Tipo di trasporto</t>
  </si>
  <si>
    <t>Fattore di emissione utilizzato (kgCO2/unit)</t>
  </si>
  <si>
    <t>Fonte</t>
  </si>
  <si>
    <t>EFFC DFI metodologia raccomandata fattori di emissione</t>
  </si>
  <si>
    <t>UK - DEFRA / Uni di Bath</t>
  </si>
  <si>
    <t>Commenti</t>
  </si>
  <si>
    <t>DEFRA% in peso a pieno carico</t>
  </si>
  <si>
    <t>EcoTransIT + AIE</t>
  </si>
  <si>
    <t>DEFRA carico medio (in tonnellate)</t>
  </si>
  <si>
    <t>Dimensione</t>
  </si>
  <si>
    <t>Inserisci il tuo logo qui</t>
  </si>
  <si>
    <t>Il logo deve entrare nella casella bianca</t>
  </si>
  <si>
    <t>Sottoprogetti</t>
  </si>
  <si>
    <t>Progetti</t>
  </si>
  <si>
    <t>Entrambi</t>
  </si>
  <si>
    <t>Tecniche</t>
  </si>
  <si>
    <t>Micropali</t>
  </si>
  <si>
    <t>Paesi</t>
  </si>
  <si>
    <t>--- Paesi europei membri dell'OCSE</t>
  </si>
  <si>
    <t>Belgio</t>
  </si>
  <si>
    <t>Repubblica Ceca</t>
  </si>
  <si>
    <t>Danimarca</t>
  </si>
  <si>
    <t>Germania</t>
  </si>
  <si>
    <t>Ungheria</t>
  </si>
  <si>
    <t>Islanda</t>
  </si>
  <si>
    <t>Lussemburgo</t>
  </si>
  <si>
    <t>Paesi Bassi</t>
  </si>
  <si>
    <t>Norvegia</t>
  </si>
  <si>
    <t>Portogallo</t>
  </si>
  <si>
    <t>Repubblica Slovacca</t>
  </si>
  <si>
    <t>Spagna</t>
  </si>
  <si>
    <t>Svezia</t>
  </si>
  <si>
    <t>Svizzera</t>
  </si>
  <si>
    <t>Turchia</t>
  </si>
  <si>
    <t>Regno Unito</t>
  </si>
  <si>
    <t>Bielorussia</t>
  </si>
  <si>
    <t>Bosnia ed Erzegovina</t>
  </si>
  <si>
    <t>Croazia</t>
  </si>
  <si>
    <t>Cipro</t>
  </si>
  <si>
    <t>Gibilterra</t>
  </si>
  <si>
    <t>Kazakistan</t>
  </si>
  <si>
    <t>Lettonia</t>
  </si>
  <si>
    <t>Ex Repubblica Jugoslava di Macedonia</t>
  </si>
  <si>
    <t>Repubblica di Moldova</t>
  </si>
  <si>
    <t>Federazione Russa</t>
  </si>
  <si>
    <t>Tagikistan</t>
  </si>
  <si>
    <t>Ucraina</t>
  </si>
  <si>
    <t>Messico</t>
  </si>
  <si>
    <t>Stati Uniti</t>
  </si>
  <si>
    <t>Israele</t>
  </si>
  <si>
    <t>Giappone</t>
  </si>
  <si>
    <t>Camerun</t>
  </si>
  <si>
    <t>Costa d'Avorio</t>
  </si>
  <si>
    <t>Egitto</t>
  </si>
  <si>
    <t>Etiopia</t>
  </si>
  <si>
    <t>Libia</t>
  </si>
  <si>
    <t>Marocco</t>
  </si>
  <si>
    <t>Mozambico</t>
  </si>
  <si>
    <t>Sudafrica</t>
  </si>
  <si>
    <t>Rep. Unita della Tanzania</t>
  </si>
  <si>
    <t>Altri paesi dell'Africa</t>
  </si>
  <si>
    <t>Rep. Islamica dell'Iran</t>
  </si>
  <si>
    <t>Giordania</t>
  </si>
  <si>
    <t>Libano</t>
  </si>
  <si>
    <t>Repubblica araba siriana</t>
  </si>
  <si>
    <t>Emirati Arabi Uniti</t>
  </si>
  <si>
    <t>Brasile</t>
  </si>
  <si>
    <t>Costarica</t>
  </si>
  <si>
    <t>Repubblica Dominicana</t>
  </si>
  <si>
    <t>Giamaica</t>
  </si>
  <si>
    <t>Antille Olandesi</t>
  </si>
  <si>
    <t>Perù</t>
  </si>
  <si>
    <t>Trinidad e Tobago</t>
  </si>
  <si>
    <t>Altro America Latina</t>
  </si>
  <si>
    <t>Cambogia</t>
  </si>
  <si>
    <t>Porcellana</t>
  </si>
  <si>
    <t>Taipei cinese</t>
  </si>
  <si>
    <t>RPD di Corea</t>
  </si>
  <si>
    <t>Filippine</t>
  </si>
  <si>
    <t>Thailandia</t>
  </si>
  <si>
    <t>Rail - merci media - elettrica -</t>
  </si>
  <si>
    <t>-Nuovi o riciclati-</t>
  </si>
  <si>
    <t>Impostare le dimensioni</t>
  </si>
  <si>
    <t>Materiali Dettaglio</t>
  </si>
  <si>
    <t>Italiano</t>
  </si>
  <si>
    <t>VERSION</t>
  </si>
  <si>
    <t>Cette outil Excel est un calculateur d'empreinte carbone pour les différentes techniques de fondations profondes.</t>
  </si>
  <si>
    <t>CONTEXTE</t>
  </si>
  <si>
    <t>Il a été développé pour aider les membres EFFC et DFI dans le calcul de l'empreinte carbone de leurs projets, comparer les solutions et valoriser l'innovation technique pour réduire les émissions de GES.</t>
  </si>
  <si>
    <t>Au nom de EFFC DFI, Carbone 4 a développé une méthodologie spécifique et cet outil pour assurer la cohérence et la comparabilité entre les calculs de différentes compagnies</t>
  </si>
  <si>
    <t>Fonctionnalités: calcul de l'empreinte carbone en utilisant des valeurs standards ou spécifiques, comparaisons de projets, construction de projets complexes en ajoutant des techniques simples une à l'autre.</t>
  </si>
  <si>
    <t>1) Veuillez d'abord vérifier que vous disposez la dernière version de l'outil - vérifiersur la page web EFFC correspondante.</t>
  </si>
  <si>
    <t>2) Assurez-vous d'être formé(e) pour utiliser cet outil et comprendre ses capacités et ses limites. Lisez le guide utilisateur et document méthodologique associé.</t>
  </si>
  <si>
    <t>a) Entrez toutes les informations relatives à vos différents projets dans les onglets jaunes. Vous pouvez ajouter, dupliquer ou supprimer autant d'onglets jaunes que vous le souhaitez.</t>
  </si>
  <si>
    <t>Un projet est un ensemble de sous-projets et de projets</t>
  </si>
  <si>
    <t xml:space="preserve">Cellules de couleur: cellules non modifiables </t>
  </si>
  <si>
    <t>Type de feuille de calcul</t>
  </si>
  <si>
    <t>Une feuille sous-projet est une feuille de calcul dans laquelle vous entrez toutes les données d'activité relatives à une technique.</t>
  </si>
  <si>
    <t>Une feuille de projet est une feuille où vous consolidez les feuilles de sous-projets et de projets</t>
  </si>
  <si>
    <t>Première fois sur cet outil? Assurez-vous que votre logo apparaisse sur la page de résultats!</t>
  </si>
  <si>
    <t>Créez ici une feuille de sous-projets</t>
  </si>
  <si>
    <t>Créez ici une feuille de projets</t>
  </si>
  <si>
    <t>Créez ici une feuille de comparaison</t>
  </si>
  <si>
    <t>Laissez vide pour créer un projet vierge</t>
  </si>
  <si>
    <t>Entrées</t>
  </si>
  <si>
    <t>Données d'activité terrain (spécifié par l'utilisateur)</t>
  </si>
  <si>
    <t>Feuilles de sous-projets
Feuilles de projets</t>
  </si>
  <si>
    <t>dupliquer +</t>
  </si>
  <si>
    <t>Jours ouvrés</t>
  </si>
  <si>
    <t>Personnel</t>
  </si>
  <si>
    <t>Chiffre d'affaire</t>
  </si>
  <si>
    <t>Mix Béton / Coulis</t>
  </si>
  <si>
    <t>Teneur totale en ciment</t>
  </si>
  <si>
    <t>Ratio simplifié</t>
  </si>
  <si>
    <t>Electricité de réseau</t>
  </si>
  <si>
    <t>Poids des machines</t>
  </si>
  <si>
    <t>Déchets 2</t>
  </si>
  <si>
    <t>Émissions calculées par ailleurs</t>
  </si>
  <si>
    <t>Pieux forés</t>
  </si>
  <si>
    <t xml:space="preserve">Béton par défaut </t>
  </si>
  <si>
    <t>Valeur par défaut</t>
  </si>
  <si>
    <t>non concerné</t>
  </si>
  <si>
    <t>tous les X jour(s)</t>
  </si>
  <si>
    <t>Matériaux</t>
  </si>
  <si>
    <t>Transport de matériaux</t>
  </si>
  <si>
    <t>Transport de machines</t>
  </si>
  <si>
    <t>Déplacements de personnes</t>
  </si>
  <si>
    <t>Immobilisations</t>
  </si>
  <si>
    <t>fabriqué sur place</t>
  </si>
  <si>
    <t>Veuillez entrer les données des activités relatives aux sources d'émissions primaires</t>
  </si>
  <si>
    <t>Temps d'utilisation</t>
  </si>
  <si>
    <t>Taux de charge</t>
  </si>
  <si>
    <t>Taux de retour à vide</t>
  </si>
  <si>
    <t>jours</t>
  </si>
  <si>
    <t>trajets</t>
  </si>
  <si>
    <t>Sélectionnez les sous-projets et projets que vous souhaitez consolider</t>
  </si>
  <si>
    <t>Vérifiez l'unité</t>
  </si>
  <si>
    <t>Problème d'unité</t>
  </si>
  <si>
    <t>Ratio utilisés</t>
  </si>
  <si>
    <t>Nom de votre entreprise</t>
  </si>
  <si>
    <t>Base de données de facteurs d'émission</t>
  </si>
  <si>
    <t>Ajout d'émissions calculées en dehors de l'outil</t>
  </si>
  <si>
    <t>facteurs d'émission ajoutés</t>
  </si>
  <si>
    <t>Feuille de comparaison (1/2)</t>
  </si>
  <si>
    <t>Feuille de comparaison (2/2)</t>
  </si>
  <si>
    <t>Émissions des sources primaires</t>
  </si>
  <si>
    <t>Émissions des sources secondaires</t>
  </si>
  <si>
    <t>Autres matériaux</t>
  </si>
  <si>
    <t>Emissions par</t>
  </si>
  <si>
    <t>Répartitions des émissions des projets</t>
  </si>
  <si>
    <t>Nom du facteur d'émission</t>
  </si>
  <si>
    <t>Acide acrylique</t>
  </si>
  <si>
    <t>Chlorure de calcium</t>
  </si>
  <si>
    <t>constituant additionnel mineur</t>
  </si>
  <si>
    <t>Tôles d'acier</t>
  </si>
  <si>
    <t>Cables en acier</t>
  </si>
  <si>
    <t>Diesel (100% minéral)</t>
  </si>
  <si>
    <t>Air - Court-courrier international</t>
  </si>
  <si>
    <t>Maritime - Cargo</t>
  </si>
  <si>
    <t>Maritime - Conteneur</t>
  </si>
  <si>
    <t>Rail - Fret moyen - thermique</t>
  </si>
  <si>
    <t>Gazole</t>
  </si>
  <si>
    <t>Fioul</t>
  </si>
  <si>
    <t xml:space="preserve">Taux de recyclage par défaut </t>
  </si>
  <si>
    <t>Taux de charge du fret</t>
  </si>
  <si>
    <t>Données d'activités fret starndard</t>
  </si>
  <si>
    <t>Ne pas modifier la base de données, sauf besoin justifié</t>
  </si>
  <si>
    <t>Contenu en constituant secondaire minimal</t>
  </si>
  <si>
    <t>Contenu en constituant secondaire maximal</t>
  </si>
  <si>
    <t>Distance moyenne (km)</t>
  </si>
  <si>
    <t>Source du facteur d'émission définit par l'utilisateur</t>
  </si>
  <si>
    <t>Type de matériau</t>
  </si>
  <si>
    <t>Facteurs d'émission recommandés par la méthodologie EFFC DFI</t>
  </si>
  <si>
    <t>Facteur 2 non pris en compte</t>
  </si>
  <si>
    <t>DEFRA charge moyenne (en tonnes)</t>
  </si>
  <si>
    <t>Sous-projets</t>
  </si>
  <si>
    <t>Pieux refoulés</t>
  </si>
  <si>
    <t>Parois moulées et de coulis</t>
  </si>
  <si>
    <t>Injections</t>
  </si>
  <si>
    <t>Rail - Fret moyen - électrique -</t>
  </si>
  <si>
    <t>fait à l'usine</t>
  </si>
  <si>
    <t>-Neufs ou recyclés-</t>
  </si>
  <si>
    <t xml:space="preserve">Entrez le nombre de jours ouvrés
</t>
  </si>
  <si>
    <t xml:space="preserve"> les émissions sont relativement élevées
</t>
  </si>
  <si>
    <t>Principes généraux: les sources d'émission sont répartis en deux catégories:
 - Sources d'émissions primaires (représentées en couleurs)
  - Les sources d'émissions secondaires (représentées en gris)
La méthode recommande de commencer par les sources d'émissions primaires, les sources d'émissions secondaires étant automatiquement estimées. Ensuite, vous voudrez peut-être affiner le calcul en utilisant les données d'activité spécifiques également pour les sources d'émissions secondaires.</t>
  </si>
  <si>
    <t>Nouvelle feuille de sous-projet</t>
  </si>
  <si>
    <t>Nouvelle feuille de projet</t>
  </si>
  <si>
    <t>Nouvelle feuille de comparaison</t>
  </si>
  <si>
    <t>Lorsque votre image rentre dans la case blanche, cliquez ici pour importer le logo</t>
  </si>
  <si>
    <t>Emissions des projets</t>
  </si>
  <si>
    <t>WOFÜR IST DAS TOOL?</t>
  </si>
  <si>
    <t>2) Stellen Sie sicher, dass Sie ausreichend geschult wurden, um dieses Tool zu verwenden und seine Möglichkeiten und Grenzen zu verstehen. Lesen Sie die Bedienungsanleitung und die zugehörige Beschreibung der Methodik.</t>
  </si>
  <si>
    <t>Ein Projekt setzt sich aus mehreren Teilprojekten und Projekten zusammen</t>
  </si>
  <si>
    <t>Benutzen Sie dieses Tool zum ersten Mal? Achten Sie darauf, dass Ihr Logo auf der Ergebnisseite erscheint!</t>
  </si>
  <si>
    <t>Laden Ihres eigenen Logos</t>
  </si>
  <si>
    <t>Leer lassen, um ein leeres Projekt zu erstellen</t>
  </si>
  <si>
    <t>Projektspezifische Daten (benutzerdefiniert)</t>
  </si>
  <si>
    <t>Vorhandene Teilprojekte</t>
  </si>
  <si>
    <t>Vorhandene Projekte</t>
  </si>
  <si>
    <t>Duplizierung +</t>
  </si>
  <si>
    <t>Name Teilprojekt</t>
  </si>
  <si>
    <t>Datum der Berechnung</t>
  </si>
  <si>
    <t>Personalstand</t>
  </si>
  <si>
    <t>Funktionale Einheit 1</t>
  </si>
  <si>
    <t>Funktionale Einheit 2</t>
  </si>
  <si>
    <t>Beton / Suspension / Mörtel</t>
  </si>
  <si>
    <t>Summe zementartiger Bestandteile</t>
  </si>
  <si>
    <t>Anteil an Nebenbestandteilen</t>
  </si>
  <si>
    <t>Vereinfachter Anteil</t>
  </si>
  <si>
    <t>Netzstrom</t>
  </si>
  <si>
    <t>Abfallstoff 1</t>
  </si>
  <si>
    <t>Abfallstoff 2</t>
  </si>
  <si>
    <t>Standard-Beton</t>
  </si>
  <si>
    <t>Standard-Wert</t>
  </si>
  <si>
    <t>Standard</t>
  </si>
  <si>
    <t>AUS</t>
  </si>
  <si>
    <t>Vollzeitäquivalent</t>
  </si>
  <si>
    <t>Vermögenswerte</t>
  </si>
  <si>
    <t>vor Ort hergestellt</t>
  </si>
  <si>
    <t>Jahre</t>
  </si>
  <si>
    <t>Gesamte Treibhausgas-Emissionen</t>
  </si>
  <si>
    <t>Ladung</t>
  </si>
  <si>
    <t>Tage</t>
  </si>
  <si>
    <t>Funktionale Einheiten 1 sind nicht gleich</t>
  </si>
  <si>
    <t>Überprüfen Sie die Einheit</t>
  </si>
  <si>
    <t>Funktionale Einheiten 2 sind nicht gleich</t>
  </si>
  <si>
    <t>Weiterer verwendeter Prozentsatz</t>
  </si>
  <si>
    <t>Projekt Emissionen pro</t>
  </si>
  <si>
    <t>Weitere anzeigen</t>
  </si>
  <si>
    <t>Die Funktionalen Einheiten müssen gleich sein</t>
  </si>
  <si>
    <t>Verteilung der Projekt-Emission</t>
  </si>
  <si>
    <t>Emissionsverteilung</t>
  </si>
  <si>
    <t>Emissionsfaktor Name</t>
  </si>
  <si>
    <t>Zuschlagstoff</t>
  </si>
  <si>
    <t>untergeordnete zusätzliche Bestandteile</t>
  </si>
  <si>
    <t>anorganische Chemikalien</t>
  </si>
  <si>
    <t>Diesel (100% mineralischer Diesel)</t>
  </si>
  <si>
    <t>Straße - LKW-Zug &gt; 3,5-7.5t</t>
  </si>
  <si>
    <t>Straße - LKW-Zug &gt; 7,5-17t</t>
  </si>
  <si>
    <t>Straße - LKW-Zug &gt; 17t</t>
  </si>
  <si>
    <t>Straße - Auflieger &gt; 3,5-33t</t>
  </si>
  <si>
    <t>Straße - Auflieger &gt; 33t</t>
  </si>
  <si>
    <t>Flug - Inland</t>
  </si>
  <si>
    <t>Flug - Kurzstrecke international</t>
  </si>
  <si>
    <t>Flug - Langstrecke international</t>
  </si>
  <si>
    <t>Gewicht Fracht</t>
  </si>
  <si>
    <t>Standardwert Frachtdaten</t>
  </si>
  <si>
    <t>Mindestanteil Nebenbestandteile</t>
  </si>
  <si>
    <t xml:space="preserve">verwendete Emissionsfaktoren-Datenbank </t>
  </si>
  <si>
    <t>Maximalanteil Nebenbestandteile</t>
  </si>
  <si>
    <t>durchschnittlicher Anteil Nebenbestandteile</t>
  </si>
  <si>
    <t>Quelle des benutzerdefinierten Emissionsfaktors</t>
  </si>
  <si>
    <t>Faktor 2 wurde nicht berücksichtigt</t>
  </si>
  <si>
    <t>Fügen Sie hier Ihr Logo ein</t>
  </si>
  <si>
    <t>Schlitz- und Dichtwände</t>
  </si>
  <si>
    <t>Injektionen</t>
  </si>
  <si>
    <t>Test EIN</t>
  </si>
  <si>
    <t>Test AUS</t>
  </si>
  <si>
    <t>---OECD Europa</t>
  </si>
  <si>
    <t>--- Nicht-OECD Europa und Eurasien</t>
  </si>
  <si>
    <t>Georgien</t>
  </si>
  <si>
    <t>Mazedonien</t>
  </si>
  <si>
    <t>Moldawien</t>
  </si>
  <si>
    <t>Russische Föderation</t>
  </si>
  <si>
    <t>--- OECD Asien Ozeanien</t>
  </si>
  <si>
    <t>Neuseeland</t>
  </si>
  <si>
    <t>--- Afrika</t>
  </si>
  <si>
    <t>Elfenbeinküste</t>
  </si>
  <si>
    <t xml:space="preserve">Afrika - Andere Länder </t>
  </si>
  <si>
    <t>--- Naher Osten</t>
  </si>
  <si>
    <t>Jordanien</t>
  </si>
  <si>
    <t>Syrien</t>
  </si>
  <si>
    <t>Niederländische Antillen</t>
  </si>
  <si>
    <t>--- Asien</t>
  </si>
  <si>
    <t>Taiwan</t>
  </si>
  <si>
    <t>Asien - Andere Länder</t>
  </si>
  <si>
    <t>Manuell ausgeschaltet</t>
  </si>
  <si>
    <t>neu_recycled_wiederverwendet</t>
  </si>
  <si>
    <t> Emissionen sind vergleichsweise hoch</t>
  </si>
  <si>
    <t>    (Primärquelle)</t>
  </si>
  <si>
    <t>    (Sekundärquelle)</t>
  </si>
  <si>
    <t>Neues Arbeitsblatt: Teilprojekt</t>
  </si>
  <si>
    <t>Laden Sie Ihr Logo</t>
  </si>
  <si>
    <t>Stellen Sie die Größe ein</t>
  </si>
  <si>
    <t>Projekt-Emissionen</t>
  </si>
  <si>
    <t xml:space="preserve">Verteilung der Projekt-Emission </t>
  </si>
  <si>
    <t>Verteilung der Emissionen</t>
  </si>
  <si>
    <t>A project sheet is a results sheet where you  compare and consolidate subproject &amp; projects sheets</t>
  </si>
  <si>
    <t>Micropiles/Minipiles</t>
  </si>
  <si>
    <t>En todas las hojas de trabajo</t>
  </si>
  <si>
    <t>Esta hoja de cálculo Excel es una calculadora de emisiones de carbono para las técnicas de cimentación profundas y proyectos</t>
  </si>
  <si>
    <t>Se ha desarrollado para apoyar a los miembros de EFFC y DFI en el cálculo de la huella de carbono de sus proyectos, comparar soluciones e innovaciones con valor técnico para reducir las emisiones de GEI.</t>
  </si>
  <si>
    <t>En nombre de EFFC DFI, Carbone 4 desarrolló una metodología específica y esta herramienta para garantizar la coherencia y la comparabilidad entre el cálculo de varias empresas</t>
  </si>
  <si>
    <t>Funcionalidades: el cálculo de la huella de carbono utilizando valores estándar o específicos, comparaciones de proyectos, la construcción de proyectos complejos mediante la adición de técnicas simples a otro.</t>
  </si>
  <si>
    <t>1) Por favor, primero asegúrese de que dispone de la última versión de la herramienta - revisa la correspondiente página web de EFFC.</t>
  </si>
  <si>
    <t>a) Introduzca toda la información relativa a sus distintos proyectos en las pestañas amarillas. Usted puede agregar, duplicar o eliminar tantas pestañas amarillas como quiera.</t>
  </si>
  <si>
    <t>Datos de entrada del proyecto (a rellenar por el usuario)</t>
  </si>
  <si>
    <t>celulas coloreadas: células no editables</t>
  </si>
  <si>
    <t>Una hoja de subproyecto es una hoja de cálculo en la que se introducen todos los datos por actividad con respecto a una técnica.</t>
  </si>
  <si>
    <t>Una hoja de proyecto es una hoja de resultados donde se comparan y consolidan las hojas de los subproyectos y proyectos</t>
  </si>
  <si>
    <t>Por primera vez en esta herramienta? Asegúrese de que su logotipo aparece en la página de resultados!</t>
  </si>
  <si>
    <t>Extraer los datos principales en un diseño imprimible</t>
  </si>
  <si>
    <t>Comparar diferentes proyectos o subproyectos</t>
  </si>
  <si>
    <t>Crea aquí tus hojas de subproyectos</t>
  </si>
  <si>
    <t>Cree aquí tus hojas de proyectos</t>
  </si>
  <si>
    <t>Cree aquí una hoja de resultados</t>
  </si>
  <si>
    <t>Cree aquí tus hojas de comparación</t>
  </si>
  <si>
    <t>Datos de actividades de campo (especificados por el usuario)</t>
  </si>
  <si>
    <t>Hojas de Subproyecto
Hojas de proyecto</t>
  </si>
  <si>
    <t>Hojas de Resultados</t>
  </si>
  <si>
    <t>Nombre del subproyecto</t>
  </si>
  <si>
    <t>Importe del Proyecto</t>
  </si>
  <si>
    <t>Equipo 1</t>
  </si>
  <si>
    <t>Equipo 2</t>
  </si>
  <si>
    <t>hormigón / lodos / lechada</t>
  </si>
  <si>
    <t>Total contenido de cemento</t>
  </si>
  <si>
    <t>Adiciones</t>
  </si>
  <si>
    <t>Contenido de adiciones</t>
  </si>
  <si>
    <t>Contenido reciclado</t>
  </si>
  <si>
    <t>Energía eléctrica</t>
  </si>
  <si>
    <t xml:space="preserve">viaja en </t>
  </si>
  <si>
    <t>maquinas pesadas</t>
  </si>
  <si>
    <t>Residuos 2</t>
  </si>
  <si>
    <t>Emisiones calculadas externamente</t>
  </si>
  <si>
    <t>Pilotes</t>
  </si>
  <si>
    <t>Hormigón por defecto</t>
  </si>
  <si>
    <t>no aplica</t>
  </si>
  <si>
    <t>Número de viajes de ida y vuelta</t>
  </si>
  <si>
    <t>viajes de ida y vuelta</t>
  </si>
  <si>
    <t>cadaXdía</t>
  </si>
  <si>
    <t>portes ida/portes vuelta</t>
  </si>
  <si>
    <t>Transporte del personal</t>
  </si>
  <si>
    <t>maquinaria</t>
  </si>
  <si>
    <t>reutilizado</t>
  </si>
  <si>
    <t>fabricado in situ</t>
  </si>
  <si>
    <t>fuentes de emisión primarias</t>
  </si>
  <si>
    <t>tiempo de uso</t>
  </si>
  <si>
    <t>tasa de retorno vacío</t>
  </si>
  <si>
    <t>fuentes de emisión secundarías</t>
  </si>
  <si>
    <t>detalle de los materiales</t>
  </si>
  <si>
    <t>Seleccione los sub-proyectos y proyectos que usted quiere totalizar</t>
  </si>
  <si>
    <t>Los equipos 1 no son los mismos</t>
  </si>
  <si>
    <t>Los equipos 2 no son los mismos</t>
  </si>
  <si>
    <t xml:space="preserve"> factores de emisión definidos por el usuario</t>
  </si>
  <si>
    <t>ratio por</t>
  </si>
  <si>
    <t>Emisiones añadidas calculadas externamente</t>
  </si>
  <si>
    <t>base de datos de factores de emisión</t>
  </si>
  <si>
    <t>factores de emisión añadidos</t>
  </si>
  <si>
    <t>hoja de comparación (1/2)</t>
  </si>
  <si>
    <t>Hoja de comparación (2.2)</t>
  </si>
  <si>
    <t>incertidumbres</t>
  </si>
  <si>
    <t>Seleccione los sub-proyectos y proyectos que desea comparar</t>
  </si>
  <si>
    <t>emisiones de proyectos por</t>
  </si>
  <si>
    <t>ratio variable:</t>
  </si>
  <si>
    <t>Los equipos tienen que ser exactamente los mismos</t>
  </si>
  <si>
    <t>Reparto de las emisiones de los Proyectos</t>
  </si>
  <si>
    <t>Reparto de las emisiones</t>
  </si>
  <si>
    <t>Base de datos de los factores de emisión</t>
  </si>
  <si>
    <t>Nombre del factor de emisión</t>
  </si>
  <si>
    <t>Ácido acrílico</t>
  </si>
  <si>
    <t>componentes minoritarios</t>
  </si>
  <si>
    <t>Carbonato de sodio</t>
  </si>
  <si>
    <t>chapas de acero</t>
  </si>
  <si>
    <t>Barras de acero corrugado</t>
  </si>
  <si>
    <t>Alambre de acero</t>
  </si>
  <si>
    <t>Combustible ligero</t>
  </si>
  <si>
    <t>Combustible pesado</t>
  </si>
  <si>
    <t>Gasóleo (100% Gasóleo mineral)</t>
  </si>
  <si>
    <t>Por carretera - rígido&gt; 3,5 ty 7,5 t</t>
  </si>
  <si>
    <t>Por carretera - rígido&gt; 7,5-17t</t>
  </si>
  <si>
    <t>Por carretera - rígido&gt; 17t</t>
  </si>
  <si>
    <t>Por carretera - Articulado&gt; 3.5-33t</t>
  </si>
  <si>
    <t>Por carretera - Articulado&gt; 33t</t>
  </si>
  <si>
    <t>Aéreo- Nacional</t>
  </si>
  <si>
    <t>Aéreo - internacional de cortadistancia</t>
  </si>
  <si>
    <t>Aéreo- Internacional de larga distancia</t>
  </si>
  <si>
    <t>Marítimo - Contenedor</t>
  </si>
  <si>
    <t>Ferrocarril-Regular de Mercancías - térmico</t>
  </si>
  <si>
    <t>Pasajero de vuelo - Nacional</t>
  </si>
  <si>
    <t>Pasajero de vuelo - Internacional de corta distancia</t>
  </si>
  <si>
    <t>Pasajero de vuelo - Internacional de Larga distancia</t>
  </si>
  <si>
    <t>Contenido de Reciclados por defecto</t>
  </si>
  <si>
    <t>Transporte de mercancías</t>
  </si>
  <si>
    <t>Carga estándar de datos de actividades</t>
  </si>
  <si>
    <t>Carga por defecto</t>
  </si>
  <si>
    <t>Factor de emisión utilizado (kgCO2/unit)</t>
  </si>
  <si>
    <t>Contenido mínimo de adiciones</t>
  </si>
  <si>
    <t>Distancia común (km)</t>
  </si>
  <si>
    <t>Base de datos de Factores de emisión empleada</t>
  </si>
  <si>
    <t>Contenido máximo de adiciones</t>
  </si>
  <si>
    <t>Factor de emisión definido por el usuario  (kgCO2/unit)</t>
  </si>
  <si>
    <t>contenido medio de adiciones</t>
  </si>
  <si>
    <t>Fuente de Factores de emisión defininida por el usuario</t>
  </si>
  <si>
    <t>Metodología de EFFC DFI recomendada para los Factores de emisión</t>
  </si>
  <si>
    <t>hormigón sostenible</t>
  </si>
  <si>
    <t>Transporte ecológico</t>
  </si>
  <si>
    <t>DEFRA% peso cargado</t>
  </si>
  <si>
    <t>Factor 2 no tomado en cuenta en cuenta</t>
  </si>
  <si>
    <t>DEFRA carga media (toneladas)</t>
  </si>
  <si>
    <t>El logotipo tiene que encajar en el cuadro blanco</t>
  </si>
  <si>
    <t>Diafragma y muros pantalla</t>
  </si>
  <si>
    <t>Lechada</t>
  </si>
  <si>
    <t>Paises europeos miembros de la OCDE</t>
  </si>
  <si>
    <t>OCDE Asia-Oceanía</t>
  </si>
  <si>
    <t>África</t>
  </si>
  <si>
    <t>Oriente Medio</t>
  </si>
  <si>
    <t>Latinoamérica</t>
  </si>
  <si>
    <t>Ásia</t>
  </si>
  <si>
    <t xml:space="preserve">Ferrocarril - Mercancía regular-eléctrico - </t>
  </si>
  <si>
    <t>fabricado en planta</t>
  </si>
  <si>
    <t>nuevo_reciclado_reutilizado</t>
  </si>
  <si>
    <t xml:space="preserve">Introduzca el número medio de personas que trabajan en la obra
</t>
  </si>
  <si>
    <t xml:space="preserve"> Las emisiones son relativamente altas
</t>
  </si>
  <si>
    <t xml:space="preserve"> Las emisiones son relativamente bajas
</t>
  </si>
  <si>
    <t>Principios generales: las fuentes de emisión se dividen en dos categorías:
 - Fuentes de emisión Primarias (representadas en colores)
 - Fuentes de emisión secundarias (representadas en gris)
El método recomienda comenzar con las fuentes de emisión primarias, estimando las fuentes de emisión secunudarias. Luego se puede afinar el cálculo utilizando datos específicos de la actividad también para las fuentes de emisión secundarias.</t>
  </si>
  <si>
    <t>Hoja de nuevo Subproyecto</t>
  </si>
  <si>
    <t>Hoja de Nuevo proyecto</t>
  </si>
  <si>
    <t>nueva hoja de comparación</t>
  </si>
  <si>
    <t xml:space="preserve">Nueva hoja de Resultados </t>
  </si>
  <si>
    <t>Cuando su imagen se ajuste al cuadro blanco, haga clic aquí para importar el logo</t>
  </si>
  <si>
    <t>Emisiones de los Proyectos</t>
  </si>
  <si>
    <t>Reparto de las emisiones de los proyectos</t>
  </si>
  <si>
    <t>Reparto de emisiones</t>
  </si>
  <si>
    <t>Versione</t>
  </si>
  <si>
    <t>Come utilizzare questo strumento? ALCUNI SUGGERIMENTI VELOCI</t>
  </si>
  <si>
    <t>Questo foglio di calcolo Excel è un calcolatore di emissioni di  CO2 per progetti e lavori relativi alle fondazioni profonde</t>
  </si>
  <si>
    <t>E 'stato sviluppato per supportare i membri EFFC e DFI per  calcolare quante emissioni di CO2 vengono prodotte nei loro lavori e per confrontare soluzioni e innovazioni tecniche al fine di  ridurre le emissioni di gas serra.</t>
  </si>
  <si>
    <t>Carbone 4, per conto di EFFC DFI, ha sviluppato una metodologia oltre a questo strumento specifico,  per cercare di confrontare in maniera coerente i vari metodi di calcolo creati dalle varie aziende</t>
  </si>
  <si>
    <t>1) Per prima cosa assicurarsi di avere la versione più recente del software - controllare la relativa pagina EFFC .</t>
  </si>
  <si>
    <t>2) Assicurarsi di aver compreso l'uso di questo software e di esser capaci di utilizzarlo, mediante addestramento e comprendendone le potenzialità e limiti. Leggere il manuale d'uso e il relativo documento metodologico.</t>
  </si>
  <si>
    <t>a) Inserire tutte le informazioni relative ai vostri progetti nelle schede gialle. È possibile aggiungere, rimuovere o duplicare il maggior numero di schede gialle che vuoi.</t>
  </si>
  <si>
    <t>b) i dati inseriti in un determinato progetto sono peculiari alle tecnologie utilizzate.</t>
  </si>
  <si>
    <t>Un progetto è un insieme di sottoprogetti e di progetti</t>
  </si>
  <si>
    <t>Celle colorate: celle non modificabili</t>
  </si>
  <si>
    <t>La prima volta su questo strumento? Assicurarsi che il tuo logo appaia sulla pagina dei risultati!</t>
  </si>
  <si>
    <t>Calcolare l'impatto della CO2 di una parte di un progetto</t>
  </si>
  <si>
    <t>ERRORE: '</t>
  </si>
  <si>
    <t>Dato di ingresso</t>
  </si>
  <si>
    <t>Fogli sottoprogetto
Fogli progetto</t>
  </si>
  <si>
    <t>Tabulati (fogli) dei risultati</t>
  </si>
  <si>
    <t>Confronto dei fogli</t>
  </si>
  <si>
    <t>Nome del sottoprogetto</t>
  </si>
  <si>
    <t>Forza lavoro / personale</t>
  </si>
  <si>
    <t>Valore economico del progetto / commessa</t>
  </si>
  <si>
    <t>Contenuto totale di cemento</t>
  </si>
  <si>
    <t>Contenuto del Costituente secondario</t>
  </si>
  <si>
    <t>Contenuto di materiale riciclato</t>
  </si>
  <si>
    <t>che viaggiano  con</t>
  </si>
  <si>
    <t>Peso delle attrezzature</t>
  </si>
  <si>
    <t>Non applicabile</t>
  </si>
  <si>
    <t>valore di default</t>
  </si>
  <si>
    <t>Numero dei viaggi in andata e ritorno</t>
  </si>
  <si>
    <t>Valore reale</t>
  </si>
  <si>
    <t>Mezzi di trasporto del personale</t>
  </si>
  <si>
    <t>Attività-beni?</t>
  </si>
  <si>
    <t>Realizzato sul posto</t>
  </si>
  <si>
    <t xml:space="preserve">    </t>
  </si>
  <si>
    <t>viaggi</t>
  </si>
  <si>
    <t>Dettaglio dei materiali</t>
  </si>
  <si>
    <t>Selezionare i sottoprogetti e i progetti per i quali si desidera calcolare il totale</t>
  </si>
  <si>
    <t>Le unità funzionali 1 non sono uguali</t>
  </si>
  <si>
    <t xml:space="preserve">Controllare l'unità </t>
  </si>
  <si>
    <t>Le unità funzionali 2 non sono uguali</t>
  </si>
  <si>
    <t>Problema con le unità</t>
  </si>
  <si>
    <t>selezionare il vostro progetto o sottoprogetto</t>
  </si>
  <si>
    <t>Fattori di emissione definiti dall'utente</t>
  </si>
  <si>
    <t>Fonti primarie di emissioni</t>
  </si>
  <si>
    <t>Fonti secondarie di emissione</t>
  </si>
  <si>
    <t>Ripartizione delle emissioni relative ai progetti</t>
  </si>
  <si>
    <t>Ripatizione delle emissioni</t>
  </si>
  <si>
    <t>Aggregati</t>
  </si>
  <si>
    <t>Ceneri volanti</t>
  </si>
  <si>
    <t>Componenti aggiuntivi minori</t>
  </si>
  <si>
    <t>Barre di acciaio</t>
  </si>
  <si>
    <t xml:space="preserve"> - riciclato</t>
  </si>
  <si>
    <t>Olio combustibile pesante</t>
  </si>
  <si>
    <t>Automezzi &gt; 3.5-7.5t</t>
  </si>
  <si>
    <t>Automezzi &gt; 7.5-17T</t>
  </si>
  <si>
    <t>Automezzi&gt; 17T</t>
  </si>
  <si>
    <t>Autoarticolato &gt; 3.5-33T</t>
  </si>
  <si>
    <t>Autoarticolato &gt; 33T</t>
  </si>
  <si>
    <t>Aereo (voli nazionali)</t>
  </si>
  <si>
    <t>Aereo (voli continentali)</t>
  </si>
  <si>
    <t>Aereo (voli intercontinentali)</t>
  </si>
  <si>
    <t>Via Mare - Cargo</t>
  </si>
  <si>
    <t>Via Mare - Container</t>
  </si>
  <si>
    <t>Ferrovia</t>
  </si>
  <si>
    <t>Passaggeri aereo - voli nazionali</t>
  </si>
  <si>
    <t>Passaggeri aereo - voli continentali</t>
  </si>
  <si>
    <t>Passeggeri aereo - voli internazionali</t>
  </si>
  <si>
    <t>Tipi di cemento</t>
  </si>
  <si>
    <t>Contenuto predefinito di materiale ricilato</t>
  </si>
  <si>
    <t>Lamiere d'acciaio</t>
  </si>
  <si>
    <t>Carico (peso)</t>
  </si>
  <si>
    <t>Attività standard per il carico (?)</t>
  </si>
  <si>
    <t>Non cambiare il database se non strettamente necessario</t>
  </si>
  <si>
    <t>Carico predefinito</t>
  </si>
  <si>
    <t>Contenuto minimo del costituente secondario</t>
  </si>
  <si>
    <t>Distanza (km)</t>
  </si>
  <si>
    <t>Fattore di emissione utilizzato dal database</t>
  </si>
  <si>
    <t>Contenuto massimo del costituente secondario</t>
  </si>
  <si>
    <t>Fattore di emissione definito dall'utente (kgCO2/unit)</t>
  </si>
  <si>
    <t>Contenuto medio del costituente secondario</t>
  </si>
  <si>
    <t>Fattore di emissione definito dall'utente</t>
  </si>
  <si>
    <t>Tipologia di materiale</t>
  </si>
  <si>
    <t>Grado di incertezza</t>
  </si>
  <si>
    <t>Fattore 2 non si tiene conto (?)</t>
  </si>
  <si>
    <t>FDP (pali a spostamento di terreno)</t>
  </si>
  <si>
    <t>Diaframmi e diaframmi plastici</t>
  </si>
  <si>
    <t>Palancole metalliche</t>
  </si>
  <si>
    <t>Soil mixing</t>
  </si>
  <si>
    <t>-Selezionare il paese del progetto</t>
  </si>
  <si>
    <t>-Paesi OCSE non europei e dell'Eurasia</t>
  </si>
  <si>
    <t>Paesi OECD, Asia e Oceania</t>
  </si>
  <si>
    <t>Nuova Zelanda</t>
  </si>
  <si>
    <t>-Africa</t>
  </si>
  <si>
    <t>-Medio Oriente</t>
  </si>
  <si>
    <t>-America Latina</t>
  </si>
  <si>
    <t>-Asia</t>
  </si>
  <si>
    <t>Altro Asia</t>
  </si>
  <si>
    <t>inserire il numero dei giorni lavorativi</t>
  </si>
  <si>
    <t>Selezionare il paese</t>
  </si>
  <si>
    <t>Le emissioni sono relativamente alte</t>
  </si>
  <si>
    <t>le emissioni sono relativamente basse</t>
  </si>
  <si>
    <t>(fonte prmaria)</t>
  </si>
  <si>
    <t>(fonte secondaria)</t>
  </si>
  <si>
    <t>Principi generali: le fonti di emissione sono suddivise in due categorie:
 - Fonti di emissione primarie (colorate)
  - Fonti di emissione secondarie (in grigio)
Il metodo raccomanda di iniziare con le fonti di emissione primari: le fonti di emissioni secondarie di saranno calcolate automaticamente. Quindi si consiglia di ottimizzare il calcolo utilizzando i dati di attività specifiche a favore anche delle fonti di emissione secondarie.</t>
  </si>
  <si>
    <t>Nuovo foglio di comparazione</t>
  </si>
  <si>
    <t>Foglio con nuovi risultati</t>
  </si>
  <si>
    <t>Quando l'immagine è nel box bianco, clicca per importare il logo</t>
  </si>
  <si>
    <t>Naam deelproject</t>
  </si>
  <si>
    <t>Personeel</t>
  </si>
  <si>
    <t>Beton / slib / Grout mix</t>
  </si>
  <si>
    <t>Secundair bestanddeel</t>
  </si>
  <si>
    <t>Secundair bestanddeel inhoud</t>
  </si>
  <si>
    <t>Gerecyclede inhoud</t>
  </si>
  <si>
    <t>Standaard verhouding</t>
  </si>
  <si>
    <t>Elektriciteit van het net</t>
  </si>
  <si>
    <t>Vervoerstype</t>
  </si>
  <si>
    <t>Gewicht machines</t>
  </si>
  <si>
    <t>Standaard waarde</t>
  </si>
  <si>
    <t>retour transporten</t>
  </si>
  <si>
    <t>Transport personeel</t>
  </si>
  <si>
    <t>Materieel (levensduur)</t>
  </si>
  <si>
    <t>Gemaakt op de bouwplaats (in situ)</t>
  </si>
  <si>
    <t>Voer gegevens in betreffende de primaire emissiebronnen</t>
  </si>
  <si>
    <t xml:space="preserve">Gebruiksduur </t>
  </si>
  <si>
    <t>Lading</t>
  </si>
  <si>
    <t>Tarief lege retour rit</t>
  </si>
  <si>
    <t>transporten</t>
  </si>
  <si>
    <t>Projectnaam</t>
  </si>
  <si>
    <t>Materialen</t>
  </si>
  <si>
    <t>Controleer de eenheid</t>
  </si>
  <si>
    <t>Bedrijf</t>
  </si>
  <si>
    <t>Gebruikte extra percentage</t>
  </si>
  <si>
    <t>Uitstoot primaire bronnen</t>
  </si>
  <si>
    <t>Uitstoot secundaire bronnen</t>
  </si>
  <si>
    <t>Uitstoot projecten per</t>
  </si>
  <si>
    <t>Verhouding uitstoot projecten</t>
  </si>
  <si>
    <t xml:space="preserve">Verhouding uitstoot  </t>
  </si>
  <si>
    <t>Vliegas</t>
  </si>
  <si>
    <t>kleine deeltjes</t>
  </si>
  <si>
    <t xml:space="preserve">Anorganische chemicaliën </t>
  </si>
  <si>
    <t>Weg - Zwaar&gt; 3,5-7.5t</t>
  </si>
  <si>
    <t>Weg - Zwaar&gt; 7,5-17T</t>
  </si>
  <si>
    <t>Weg - Zwaar&gt; 17T</t>
  </si>
  <si>
    <t>Vliegtuig - Binnenland</t>
  </si>
  <si>
    <t>Vliegtuig - Internationale korte afstandsvluchten</t>
  </si>
  <si>
    <t>Vliegtuig - Internationale lange afstandsvluchten</t>
  </si>
  <si>
    <t>Schip - Stukgoed</t>
  </si>
  <si>
    <t>Schip - Container</t>
  </si>
  <si>
    <t>Spoor - Gemiddelde vracht - thermisch</t>
  </si>
  <si>
    <t>Gewicht transport</t>
  </si>
  <si>
    <t>Standaard transport data</t>
  </si>
  <si>
    <t>Standaard lading</t>
  </si>
  <si>
    <t>Gebruikte emissiefactor (kgCO2/unit)</t>
  </si>
  <si>
    <t xml:space="preserve">Minimale inhoud secundair bestanddeel </t>
  </si>
  <si>
    <t>Gemiddelde afstand (km)</t>
  </si>
  <si>
    <t>Gebruikte database emissiefactoren</t>
  </si>
  <si>
    <t xml:space="preserve">Maximale inhoud secundair bestanddeel </t>
  </si>
  <si>
    <t xml:space="preserve">Gemiddelde inhoud secundair bestanddeel </t>
  </si>
  <si>
    <t>Door de gebruiker gedefinieerde bron van de emissiefactor</t>
  </si>
  <si>
    <t>Aanbevolen emissiefactoren vanuit de EFFC DFI methodologie</t>
  </si>
  <si>
    <t>UK - DEFRA / University of Bath</t>
  </si>
  <si>
    <t>DEFRA% gewicht</t>
  </si>
  <si>
    <t>-Selecteer het Land</t>
  </si>
  <si>
    <t>Europa</t>
  </si>
  <si>
    <t>Tsjechie</t>
  </si>
  <si>
    <t xml:space="preserve">Slowakije </t>
  </si>
  <si>
    <t>Niet-OESO-Europa en Eurazië</t>
  </si>
  <si>
    <t>Macedonie (Voormalige Joegoslavische Republiek Macedonië)</t>
  </si>
  <si>
    <t>Moldavië (Republiek Moldavië)</t>
  </si>
  <si>
    <t>Rusland (Russische Federatie)</t>
  </si>
  <si>
    <t>OESO Azië Oceanië</t>
  </si>
  <si>
    <t>AFRIKA</t>
  </si>
  <si>
    <t>Congo (Dem. Rep Congo)</t>
  </si>
  <si>
    <t>Ivoorkust (Côte d'Ivoire)</t>
  </si>
  <si>
    <t>Tanzania (Verenigde Republiek van Tanzania)</t>
  </si>
  <si>
    <t>Iran</t>
  </si>
  <si>
    <t>Syrie</t>
  </si>
  <si>
    <t>Latijns Amerika</t>
  </si>
  <si>
    <t>Latijns-Amerika overig</t>
  </si>
  <si>
    <t>Azie</t>
  </si>
  <si>
    <t>Geprefabriceerd</t>
  </si>
  <si>
    <t>Nieuw of gerecycled</t>
  </si>
  <si>
    <t>Nieuw deelprojectblad</t>
  </si>
  <si>
    <t>Nieuw projectblad</t>
  </si>
  <si>
    <t>Nieuw vergelijkingsblad</t>
  </si>
  <si>
    <t>Nieuw resultatenblad</t>
  </si>
  <si>
    <t>Voeg uw eigen logo toe</t>
  </si>
  <si>
    <t>Stel grootte in</t>
  </si>
  <si>
    <t xml:space="preserve">Uitstoot projecten  </t>
  </si>
  <si>
    <t>Verhouding uitstoot</t>
  </si>
  <si>
    <t>Ander Afrika?</t>
  </si>
  <si>
    <t>--- Midden Oosten?</t>
  </si>
  <si>
    <t>Waar is de tool voor bedoeld?</t>
  </si>
  <si>
    <t xml:space="preserve">Namens EFFC DFI, ontwikkelde Carbone 4 een specifieke methodologie en tool om inzicht te geven in de samenhang en vergelijkbaarheid tussen de verschillende berekeningen van bedrijven </t>
  </si>
  <si>
    <r>
      <t xml:space="preserve">2) Ensure you are trained to use this tool and understand its </t>
    </r>
    <r>
      <rPr>
        <b/>
        <sz val="12"/>
        <color indexed="62"/>
        <rFont val="Arial"/>
        <family val="2"/>
      </rPr>
      <t>capabilities</t>
    </r>
    <r>
      <rPr>
        <sz val="12"/>
        <color indexed="62"/>
        <rFont val="Arial"/>
        <family val="2"/>
      </rPr>
      <t xml:space="preserve"> and limitations. Read the user guide and associated methodological document.</t>
    </r>
  </si>
  <si>
    <r>
      <t xml:space="preserve">b) The input data for a given project are </t>
    </r>
    <r>
      <rPr>
        <b/>
        <sz val="12"/>
        <color indexed="62"/>
        <rFont val="Arial"/>
        <family val="2"/>
      </rPr>
      <t>prioritised</t>
    </r>
    <r>
      <rPr>
        <sz val="12"/>
        <color indexed="62"/>
        <rFont val="Arial"/>
        <family val="2"/>
      </rPr>
      <t xml:space="preserve"> according to the technique used. </t>
    </r>
  </si>
  <si>
    <t>Coloured cells : non editable cells</t>
  </si>
  <si>
    <t>Soort werkblad</t>
  </si>
  <si>
    <t>Een deelprojectblad is het werkblad waarin u alle gegevens over de activiteiten met betrekking tot een techniek invoert</t>
  </si>
  <si>
    <t>Een projectblad is het werkblad waar u deelprojecten &amp; projecten kunt samenvoegen en vergelijken</t>
  </si>
  <si>
    <t>Maak hier uw deelprojectblad aan</t>
  </si>
  <si>
    <t>Maak hier een resultatenblad aan</t>
  </si>
  <si>
    <t>Maak hier uw vergelijkingsblad</t>
  </si>
  <si>
    <t>Voeg hier uw eigen logo toe</t>
  </si>
  <si>
    <t>Laat leeg om een ​nieuw project te maken</t>
  </si>
  <si>
    <t>Resultatenblad</t>
  </si>
  <si>
    <t>Extern berekende emissies</t>
  </si>
  <si>
    <t>Aantal retour transporten</t>
  </si>
  <si>
    <t>Anders</t>
  </si>
  <si>
    <t>toegevoegde emissiefactoren</t>
  </si>
  <si>
    <t>Vergelijkingsblad (1/2)</t>
  </si>
  <si>
    <t>Vergelijkingsblad (2/2)</t>
  </si>
  <si>
    <t>Het logo moet in het witte vlak passen</t>
  </si>
  <si>
    <t>Test AAN</t>
  </si>
  <si>
    <t>Korea (Democratische Volksrepubliek Korea)</t>
  </si>
  <si>
    <t xml:space="preserve">Spoor - Gemiddelde vracht - licht - </t>
  </si>
  <si>
    <t xml:space="preserve">Voer het aantal werkdagen in
</t>
  </si>
  <si>
    <t xml:space="preserve">Voer het gemiddelde aantal mensen in die aan het project werken
</t>
  </si>
  <si>
    <t>Wanneer de afbeelding in het witte vak past, klik dan hier om het logo te importeren</t>
  </si>
  <si>
    <r>
      <t>EFFC DFI CO</t>
    </r>
    <r>
      <rPr>
        <vertAlign val="subscript"/>
        <sz val="12"/>
        <color indexed="62"/>
        <rFont val="Arial"/>
        <family val="2"/>
      </rPr>
      <t>2</t>
    </r>
    <r>
      <rPr>
        <sz val="12"/>
        <color indexed="62"/>
        <rFont val="Arial"/>
        <family val="2"/>
      </rPr>
      <t>-Rechner</t>
    </r>
  </si>
  <si>
    <t>EFFC DFI outil calculateur carbone</t>
  </si>
  <si>
    <t>EFFC DFI Herramienta para el cálculo de la Huella de Carbono EFFC DFI</t>
  </si>
  <si>
    <t>EFFC DFI Carbon Calculator</t>
  </si>
  <si>
    <t>EFFC DFI Project Carbon Calculator</t>
  </si>
  <si>
    <t>EFFC DFI - Calculateur carbone de projets</t>
  </si>
  <si>
    <t>EFFC DFI Proyecto calculadora de carbono</t>
  </si>
  <si>
    <t>European Federation of Foundation Contractor (EFFC)</t>
  </si>
  <si>
    <t>Deep Foundations Institute (DFI)</t>
  </si>
  <si>
    <t>To the fullest extent permissible by law, the EFFC, DFI and the authors of the Spreadsheet each disclaim all responsibility for any damages or losses (including, without limitation, financial loss, damages for loss in business projects, loss of profits or other consequential losses) arising in contract, or otherwise from the use of or inability to use the Calculator, or from any action or decision taken as a result of using the Calculator.</t>
  </si>
  <si>
    <t>Diesel</t>
  </si>
  <si>
    <t>Carbone 4 (the “authors")</t>
  </si>
  <si>
    <t>Activities covered</t>
  </si>
  <si>
    <t>AUTEURSRECHT</t>
  </si>
  <si>
    <t>Deze tool berekent de CO2-uitstoot van funderingstechnieken en -projecten</t>
  </si>
  <si>
    <t>Het is ontwikkeld om de leden van EFFC en DFI te kunnen ondersteunen bij de berekening van de carbon footprint van hun projecten, de vergelijking van oplossingen en het bepalen van de impact van technische innovaties op de reductie van broeikasgassen</t>
  </si>
  <si>
    <t>b) Nadat de toegepaste techniek voor het (deel)project is geselecteerd kunnen de gegevens worden ingevoerd</t>
  </si>
  <si>
    <t>a) Een project is een geheel van deelprojecten en projecten</t>
  </si>
  <si>
    <t xml:space="preserve">   Witte cellen: invoervelden (in te vullen door de gebruiker)</t>
  </si>
  <si>
    <t>Gebruikt u de tool voor het eerst, voeg dan eerst uw logo toe voordat u aan de slag gaat, dan verschijnt het op elk werkblad!</t>
  </si>
  <si>
    <t>Bereken de carbon footprint van een project of een deel daarvan</t>
  </si>
  <si>
    <t>Samenvoegen deelprojecten om de totale uitstoot weer te geven</t>
  </si>
  <si>
    <t>Selecteer een project of deelproject om de resultaten overzichtelijk in 1 A4 weer te kunnen geven</t>
  </si>
  <si>
    <t>Vergelijk verschillende projecten of deelprojecten</t>
  </si>
  <si>
    <t>vul in: prestatie indicator 1</t>
  </si>
  <si>
    <t>vul in: prestatie indicator 2</t>
  </si>
  <si>
    <t>voltijd</t>
  </si>
  <si>
    <t>Waarde</t>
  </si>
  <si>
    <t>Energie (op bouwplaats)</t>
  </si>
  <si>
    <t>Afval (transport)</t>
  </si>
  <si>
    <t>Selecteer de deelprojecten die samen een project vormen</t>
  </si>
  <si>
    <t>Prestatie indicatoren 1 zijn niet dezelfde</t>
  </si>
  <si>
    <t>Prestatie indicatoren 2 zijn niet dezelfde</t>
  </si>
  <si>
    <t>fout in eenheden</t>
  </si>
  <si>
    <t>Uitstoot per</t>
  </si>
  <si>
    <t>Kies gewenste prestatie indicator</t>
  </si>
  <si>
    <t>Prestatie indicatoren moeten wel precies hetzelfde zijn</t>
  </si>
  <si>
    <t>Diesel / lichte stookolie</t>
  </si>
  <si>
    <t>Diesel(olie)</t>
  </si>
  <si>
    <t>Stalen damwand</t>
  </si>
  <si>
    <t>Verander de database niet, tenzij dit expliciet afgesproken is</t>
  </si>
  <si>
    <t>Standaard waarde uitzetten</t>
  </si>
  <si>
    <t>Hoe moet deze tool gebruikt worden? Een paar snelle tips</t>
  </si>
  <si>
    <t>Functionaliteiten: berekenen van de carbon footprint met behulp van standaard of specifieke waarden, vergelijken van projecten en technieken, opbouwen van complexe projecten bestaande uit verschillende technieken</t>
  </si>
  <si>
    <t>1) Zorg er allereerst voor dat u de nieuwste versie van de tool heeft, check daarom eerst de website van EFFC</t>
  </si>
  <si>
    <t>2) Zorg ervoor dat u op de hoogte bent van de mogelijkheden en beperkingen van de tool. Lees daarom de gebruiksaanwijzing en de beschrijving van de achterliggende methode aandachtig door</t>
  </si>
  <si>
    <t>a) Voer alle informatie met betrekking tot uw deelproject(en) in de gele tabs in. U kunt zoveel gele tabs toevoegen, kopiëren of verwijderen  als u wilt</t>
  </si>
  <si>
    <t>Maak hier uw projectenblad aan</t>
  </si>
  <si>
    <t>Gegevens over de activiteiten</t>
  </si>
  <si>
    <t>Deelprojectbladen
Projectbladen</t>
  </si>
  <si>
    <t>Vergelijkingsblad</t>
  </si>
  <si>
    <t>Aan- en afvoer (hulp)materieel</t>
  </si>
  <si>
    <t>Algemene beginselen: de emissiebronnen zijn verdeeld in twee categorieën:
 - Primaire emissiebronnen (vertegenwoordigd in kleuren)
 - Secundaire emissiebronnen (vertegenwoordigd in grijs)
De methode adviseert om te beginnen met de primaire (grootste) emissiebronnen, de secundaire emissie bronnen worden automatisch geschat (standaard). De berekening kan eventueel specifieker gemaakt worden door de exacte gegevens over de activiteiten voor de secundaire emissiebronnen in te vullen.</t>
  </si>
  <si>
    <t>Attivitàcoperte</t>
  </si>
  <si>
    <t>Funzionalità: calcolo delle emissioni di CO2 con l'uso di valori o specifiche standard mediante il confronto e l'esecuzione di lavori, anche complessi, con l'aggiunta ogni volta di semplici tecniche di lavoro.</t>
  </si>
  <si>
    <t>EFFC DFI Progetto del Calcolatore emissioni Co2</t>
  </si>
  <si>
    <t>Una cartella sottoprogetto è un foglio di calcolo in cui inserire tutti i dati di attività riguardanti una tecnica esecutiva / metodologia</t>
  </si>
  <si>
    <t>Una cartella di progetto è un foglio in cui si confrontano i risultati e combinano fogli di sottoprogetti e progetti</t>
  </si>
  <si>
    <t>Data del calcolo</t>
  </si>
  <si>
    <t>Calcestruzzo / fanghi / miscele</t>
  </si>
  <si>
    <t>Valore di defaut del calcestruzzo</t>
  </si>
  <si>
    <t>Installazione/ smobilizzo cantiere</t>
  </si>
  <si>
    <t>Rifiuti</t>
  </si>
  <si>
    <t>Si prega di inserire i dati delle attività relativi alle fonti di emissione primarie</t>
  </si>
  <si>
    <t>Percetuale di vuotorelativa al viaggio di ritorno</t>
  </si>
  <si>
    <t>Maggiori percentuali  utilizzate</t>
  </si>
  <si>
    <t>Nome della azienda</t>
  </si>
  <si>
    <t>Data base dei fattori di emissione</t>
  </si>
  <si>
    <t>Barre d'acciaio per armatura</t>
  </si>
  <si>
    <t>Calcestruzzo eco-sostenibile</t>
  </si>
  <si>
    <t>Iniezioni di consolidamento</t>
  </si>
  <si>
    <t>Trasporto su rotaia</t>
  </si>
  <si>
    <t>Prodotto in stabilimento</t>
  </si>
  <si>
    <t>Spento manualmente</t>
  </si>
  <si>
    <t>inserire il numero medio dei lavoratori previsti</t>
  </si>
  <si>
    <t>Scheda per un nuovo sottoprogetto</t>
  </si>
  <si>
    <t>Scheda per un nuovo progetto</t>
  </si>
  <si>
    <t>Caricare il logo dell'azienda</t>
  </si>
  <si>
    <t>Emissioni di progetto</t>
  </si>
  <si>
    <t>Ripartizione delle emissioni</t>
  </si>
  <si>
    <t>ratio per</t>
  </si>
  <si>
    <t>Feuille de comparaison</t>
  </si>
  <si>
    <t>hoja de comparación</t>
  </si>
  <si>
    <t>Confronto foglio</t>
  </si>
  <si>
    <t>Anchors</t>
  </si>
  <si>
    <t>Soil Nails</t>
  </si>
  <si>
    <t>Dynamic compaction</t>
  </si>
  <si>
    <t>Vibro compaction</t>
  </si>
  <si>
    <t>Jet Grouting</t>
  </si>
  <si>
    <t>Stone Columns</t>
  </si>
  <si>
    <t>Vertical Drains</t>
  </si>
  <si>
    <t>Sheet template</t>
  </si>
  <si>
    <t>Polypropylene</t>
  </si>
  <si>
    <t>EPDM-rubber</t>
  </si>
  <si>
    <t>3) Load your own logo in the tool</t>
  </si>
  <si>
    <t>4) Create one or more new subprojects using the "New Subproject sheet" button located in the HOME worksheet</t>
  </si>
  <si>
    <t>4) Créer un ou plusieurs nouveaux sous-projets à l'aide du bouton "Nouvelle feuille sous-projet" situé dans la feuille de calcul HOME</t>
  </si>
  <si>
    <t>4) Cree uno o más subproyectos nuevos utilizando el boton  "Hoja de nuevo subproyecto" situado en la hoja de cálculo HOME</t>
  </si>
  <si>
    <t>4) Creare uno o più sottoprogetti nuovi utilizzando il "Nuovo foglio di Sottoprogetto" pulsante che si trova nel foglio di lavoro HOME</t>
  </si>
  <si>
    <t>4) Maak een of meer nieuwe deelprojecten aan met behulp van de knop "Nieuw Deelproject"  in het HOME werkblad</t>
  </si>
  <si>
    <t>5) Create one or more new projects using the "New Project sheet" button located in the HOME worksheet</t>
  </si>
  <si>
    <t>5) Créer un ou plusieurs nouveaux projets en utilisant le bouton "Nouvelle feuille Projet" situé dans la feuille de calcul HOME</t>
  </si>
  <si>
    <t>5) Crear uno ó más proyectos nuevos utilizando el botón "Hoja de Nuevo Proyecto" localizado en la hoja INICIO</t>
  </si>
  <si>
    <t>5) Creare uno o più nuovi progetti con il "Nuovo foglio di progetto" con pulsante che si trova nel foglio di lavoro HOME</t>
  </si>
  <si>
    <t>5) Maak een of meer nieuwe projecten aan met behulp van de knop  "Nieuw Project" in het HOME werkblad</t>
  </si>
  <si>
    <t>6) Export the result in a A4 PDF document</t>
  </si>
  <si>
    <t>6) Exporter le résultat dans un document PDF A4</t>
  </si>
  <si>
    <t>6) Exportar el resultado en un documento PDF en A4</t>
  </si>
  <si>
    <t>6) Esportare i risultati in un documento PDF A4</t>
  </si>
  <si>
    <t>6) Exporteer het resultaat in een A4 PDF-document</t>
  </si>
  <si>
    <t>7) Compare different alternatives in the "Comparison" worksheet</t>
  </si>
  <si>
    <t xml:space="preserve">7) Comparer les différentes alternatives dans la feuille de calcul  "Comparison" </t>
  </si>
  <si>
    <t>7) Comparar diferentes alternativas en hoja "comparación"</t>
  </si>
  <si>
    <t>7) Confrontare diverse alternative nel foglio di lavoro "Confronto"</t>
  </si>
  <si>
    <t>7) Vergelijk verschillende alternatieven in het werkblad "Vergelijking"</t>
  </si>
  <si>
    <t>Start</t>
  </si>
  <si>
    <t>ACCEPT</t>
  </si>
  <si>
    <t>Levensduur</t>
  </si>
  <si>
    <t>Vita tecnica</t>
  </si>
  <si>
    <t>tiempo de vida útil</t>
  </si>
  <si>
    <t>Durée de vie</t>
  </si>
  <si>
    <t>Lifetime</t>
  </si>
  <si>
    <t>Lebensdauer</t>
  </si>
  <si>
    <t>Jahr</t>
  </si>
  <si>
    <t>year</t>
  </si>
  <si>
    <t>an</t>
  </si>
  <si>
    <t>anno</t>
  </si>
  <si>
    <t>año</t>
  </si>
  <si>
    <t>EPA</t>
  </si>
  <si>
    <t>US units</t>
  </si>
  <si>
    <t>US - EPA</t>
  </si>
  <si>
    <t>gallon</t>
  </si>
  <si>
    <t>---OECD America</t>
  </si>
  <si>
    <t>AKGD (ASCC Alaska Grid)</t>
  </si>
  <si>
    <t>AKMS (ASCC Miscellaneous)</t>
  </si>
  <si>
    <t>AZNM (WECC Southwest)</t>
  </si>
  <si>
    <t>CAMX (WECC California)</t>
  </si>
  <si>
    <t>ERCT (ERCOT All)</t>
  </si>
  <si>
    <t>FRCC (FRCC All)</t>
  </si>
  <si>
    <t>HIMS (HICC Miscellaneous)</t>
  </si>
  <si>
    <t>HIOA (HICC Oahu)</t>
  </si>
  <si>
    <t>MROE (MRO East)</t>
  </si>
  <si>
    <t>MROW (MRO West)</t>
  </si>
  <si>
    <t>NEWE (NPCC New England)</t>
  </si>
  <si>
    <t>NWPP (WECC Northwest)</t>
  </si>
  <si>
    <t>NYCW (NPCC NYC/Westchester)</t>
  </si>
  <si>
    <t>NYLI (NPCC Long Island)</t>
  </si>
  <si>
    <t>NYUP (NPCC Upstate NY)</t>
  </si>
  <si>
    <t>RFCE (RFC East)</t>
  </si>
  <si>
    <t>RFCM (RFC Michigan)</t>
  </si>
  <si>
    <t>RFCW (RFC West)</t>
  </si>
  <si>
    <t>RMPA (WECC Rockies)</t>
  </si>
  <si>
    <t>SPNO (SPP North)</t>
  </si>
  <si>
    <t>SPSO (SPP South)</t>
  </si>
  <si>
    <t>SRMV (SERC Mississippi Valley)</t>
  </si>
  <si>
    <t>SRMW (SERC Midwest)</t>
  </si>
  <si>
    <t>SRSO (SERC South)</t>
  </si>
  <si>
    <t>SRTV (SERC Tennessee Valley)</t>
  </si>
  <si>
    <t>SRVC (SERC Virginia/Carolina)</t>
  </si>
  <si>
    <t>Rail - Average freight - electric - United Kingdom</t>
  </si>
  <si>
    <t>passenger-mile</t>
  </si>
  <si>
    <t>vehicle-mile</t>
  </si>
  <si>
    <t>ton-mile</t>
  </si>
  <si>
    <t>lb</t>
  </si>
  <si>
    <t>European</t>
  </si>
  <si>
    <t>US</t>
  </si>
  <si>
    <t>mass</t>
  </si>
  <si>
    <t>Selected</t>
  </si>
  <si>
    <t>miles</t>
  </si>
  <si>
    <t>volume</t>
  </si>
  <si>
    <t>yd3</t>
  </si>
  <si>
    <t>kg</t>
  </si>
  <si>
    <t xml:space="preserve"> one way</t>
  </si>
  <si>
    <t xml:space="preserve"> aller</t>
  </si>
  <si>
    <t xml:space="preserve"> de ida</t>
  </si>
  <si>
    <t xml:space="preserve"> solo andata</t>
  </si>
  <si>
    <t xml:space="preserve"> enkele reis</t>
  </si>
  <si>
    <t>Common distance (miles)</t>
  </si>
  <si>
    <t>Average distance</t>
  </si>
  <si>
    <t>Distance moyenne</t>
  </si>
  <si>
    <t>La distancia media</t>
  </si>
  <si>
    <t>Distanza media</t>
  </si>
  <si>
    <t>Gemiddelde afstand</t>
  </si>
  <si>
    <t>Emission breakdown : Average results (based on samples studied to develop the methodology)</t>
  </si>
  <si>
    <t>Conversion factor</t>
  </si>
  <si>
    <t>Road - concrete transportation</t>
  </si>
  <si>
    <t>transportation-vehicule</t>
  </si>
  <si>
    <t>transportation-tonne</t>
  </si>
  <si>
    <t>transportation-passenger</t>
  </si>
  <si>
    <t>Metric system</t>
  </si>
  <si>
    <t>ton</t>
  </si>
  <si>
    <t>Units system</t>
  </si>
  <si>
    <t>the table values are in metric system units</t>
  </si>
  <si>
    <t>Units</t>
  </si>
  <si>
    <t> Disclaimer</t>
  </si>
  <si>
    <t>Sprache</t>
  </si>
  <si>
    <t>Langue</t>
  </si>
  <si>
    <t>Idioma</t>
  </si>
  <si>
    <t>Lingua</t>
  </si>
  <si>
    <t>Taal</t>
  </si>
  <si>
    <t>Répartition des émissions: Résultats moyens (basé sur des échantillons étudiés pour élaborer la méthodologie)</t>
  </si>
  <si>
    <t>Desglose de emisiones: resultados promedio (basados ​​en las muestras estudiadas para desarrollar la metodología)</t>
  </si>
  <si>
    <t>Ripartizione Emissione: risultati medi (basati su campioni studiati per sviluppare la metodologia)</t>
  </si>
  <si>
    <t>Emissie verdeling: Gemiddeld resultaten (gebaseerd op bestudeerd om de methodiek te ontwikkelen monsters)</t>
  </si>
  <si>
    <t>système d'unités</t>
  </si>
  <si>
    <t>Sistema de unidades</t>
  </si>
  <si>
    <t>Sistema di unità</t>
  </si>
  <si>
    <t>Eenheden systeem</t>
  </si>
  <si>
    <t>Système métrique</t>
  </si>
  <si>
    <t>Sistema Métrico</t>
  </si>
  <si>
    <t>Sistema metrico</t>
  </si>
  <si>
    <t>Metrische systeem</t>
  </si>
  <si>
    <t>US-Einheiten</t>
  </si>
  <si>
    <t>Unités américaines</t>
  </si>
  <si>
    <t>Unidades de EE.UU.</t>
  </si>
  <si>
    <t>Unità US</t>
  </si>
  <si>
    <t>Amerikaanse eenheden</t>
  </si>
  <si>
    <t>Road concrete transportation</t>
  </si>
  <si>
    <t>Transport de béton route</t>
  </si>
  <si>
    <t>Transporte por carretera de concreto</t>
  </si>
  <si>
    <t>Trasporto di cemento su strada</t>
  </si>
  <si>
    <t>Wegenbeton vervoer</t>
  </si>
  <si>
    <t>Rapports standard</t>
  </si>
  <si>
    <t>Relaciones estándar</t>
  </si>
  <si>
    <t>Rapporti standard</t>
  </si>
  <si>
    <t>Standaard verhoudingen</t>
  </si>
  <si>
    <t>Unités</t>
  </si>
  <si>
    <t>Unidades</t>
  </si>
  <si>
    <t>Unità</t>
  </si>
  <si>
    <t>Eenheden</t>
  </si>
  <si>
    <t>Masse</t>
  </si>
  <si>
    <t>masse</t>
  </si>
  <si>
    <t>masa</t>
  </si>
  <si>
    <t>massa</t>
  </si>
  <si>
    <t>Volumen</t>
  </si>
  <si>
    <t>le volume</t>
  </si>
  <si>
    <t>volumen</t>
  </si>
  <si>
    <t>Volume</t>
  </si>
  <si>
    <t>Transport-Lastwagen</t>
  </si>
  <si>
    <t>transport-véhicule</t>
  </si>
  <si>
    <t>transporte-vehicule</t>
  </si>
  <si>
    <t>trasporto-macchina che corrispondono</t>
  </si>
  <si>
    <t>transport-vehicule</t>
  </si>
  <si>
    <t>Transport-Tonne</t>
  </si>
  <si>
    <t>transport-tonne</t>
  </si>
  <si>
    <t>el transporte de toneladas</t>
  </si>
  <si>
    <t>trasporto tonnellate</t>
  </si>
  <si>
    <t>transport-ton</t>
  </si>
  <si>
    <t>Transport-Passagier</t>
  </si>
  <si>
    <t>transport-passager</t>
  </si>
  <si>
    <t>el transporte de pasajeros</t>
  </si>
  <si>
    <t>trasporto-passeggeri</t>
  </si>
  <si>
    <t>transport-passagier</t>
  </si>
  <si>
    <t>Taux moyen</t>
  </si>
  <si>
    <t>Relación media</t>
  </si>
  <si>
    <t>Rapporto medio</t>
  </si>
  <si>
    <t>Gemiddelde verhouding</t>
  </si>
  <si>
    <t>Ciment utilisé</t>
  </si>
  <si>
    <t>Cemento utilizado</t>
  </si>
  <si>
    <t>Cemento impiegato</t>
  </si>
  <si>
    <t>Cement gebruikt</t>
  </si>
  <si>
    <t>Européenne</t>
  </si>
  <si>
    <t>Europeo</t>
  </si>
  <si>
    <t>Europese</t>
  </si>
  <si>
    <t>EE.UU.</t>
  </si>
  <si>
    <t>Meilen</t>
  </si>
  <si>
    <t>millas</t>
  </si>
  <si>
    <t>miglia</t>
  </si>
  <si>
    <t>mijlen</t>
  </si>
  <si>
    <t>tonne</t>
  </si>
  <si>
    <t>tonelada</t>
  </si>
  <si>
    <t>Gallone</t>
  </si>
  <si>
    <t>galón</t>
  </si>
  <si>
    <t>gallone</t>
  </si>
  <si>
    <t>Fahrzeug-Meile</t>
  </si>
  <si>
    <t>véhicule-mile</t>
  </si>
  <si>
    <t>vehículo-milla</t>
  </si>
  <si>
    <t>veicolo-chilometro</t>
  </si>
  <si>
    <t>voertuig-mijl</t>
  </si>
  <si>
    <t>Tonnen-Meile</t>
  </si>
  <si>
    <t>tonne-mile</t>
  </si>
  <si>
    <t>ton-milla</t>
  </si>
  <si>
    <t>tonnellata-miglio</t>
  </si>
  <si>
    <t>ton-mijl</t>
  </si>
  <si>
    <t>Passagier-Meile</t>
  </si>
  <si>
    <t>passager-mile</t>
  </si>
  <si>
    <t>pasajeros-millas</t>
  </si>
  <si>
    <t>passeggero-chilometro</t>
  </si>
  <si>
    <t>passagier-mijl</t>
  </si>
  <si>
    <t>Ausgewählt</t>
  </si>
  <si>
    <t>Sélectionné</t>
  </si>
  <si>
    <t>Seleccionado</t>
  </si>
  <si>
    <t>Gekozen</t>
  </si>
  <si>
    <t>Distance commune (miles)</t>
  </si>
  <si>
    <t>Distancia Común (millas)</t>
  </si>
  <si>
    <t>Distanza comune (miglia)</t>
  </si>
  <si>
    <t>Gemeenschappelijke afstand (mijlen)</t>
  </si>
  <si>
    <t>Umrechnungsfaktor</t>
  </si>
  <si>
    <t>Facteur de conversion</t>
  </si>
  <si>
    <t>Factor de conversión</t>
  </si>
  <si>
    <t>Fattore di conversione</t>
  </si>
  <si>
    <t>Omrekeningsfactor</t>
  </si>
  <si>
    <t>Maximales Verhältnis</t>
  </si>
  <si>
    <t>Rapport maximal</t>
  </si>
  <si>
    <t>Relación máxima</t>
  </si>
  <si>
    <t>Massimo rapporto</t>
  </si>
  <si>
    <t>Maximale verhouding</t>
  </si>
  <si>
    <t>EE.UU. - EPA</t>
  </si>
  <si>
    <t>USA - EPA</t>
  </si>
  <si>
    <t>les valeurs du tableau sont exprimées en unités du système métrique</t>
  </si>
  <si>
    <t>los valores de la tabla están en unidades del sistema métrico</t>
  </si>
  <si>
    <t>i valori della tabella sono espressi in unità del sistema metrico</t>
  </si>
  <si>
    <t>de tabel waarden in metrische systeem eenheden</t>
  </si>
  <si>
    <t>Ratio minimum</t>
  </si>
  <si>
    <t>Proporción mínima</t>
  </si>
  <si>
    <t>Rapporto minimo</t>
  </si>
  <si>
    <t>Minimale verhouding</t>
  </si>
  <si>
    <t>Primaire (1) / Secoundary (2) sources</t>
  </si>
  <si>
    <t>Primaria (1) / Secoundary (2) fuentes</t>
  </si>
  <si>
    <t>Primario (1) / Secoundary (2) fonti</t>
  </si>
  <si>
    <t>Primaire (1) / Secoundary (2) bronnen</t>
  </si>
  <si>
    <t>The Calculator has been designed without liability with the intention of assisting in the calculation of the carbon footprint of foundation projects.</t>
  </si>
  <si>
    <t>Le calculateur a été conçu sans responsabilité avec l'intention d'aider dans le calcul de l'empreinte carbone des projets de la fondation.</t>
  </si>
  <si>
    <t>La calculadora ha sido diseñado sin responsabilidad con la intención de ayudar en el cálculo de la huella de carbono de proyectos de la fundación.</t>
  </si>
  <si>
    <t>Il calcolatore è stato progettato senza responsabilità con l'intento di assistere nel calcolo dell'impronta di carbonio dei progetti della fondazione.</t>
  </si>
  <si>
    <t>De Calculator is ontworpen zonder aansprakelijkheid met de bedoeling om te helpen bij het berekenen van de carbon footprint van de stichting projecten.</t>
  </si>
  <si>
    <t>Fédération Européenne de la Fondation entrepreneur (EFFC)</t>
  </si>
  <si>
    <t>Federación Europea de la Fundación de Contratistas (EFFC)</t>
  </si>
  <si>
    <t>Federazione Europea di Fondazione Impresa (EFFC)</t>
  </si>
  <si>
    <t>Europese Federatie van Stichting Aannemer (EFFC)</t>
  </si>
  <si>
    <t>Fondations profondes Institute (DFI)</t>
  </si>
  <si>
    <t>Cimentaciones profundas Institute (DFI)</t>
  </si>
  <si>
    <t>Fondazioni profonde Institute (DFI)</t>
  </si>
  <si>
    <t>Deep Foundations Instituut (DFI)</t>
  </si>
  <si>
    <t>Carbone 4 (die "Autoren")</t>
  </si>
  <si>
    <t>Carbone 4 (les «auteurs»)</t>
  </si>
  <si>
    <t>Carbone 4 (los "autores")</t>
  </si>
  <si>
    <t>Carbone 4 (gli "autori")</t>
  </si>
  <si>
    <t>Carbone 4 (de "auteurs")</t>
  </si>
  <si>
    <t>Carbon Calculator for Foundations (the “Calculator”)</t>
  </si>
  <si>
    <t>calculateur de carbone pour les fondations (la "Calculatrice")</t>
  </si>
  <si>
    <t>Calculadora de carbono de Fundaciones (la "calculadora")</t>
  </si>
  <si>
    <t>Calcolatrice del carbonio per le Fondazioni (la "Calcolatrice")</t>
  </si>
  <si>
    <t>Carbon Calculator voor stichtingen (de "Rekenmachine")</t>
  </si>
  <si>
    <t>Haftungsausschluss</t>
  </si>
  <si>
    <t>Disclaimer</t>
  </si>
  <si>
    <t>Renuncia</t>
  </si>
  <si>
    <t>Esonero di responsabilità</t>
  </si>
  <si>
    <t>Ontkenning</t>
  </si>
  <si>
    <t>3) Chargez votre propre logo dans l'outil</t>
  </si>
  <si>
    <t>3) Cargue su propio logotipo en la herramienta</t>
  </si>
  <si>
    <t>3) Laad uw eigen logo in het gereedschap</t>
  </si>
  <si>
    <t>3) Carica il logo della tua azienda nel programma</t>
  </si>
  <si>
    <t>Gomme - EPDM</t>
  </si>
  <si>
    <t>Tiranti di ancoraggio</t>
  </si>
  <si>
    <t>Chiodature</t>
  </si>
  <si>
    <t>Compattazione dinamica</t>
  </si>
  <si>
    <t>Vibro-compattazione</t>
  </si>
  <si>
    <t>Vibro sostituzione (Colonne di pietra)</t>
  </si>
  <si>
    <t>Dreni Verticali</t>
  </si>
  <si>
    <t>Inizio</t>
  </si>
  <si>
    <t>ACCETTARE</t>
  </si>
  <si>
    <t>Starten</t>
  </si>
  <si>
    <t>Démarrer</t>
  </si>
  <si>
    <t>Iniciar</t>
  </si>
  <si>
    <t>ACCEPTER</t>
  </si>
  <si>
    <t>ACEPTAR</t>
  </si>
  <si>
    <t>EPDM-Kautschuk</t>
  </si>
  <si>
    <t>EPDM-caoutchouc</t>
  </si>
  <si>
    <t>Caucho EPDM</t>
  </si>
  <si>
    <t>Polypropylen</t>
  </si>
  <si>
    <t>Polypropylène</t>
  </si>
  <si>
    <t>Polipropileno</t>
  </si>
  <si>
    <t>Polypropyleen</t>
  </si>
  <si>
    <t>EFFC DFI Disclaimer</t>
  </si>
  <si>
    <t>Whilst we have taken steps to check the accuracy of the Calculator and its database, the EFFC, DFI and the authors of the Calculator do not give any warranty, guarantee, representation or other assurance as to:  the operation, quality or functionality of the Calculator; the accuracy or completeness of the Calculator; or its fitness for any particular purpose.</t>
  </si>
  <si>
    <t>Bien que nous ayons pris des mesures pour vérifier l'exactitude de la calculatrice et sa base de données, le EFFC, DFI et les auteurs de la calculatrice ne donnent aucune garantie, garantie, représentation ou tout autre garantie quant à: l'exploitation, la qualité ou la fonctionnalité de la calculatrice , l'exactitude ou l'exhaustivité de la calculatrice, ou son adéquation à un usage particulier.</t>
  </si>
  <si>
    <t>Si bien hemos dado pasos para comprobar la exactitud de la calculadora y de su base de datos, la EFFC, DFI y los autores de la calculadora no dan ninguna garantía, garantía, manifestación o garantía en cuanto a: el funcionamiento, la calidad o la funcionalidad de la calculadora , la precisión o integridad de la calculadora, o su idoneidad para un propósito particular.</t>
  </si>
  <si>
    <t>Anche se abbiamo preso provvedimenti per verificare l'esattezza della calcolatrice e il suo database, il EFFC, DFI e del calcolatore gli autori non danno alcuna garanzia, garanzia o altra garanzia circa: il funzionamento, la qualità o la funzionalità del calcolatore , l'accuratezza o la completezza del calcolatore, o la sua idoneità per uno scopo particolare.</t>
  </si>
  <si>
    <t>De werking, kwaliteit of functionaliteit van de Calculator: terwijl we stappen om de juistheid van de rekenmachine en de database te controleren hebben genomen, hoeft de EFFC, DFI en de auteurs van de Calculator geen enkele garantie, belofte, verklaring of andere zekerheid te geven , de juistheid of volledigheid van de rekenmachine, of haar geschiktheid voor een bepaald doel.</t>
  </si>
  <si>
    <t>Dans toute la mesure permise par la loi, le EFFC, DFI et les auteurs de la feuille de calcul à chaque déclinons toute responsabilité pour tout dommage ou perte (y compris, sans limitation, les pertes financières, les dommages pour perte dans des projets d'affaires, la perte de profits ou d'autres pertes indirectes ) découlant du contrat ou autrement de l'utilisation ou de l'impossibilité d'utiliser la calculatrice, ou de toute action ou décision prise à la suite de l'utilisation de la calculatrice.</t>
  </si>
  <si>
    <t>En la máxima medida permitida por la ley, el EFFC, DFI y los autores de la hoja de cálculo de cada uno, declinamos toda responsabilidad por los daños o pérdidas (incluyendo, sin limitación, pérdidas financieras, daños por pérdidas de proyectos empresariales, la pérdida de beneficios u otras pérdidas consecuentes ) que surjan por contrato, o de otro tipo por el uso o la imposibilidad de usar la calculadora, ni de ninguna acción o decisión tomada como resultado del uso de la calculadora.</t>
  </si>
  <si>
    <t>Nella misura massima consentita dalla legge, il EFFC, DFI e gli autori del foglio di calcolo ogni Decliniamo ogni responsabilità per eventuali perdite o danni (inclusi, senza limitazioni, perdite finanziarie, danni per perdita di progetti di business, perdita di profitti o altri danni indiretti ) derivanti dal contratto, o altrimenti dall'uso o dall'impossibilità di utilizzare la calcolatrice, o da qualsiasi azione o decisione presa in seguito utilizzando la calcolatrice.</t>
  </si>
  <si>
    <t>Voor zover toegestaan ​​door de wet, het EFFC, DFI en de auteurs van de Spreadsheet elke wijzen alle verantwoordelijkheid voor enige schade of verlies (inclusief, zonder beperking, financieel verlies, schade voor verlies van zakelijke projecten, winstderving of andere gevolgschade ) door contract of anderszins uit het gebruik van of het onvermogen om de rekenmachine te gebruiken, of van enige actie of genomen als gevolg van het gebruik van de rekenmachine beslissing.</t>
  </si>
  <si>
    <t>Activités couvertes</t>
  </si>
  <si>
    <t>Las actividades cubiertas</t>
  </si>
  <si>
    <t>Activiteiten die vallen</t>
  </si>
  <si>
    <t>Yes</t>
  </si>
  <si>
    <t>No</t>
  </si>
  <si>
    <t>Non</t>
  </si>
  <si>
    <t>Geen</t>
  </si>
  <si>
    <t>Ja</t>
  </si>
  <si>
    <t>Oui</t>
  </si>
  <si>
    <t>Sí</t>
  </si>
  <si>
    <t>Sì</t>
  </si>
  <si>
    <t>Carboxymethyl cellulose</t>
  </si>
  <si>
    <t>Synthetic polymer slurry</t>
  </si>
  <si>
    <t>Cellulose-based polymer slurry</t>
  </si>
  <si>
    <t>Pile walls</t>
  </si>
  <si>
    <t>Einheitensystem</t>
  </si>
  <si>
    <t>Metrisches System</t>
  </si>
  <si>
    <t>Transportbeton</t>
  </si>
  <si>
    <t>Standard-Werte</t>
  </si>
  <si>
    <t>Einheiten</t>
  </si>
  <si>
    <t>Durchschnittliches Verhältnis</t>
  </si>
  <si>
    <t>verwendeter Zement</t>
  </si>
  <si>
    <t>Europäisch</t>
  </si>
  <si>
    <t>Pfund</t>
  </si>
  <si>
    <t>Tonnen</t>
  </si>
  <si>
    <t>Gemeinsame Entfernung (Meilen)</t>
  </si>
  <si>
    <t>Minimales Verhältnis</t>
  </si>
  <si>
    <t>Primäre (1) / Sekundäre (2) Quellen</t>
  </si>
  <si>
    <t>European Federation of Foundation Contractos (EFFC)</t>
  </si>
  <si>
    <t>ANNEHMEN</t>
  </si>
  <si>
    <t>Rüttelstopfverdichtung</t>
  </si>
  <si>
    <t>Pfahlwände</t>
  </si>
  <si>
    <t>Anker</t>
  </si>
  <si>
    <t>Bodennägel</t>
  </si>
  <si>
    <t>Dynamische Intensivverdichtung</t>
  </si>
  <si>
    <t>Rütteldruckverdichtung</t>
  </si>
  <si>
    <t>Nein</t>
  </si>
  <si>
    <t>3) Laden Sie Ihr eigenes Logo in das Tool</t>
  </si>
  <si>
    <t>Gravas</t>
  </si>
  <si>
    <r>
      <t>kgCO</t>
    </r>
    <r>
      <rPr>
        <vertAlign val="subscript"/>
        <sz val="12"/>
        <color indexed="62"/>
        <rFont val="Arial"/>
        <family val="2"/>
      </rPr>
      <t>2</t>
    </r>
    <r>
      <rPr>
        <sz val="12"/>
        <color indexed="62"/>
        <rFont val="Arial"/>
        <family val="2"/>
      </rPr>
      <t>e /</t>
    </r>
    <r>
      <rPr>
        <sz val="12"/>
        <color indexed="62"/>
        <rFont val="Arial"/>
        <family val="2"/>
      </rPr>
      <t xml:space="preserve"> </t>
    </r>
  </si>
  <si>
    <r>
      <t>gCO</t>
    </r>
    <r>
      <rPr>
        <vertAlign val="subscript"/>
        <sz val="12"/>
        <color indexed="62"/>
        <rFont val="Arial"/>
        <family val="2"/>
      </rPr>
      <t>2</t>
    </r>
    <r>
      <rPr>
        <sz val="12"/>
        <color indexed="62"/>
        <rFont val="Arial"/>
        <family val="2"/>
      </rPr>
      <t>e /</t>
    </r>
    <r>
      <rPr>
        <sz val="12"/>
        <color indexed="62"/>
        <rFont val="Arial"/>
        <family val="2"/>
      </rPr>
      <t xml:space="preserve"> </t>
    </r>
  </si>
  <si>
    <t>Granulats</t>
  </si>
  <si>
    <t>http://www.geotechnicalcarboncalculator.com/</t>
  </si>
  <si>
    <t>Vergleichs-Blatt</t>
  </si>
  <si>
    <t>Vergleichs-Blatt (1/2)</t>
  </si>
  <si>
    <t>Vergleichs-Blatt (2/2)</t>
  </si>
  <si>
    <t xml:space="preserve">Emissionen aus Primärquellen </t>
  </si>
  <si>
    <t xml:space="preserve">Emissionen aus Sekundärquellen </t>
  </si>
  <si>
    <t>Andere Stoffe</t>
  </si>
  <si>
    <t>Wählen Sie die zu vergleichende Teilprojekte und Projekte aus</t>
  </si>
  <si>
    <t>Carboxymethylzellulose</t>
  </si>
  <si>
    <t>Hüttensand</t>
  </si>
  <si>
    <t>Bewehrungsstahl</t>
  </si>
  <si>
    <t>Poplymerlösungen</t>
  </si>
  <si>
    <t>Zellulosebasierte Polymerlösung</t>
  </si>
  <si>
    <t>Luftfracht - Inland</t>
  </si>
  <si>
    <t>Luftfracht - Kurzstrecke international</t>
  </si>
  <si>
    <t>Luftfracht - Langstrecke international</t>
  </si>
  <si>
    <t>Seefracht - Stückgut</t>
  </si>
  <si>
    <t>Seefracht - Container</t>
  </si>
  <si>
    <t>Bahn - dieselbetrieben - durchschnittliche Fracht</t>
  </si>
  <si>
    <t>Gerät</t>
  </si>
  <si>
    <t>Standard-wert Recycling-anteil</t>
  </si>
  <si>
    <t>Profilstahl</t>
  </si>
  <si>
    <t>Ändern Sie nicht die Datenbank, wenn nicht wirklich benötigt</t>
  </si>
  <si>
    <t>Fzkm</t>
  </si>
  <si>
    <t>Pkm</t>
  </si>
  <si>
    <t>Standardladung</t>
  </si>
  <si>
    <t>Frachtart</t>
  </si>
  <si>
    <t>Stoffart</t>
  </si>
  <si>
    <t>EFFC DFI-empfohlener Emissionsfaktor für diese Methodik</t>
  </si>
  <si>
    <t>DEFRA mittlere Auslastung (Tonnen)</t>
  </si>
  <si>
    <t>Logo in das weiße Feld einpassen</t>
  </si>
  <si>
    <t>Verfahren</t>
  </si>
  <si>
    <t>Verdrängunspfähle</t>
  </si>
  <si>
    <t>Düsenstrahlverfahren</t>
  </si>
  <si>
    <t>Vertikaldräns</t>
  </si>
  <si>
    <t>-Wählen Sie das Projektland</t>
  </si>
  <si>
    <t>Slowakei</t>
  </si>
  <si>
    <t>Bosnien-Herzegowina</t>
  </si>
  <si>
    <t>---OECD Amerika</t>
  </si>
  <si>
    <t>Gabun</t>
  </si>
  <si>
    <t>Libyen</t>
  </si>
  <si>
    <t>Mosambik</t>
  </si>
  <si>
    <t>Tansania</t>
  </si>
  <si>
    <t>Simbabwe</t>
  </si>
  <si>
    <t>--- Lateinamerika</t>
  </si>
  <si>
    <t>Lateinamerika - Andere Länder</t>
  </si>
  <si>
    <t>Brunei</t>
  </si>
  <si>
    <t>Volksrepublik Korea</t>
  </si>
  <si>
    <t>Bahnfracht - elektrisch -</t>
  </si>
  <si>
    <t>Mittlere Bahnfracht - elektrisch</t>
  </si>
  <si>
    <t>Werksfertigung</t>
  </si>
  <si>
    <t>-Neu oder gebraucht-</t>
  </si>
  <si>
    <t xml:space="preserve">Geben Sie die Zahl der Arbeitstage ein
</t>
  </si>
  <si>
    <t>Geben Sie die mittlere Zahl der in diesem Projekt Beschäftigten an</t>
  </si>
  <si>
    <t> Emissionen sind vergleichsweise niedrig</t>
  </si>
  <si>
    <t>Grundlegende Prinzipien: Die Emissionsquellen sind in zwei Kategorien aufgeteilt:
 - Primär-Emissionsquellen (dargestellt in Farben)
 - Sekundär-Emissionsquellen (dargestellt in grau)
Es wird empfohlen, mit den primären Emissionsquellen anzufangen, die sekundären Emissionsquellen werden automatisch abgeschätzt. Dann können Sie die Berechnung durch eine detaillierte Eingabe der sekundären Emissionsquellen noch präzisieren.</t>
  </si>
  <si>
    <t>Neues Blatt: Projekt</t>
  </si>
  <si>
    <t>Neues Blatt "Vergleich"</t>
  </si>
  <si>
    <t>Neues Blatt "Ergebnisse"</t>
  </si>
  <si>
    <t>Wenn Ihr Bild in das weiße Feld passt, Logo importieren durch Mausklick hier</t>
  </si>
  <si>
    <t>Stoffe: Details</t>
  </si>
  <si>
    <t>Aufschlüsselung der Emissionen: Mittlere Ergebnisse (aufbauend auf zur Entwicklung der Methodik untersuchten Projekten)</t>
  </si>
  <si>
    <t>Tabellenwerte sind in metrischen Einheiten gegeben</t>
  </si>
  <si>
    <t>EFFC DFI-Haftungsausschluss</t>
  </si>
  <si>
    <t>Der Rechner wurde ohne Gewähr entwickelt, mit dem Ziel, eine Berechnung der CO2-Bilanz von Spezialtiefbauprojekten zu unterstützen.</t>
  </si>
  <si>
    <t>Carbon Calculator für den Spezialtiefbau (der "Rechner")</t>
  </si>
  <si>
    <t>Obwohl wir Schritte unternommen haben, um die Genauigkeit des Rechners und der Datenbank zu prüfen, geben die EFFC, DFI und die Autoren des Rechners keine Garantie, Gewährleistung oder Zusicherung hinsichtlich des Betriebs, der Qualität oder Funktionalität des Rechners, der Genauigkeit oder Vollständigkeit des Rechners oder der Eignung für bestimmte Zwecke.</t>
  </si>
  <si>
    <t>Die EFFC, DFI und die Autoren des Rechners übernehmen bis zum äußersten gesetzlich zulässigen Umfang keine Haftung für Schäden oder Verluste (einschließlich unbegrenzter finanzieller Verluste, Schäden durch Verluste bei Projekten, entgangene Gewinne und andere Folgeschäden), die vertraglich oder anderweitig aus dem Gebrauch oder Fehlgebrauch des Rechners entstehen oder aus jeder Maßnahme oder Entscheidung, die aufgrund der Nutzung des Rechners getroffen wird.</t>
  </si>
  <si>
    <t>verwendeter Emissions-faktor (kgCO2/ Einheit)</t>
  </si>
  <si>
    <t>Benutzerdefinierter Emissionsfaktor (kgCO2/Einheit)</t>
  </si>
  <si>
    <t>VERSIONSNUMMER</t>
  </si>
  <si>
    <t>Urheberrecht bei</t>
  </si>
  <si>
    <t>WIE VERWENDET MAN DAS TOOL? EINE KURZREFERENZ</t>
  </si>
  <si>
    <t>Umfasste Arbeiten</t>
  </si>
  <si>
    <t>Farbschema</t>
  </si>
  <si>
    <t>In allen Blättern</t>
  </si>
  <si>
    <t>Im Auftrag der EFFC DFI hat Carbone 4 eine spezifische Methodik sowie dieses Tool entwickelt, um Kohärenz und Vergleichbarkeit zwischen den Berechnungen verschiedener Unternehmen zu gewährleisten.</t>
  </si>
  <si>
    <t>1) Bitte überprüfen Sie zuerst auf der entsprechenden EFFC-Homepage, ob Sie die neueste Version des Tools haben.</t>
  </si>
  <si>
    <t>4) Erstellen Sie ein oder mehrere neue Teilprojekte mit dem "Neues Teilprojekt-Blatt"-Schalter des HOME-Arbeitsblattes.</t>
  </si>
  <si>
    <t>a) Geben Sie alle Informationen zu Ihren Projekte in die gelben Zellen ein. Sie können gelbe Zellen beliebig hinzufügen, kopieren oder löschen.</t>
  </si>
  <si>
    <t>b) Die Eingabedaten für ein gegebenes Projekt werden entsprechend dem angewandten Verfahren priorisiert.</t>
  </si>
  <si>
    <t>5) Erstellen Sie ein oder mehrere neue Projekte mit dem "Neues Projekt-Blatt"-Schalter des HOME-Arbeitsblattes.</t>
  </si>
  <si>
    <t>6) Exportieren Sie das Ergebnis in ein A4-PDF-Dokument</t>
  </si>
  <si>
    <t>7) Vergleichen Sie Alternativen mit dem Arbeitsblatt "Vergleich"</t>
  </si>
  <si>
    <t>   Projekt-Eingabedaten (vom Benutzer auszufüllen)</t>
  </si>
  <si>
    <t>Art des Arbeitsblatts</t>
  </si>
  <si>
    <t>Ein Teilprojekt-Arbeitsblatt ist ein Arbeitsblatt, in dem Sie alle Daten eines Verfahrens eingeben.</t>
  </si>
  <si>
    <t>Ein Projekt-Blatt ist ein Arbeitsblatt, um Ergebnisse von Teilprojekten und Projekten zu vergleichen und zusammenzuführen.</t>
  </si>
  <si>
    <t>Anzahl an Blättern</t>
  </si>
  <si>
    <t>Erstellen einer Druckvorlage für die Hauptdaten</t>
  </si>
  <si>
    <t>Vergleich verschiedener Projekte oder Teilprojekte</t>
  </si>
  <si>
    <t>Erstellen Sie hier Ihr Teilprojekt-Arbeitsblatt</t>
  </si>
  <si>
    <t>Erstellen Sie hier Ihr Projekt-Blatt</t>
  </si>
  <si>
    <t>Erstellen Sie hier eine Ergebnis-Blatt</t>
  </si>
  <si>
    <t>Erstellen Sie hier Ihr Vergleichs-Blatt</t>
  </si>
  <si>
    <t>Teilprojekt-Arbeitsblätter
Projekt-Blätter</t>
  </si>
  <si>
    <t>Ergebnis-Blätter</t>
  </si>
  <si>
    <t>Vergleichs-Blätter</t>
  </si>
  <si>
    <t>Nebenbestandteile</t>
  </si>
  <si>
    <t>Recycling-Anteil</t>
  </si>
  <si>
    <t>aus</t>
  </si>
  <si>
    <t>Gerätegewicht</t>
  </si>
  <si>
    <t>von Dritten berechnete Emissionen</t>
  </si>
  <si>
    <t>unzutreffend</t>
  </si>
  <si>
    <t>Anzahl der Umläufe</t>
  </si>
  <si>
    <t>Umläufe</t>
  </si>
  <si>
    <t>alle X Tag(e)</t>
  </si>
  <si>
    <t>Stoffe</t>
  </si>
  <si>
    <t>BE/BR</t>
  </si>
  <si>
    <t>Personaltransport</t>
  </si>
  <si>
    <t>Abfälle</t>
  </si>
  <si>
    <t>-wird verwertet-</t>
  </si>
  <si>
    <t>Entfernung</t>
  </si>
  <si>
    <t>Mittlere Entfernung</t>
  </si>
  <si>
    <t xml:space="preserve"> je Richtung</t>
  </si>
  <si>
    <t>Sonstige</t>
  </si>
  <si>
    <t>Bitte geben Sie die Daten der primären Emissionsquellen ein</t>
  </si>
  <si>
    <t>Betriebsdauer</t>
  </si>
  <si>
    <t>Anteil leerer Rückfahrten</t>
  </si>
  <si>
    <t>Details Stoffe</t>
  </si>
  <si>
    <t>Wählen Sie die zu addierenden Teilprojekte und Projekte aus</t>
  </si>
  <si>
    <t>Problem mit Einheiten</t>
  </si>
  <si>
    <t>Verhältnis je</t>
  </si>
  <si>
    <t>Extern berechnete Emissionen ergänzt</t>
  </si>
  <si>
    <t>Emissionsfaktoren-Datenbank</t>
  </si>
  <si>
    <t>ergänzte Emissionsfaktoren</t>
  </si>
  <si>
    <t>Dieses Excel-Tool ist ein CO2-Emissionsrechner für Verfahren und Projekte des Spezialtiefbaus.</t>
  </si>
  <si>
    <t>Es wurde entwickelt, um EFFC- und DFI-Mitglieder bei der CO2-Bilanzierung ihrer Projekte zu unterstützen und um Varianten und Innovationen zur Verringerung der Treibhausgasemissionen zu vergleichen.</t>
  </si>
  <si>
    <t>Funktionalitäten: Berechnung der CO2-Bilanz mit Standard- oder spezifischen Werten, Vergleich von Projekten, Berechnung von komplexen Projekten durch Addition der einzelnen Verfahren.</t>
  </si>
  <si>
    <t>EFFC DFI Projekt-CO2-Rechner</t>
  </si>
  <si>
    <t>Berechnung der CO2-Bilanz eines Teilprojekts</t>
  </si>
  <si>
    <t>Ecoinvent v3.1</t>
  </si>
  <si>
    <t>Niger</t>
  </si>
  <si>
    <t>South Sudan</t>
  </si>
  <si>
    <t>Paraguay</t>
  </si>
  <si>
    <t>J'ai pris les valeurs Without RF car proches des anciennes</t>
  </si>
  <si>
    <t>avearage laden</t>
  </si>
  <si>
    <t>Sylvain Borie</t>
  </si>
  <si>
    <t>sylvain.borie@carbone4.com</t>
  </si>
  <si>
    <t>v4.0</t>
  </si>
  <si>
    <t>ICE V3</t>
  </si>
  <si>
    <t>Defra 2019 (v1.3)</t>
  </si>
  <si>
    <t>Base carbone (v18.1)</t>
  </si>
  <si>
    <t>CO2 emissions for electricity 2017</t>
  </si>
  <si>
    <t>Electricity - Austria</t>
  </si>
  <si>
    <t>Electricity - Belgium</t>
  </si>
  <si>
    <t>Electricity - Czech Republic</t>
  </si>
  <si>
    <t>Electricity - Denmark</t>
  </si>
  <si>
    <t>Electricity - Estonia</t>
  </si>
  <si>
    <t>Electricity - Finland</t>
  </si>
  <si>
    <t>Electricity - France</t>
  </si>
  <si>
    <t>Electricity - Germany</t>
  </si>
  <si>
    <t>Electricity - Greece</t>
  </si>
  <si>
    <t>Electricity - Hungary</t>
  </si>
  <si>
    <t>Electricity - Iceland</t>
  </si>
  <si>
    <t>Electricity - Ireland</t>
  </si>
  <si>
    <t>Electricity - Italy</t>
  </si>
  <si>
    <t>Electricity - Luxembourg</t>
  </si>
  <si>
    <t>Electricity - Netherlands</t>
  </si>
  <si>
    <t>Electricity - Norway</t>
  </si>
  <si>
    <t>Electricity - Poland</t>
  </si>
  <si>
    <t>Electricity - Portugal</t>
  </si>
  <si>
    <t>Electricity - Slovak Republic</t>
  </si>
  <si>
    <t>Electricity - Slovenia</t>
  </si>
  <si>
    <t>Electricity - Spain</t>
  </si>
  <si>
    <t>Electricity - Sweden</t>
  </si>
  <si>
    <t>Electricity - Switzerland</t>
  </si>
  <si>
    <t>Electricity - Turkey</t>
  </si>
  <si>
    <t>Electricity - United Kingdom</t>
  </si>
  <si>
    <t>Electricity - Albania</t>
  </si>
  <si>
    <t>Electricity - Armenia</t>
  </si>
  <si>
    <t>Electricity - Azerbaijan</t>
  </si>
  <si>
    <t>Electricity - Belarus</t>
  </si>
  <si>
    <t>Electricity - Bosnia and Herzegovina</t>
  </si>
  <si>
    <t>Electricity - Bulgaria</t>
  </si>
  <si>
    <t>Electricity - Croatia</t>
  </si>
  <si>
    <t>Electricity - Cyprus</t>
  </si>
  <si>
    <t>Electricity - Georgia</t>
  </si>
  <si>
    <t>Electricity - Gibraltar</t>
  </si>
  <si>
    <t>Electricity - Kazakhstan</t>
  </si>
  <si>
    <t>Electricity - Kyrgyzstan</t>
  </si>
  <si>
    <t>Electricity - Latvia</t>
  </si>
  <si>
    <t>Electricity - Lithuania</t>
  </si>
  <si>
    <t>Electricity - Macedonia</t>
  </si>
  <si>
    <t>Electricity - Malta</t>
  </si>
  <si>
    <t>Electricity - Republic of Moldova</t>
  </si>
  <si>
    <t>Electricity - Romania</t>
  </si>
  <si>
    <t>Electricity - Russian Federation</t>
  </si>
  <si>
    <t>Electricity - Serbia</t>
  </si>
  <si>
    <t>Electricity - Tajikistan</t>
  </si>
  <si>
    <t>Electricity - Turkmenistan</t>
  </si>
  <si>
    <t>Electricity - Ukraine</t>
  </si>
  <si>
    <t>Electricity - Uzbekistan</t>
  </si>
  <si>
    <t>Electricity - Canada</t>
  </si>
  <si>
    <t>Electricity - Chile</t>
  </si>
  <si>
    <t>Electricity - Mexico</t>
  </si>
  <si>
    <t>Electricity - United States</t>
  </si>
  <si>
    <t>Electricity - Australia</t>
  </si>
  <si>
    <t>Electricity - Israel</t>
  </si>
  <si>
    <t>Electricity - Japan</t>
  </si>
  <si>
    <t>Electricity - Korea</t>
  </si>
  <si>
    <t>Electricity - New Zealand</t>
  </si>
  <si>
    <t>Electricity - Algeria</t>
  </si>
  <si>
    <t>Electricity - Angola</t>
  </si>
  <si>
    <t>Electricity - Benin</t>
  </si>
  <si>
    <t>Electricity - Botswana</t>
  </si>
  <si>
    <t>Electricity - Cameroon</t>
  </si>
  <si>
    <t>Electricity - Congo</t>
  </si>
  <si>
    <t>Electricity - Democratic Republic of the Congo</t>
  </si>
  <si>
    <t>Electricity - Côte d'Ivoire</t>
  </si>
  <si>
    <t>Electricity - Egypt</t>
  </si>
  <si>
    <t>Electricity - Eritrea</t>
  </si>
  <si>
    <t>Electricity - Ethiopia</t>
  </si>
  <si>
    <t>Electricity - Gabon</t>
  </si>
  <si>
    <t>Electricity - Ghana</t>
  </si>
  <si>
    <t>Electricity - Kenya</t>
  </si>
  <si>
    <t>Electricity - Libya</t>
  </si>
  <si>
    <t>Electricity - Morocco</t>
  </si>
  <si>
    <t>Electricity - Mozambique</t>
  </si>
  <si>
    <t>Electricity - Namibia</t>
  </si>
  <si>
    <t>Electricity - Niger</t>
  </si>
  <si>
    <t>Electricity - Nigeria</t>
  </si>
  <si>
    <t>Electricity - Senegal</t>
  </si>
  <si>
    <t>Electricity - South Africa</t>
  </si>
  <si>
    <t>Electricity - Sudan</t>
  </si>
  <si>
    <t>Electricity - United Rep. of Tanzania</t>
  </si>
  <si>
    <t>Electricity - Togo</t>
  </si>
  <si>
    <t>Electricity - Tunisia</t>
  </si>
  <si>
    <t>Electricity - Zambia</t>
  </si>
  <si>
    <t>Electricity - Zimbabwe</t>
  </si>
  <si>
    <t>Electricity - Bahrain</t>
  </si>
  <si>
    <t>Electricity - Iran</t>
  </si>
  <si>
    <t>Electricity - Iraq</t>
  </si>
  <si>
    <t>Electricity - Jordan</t>
  </si>
  <si>
    <t>Electricity - Kuwait</t>
  </si>
  <si>
    <t>Electricity - Lebanon</t>
  </si>
  <si>
    <t>Electricity - Oman</t>
  </si>
  <si>
    <t>Electricity - Qatar</t>
  </si>
  <si>
    <t>Electricity - Saudi Arabia</t>
  </si>
  <si>
    <t>Electricity - Syrian Arab Republic</t>
  </si>
  <si>
    <t>Electricity - United Arab Emirates</t>
  </si>
  <si>
    <t>Electricity - Yemen</t>
  </si>
  <si>
    <t>Electricity - Argentina</t>
  </si>
  <si>
    <t>Electricity - Bolivia</t>
  </si>
  <si>
    <t>Electricity - Brazil</t>
  </si>
  <si>
    <t>Electricity - Colombia</t>
  </si>
  <si>
    <t>Electricity - Costa Rica</t>
  </si>
  <si>
    <t>Electricity - Cuba</t>
  </si>
  <si>
    <t>Electricity - Dominican Republic</t>
  </si>
  <si>
    <t>Electricity - Ecuador</t>
  </si>
  <si>
    <t>Electricity - El Salvador</t>
  </si>
  <si>
    <t>Electricity - Guatemala</t>
  </si>
  <si>
    <t>Electricity - Haiti</t>
  </si>
  <si>
    <t>Electricity - Honduras</t>
  </si>
  <si>
    <t>Electricity - Jamaica</t>
  </si>
  <si>
    <t>Electricity - Nicaragua</t>
  </si>
  <si>
    <t>Electricity - Panama</t>
  </si>
  <si>
    <t>Electricity - Paraguay</t>
  </si>
  <si>
    <t>Electricity - Peru</t>
  </si>
  <si>
    <t>Electricity - Trinidad and Tobago</t>
  </si>
  <si>
    <t>Electricity - Uruguay</t>
  </si>
  <si>
    <t>Electricity - Venezuela</t>
  </si>
  <si>
    <t>Electricity - Bangladesh</t>
  </si>
  <si>
    <t>Electricity - Brunei Darussalam</t>
  </si>
  <si>
    <t>Electricity - Cambodia</t>
  </si>
  <si>
    <t>Electricity - People's Rep. of China</t>
  </si>
  <si>
    <t>Electricity - Chinese Taipei</t>
  </si>
  <si>
    <t>Electricity - India</t>
  </si>
  <si>
    <t>Electricity - Indonesia</t>
  </si>
  <si>
    <t>Electricity - DPR of Korea</t>
  </si>
  <si>
    <t>Electricity - Malaysia</t>
  </si>
  <si>
    <t>Electricity - Mongolia</t>
  </si>
  <si>
    <t>Electricity - Myanmar</t>
  </si>
  <si>
    <t>Electricity - Nepal</t>
  </si>
  <si>
    <t>Electricity - Pakistan</t>
  </si>
  <si>
    <t>Electricity - Philippines</t>
  </si>
  <si>
    <t>Electricity - Singapore</t>
  </si>
  <si>
    <t>Electricity - Sri Lanka</t>
  </si>
  <si>
    <t>Electricity - Thailand</t>
  </si>
  <si>
    <t>Electricity - Viet Nam</t>
  </si>
  <si>
    <t>CO2 emissions for electricity 2017 including losses&amp;WTT</t>
  </si>
  <si>
    <t>US Average</t>
  </si>
  <si>
    <t>Dewatering</t>
  </si>
  <si>
    <t>Project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</si>
</sst>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4" formatCode="_-* #,##0.00\ &quot;€&quot;_-;\-* #,##0.00\ &quot;€&quot;_-;_-* &quot;-&quot;??\ &quot;€&quot;_-;_-@_-"/>
    <numFmt numFmtId="164" formatCode="_-* #,##0.00\ _€_-;\-* #,##0.00\ _€_-;_-* &quot;-&quot;??\ _€_-;_-@_-"/>
    <numFmt numFmtId="165" formatCode="#,##0.000"/>
    <numFmt numFmtId="166" formatCode="0.0%"/>
    <numFmt numFmtId="167" formatCode="#,##0\ &quot;tCO2e&quot;"/>
    <numFmt numFmtId="168" formatCode="d\ mmmm\ yyyy"/>
    <numFmt numFmtId="169" formatCode="[$-409]mmmm\ d\,\ yyyy;@"/>
    <numFmt numFmtId="170" formatCode="_(* #,##0.00_);_(* \(#,##0.00\);_(* &quot;-&quot;??_);_(@_)"/>
    <numFmt numFmtId="171" formatCode="mmmm\ d\,\ yyyy"/>
    <numFmt numFmtId="172" formatCode="#,##0.0"/>
    <numFmt numFmtId="173" formatCode="#,###,##0"/>
    <numFmt numFmtId="174" formatCode="_ * #,##0.00_)_F_ ;_ * \(#,##0.00\)_F_ ;_ * &quot;-&quot;??_)_F_ ;_ @_ "/>
    <numFmt numFmtId="175" formatCode="#,##0\ &quot;F&quot;;\-#,##0\ &quot;F&quot;"/>
    <numFmt numFmtId="176" formatCode="#,##0.0000"/>
    <numFmt numFmtId="177" formatCode="[$€-2]\ #,##0.0"/>
    <numFmt numFmtId="178" formatCode="[$€-2]\ #,##0.00"/>
    <numFmt numFmtId="179" formatCode="[$€-2]\ #,##0"/>
    <numFmt numFmtId="180" formatCode="#,##0.0\ &quot;F&quot;"/>
    <numFmt numFmtId="181" formatCode="#,##0.00\ &quot;F&quot;"/>
    <numFmt numFmtId="182" formatCode="#,##0\ &quot;F&quot;"/>
    <numFmt numFmtId="183" formatCode="_ * #,##0_)&quot;F&quot;_ ;_ * \(#,##0\)&quot;F&quot;_ ;_ * &quot;-&quot;_)&quot;F&quot;_ ;_ @_ "/>
    <numFmt numFmtId="184" formatCode="_ * #,##0.00_)&quot;F&quot;_ ;_ * \(#,##0.00\)&quot;F&quot;_ ;_ * &quot;-&quot;??_)&quot;F&quot;_ ;_ @_ "/>
    <numFmt numFmtId="185" formatCode="0.000"/>
    <numFmt numFmtId="186" formatCode="0.0"/>
    <numFmt numFmtId="187" formatCode="??0.0?"/>
  </numFmts>
  <fonts count="116">
    <font>
      <sz val="12"/>
      <color theme="1"/>
      <name val="Arial"/>
      <family val="2"/>
      <scheme val="minor"/>
    </font>
    <font>
      <sz val="12"/>
      <color indexed="62"/>
      <name val="Arial"/>
      <family val="2"/>
    </font>
    <font>
      <sz val="11"/>
      <color indexed="56"/>
      <name val="Arial"/>
      <family val="2"/>
    </font>
    <font>
      <sz val="10"/>
      <name val="Verdana"/>
      <family val="2"/>
    </font>
    <font>
      <sz val="14"/>
      <color indexed="8"/>
      <name val="Helv"/>
      <family val="2"/>
    </font>
    <font>
      <b/>
      <sz val="18"/>
      <color indexed="9"/>
      <name val="Verdana"/>
      <family val="2"/>
    </font>
    <font>
      <sz val="12"/>
      <color indexed="8"/>
      <name val="Verdana"/>
      <family val="2"/>
    </font>
    <font>
      <sz val="12"/>
      <name val="Verdana"/>
      <family val="2"/>
    </font>
    <font>
      <b/>
      <sz val="12"/>
      <color indexed="8"/>
      <name val="Verdana"/>
      <family val="2"/>
    </font>
    <font>
      <u/>
      <sz val="10"/>
      <color indexed="12"/>
      <name val="Verdana"/>
      <family val="2"/>
    </font>
    <font>
      <u/>
      <sz val="12"/>
      <color indexed="12"/>
      <name val="Verdana"/>
      <family val="2"/>
    </font>
    <font>
      <sz val="12"/>
      <name val="Arial"/>
      <family val="2"/>
    </font>
    <font>
      <b/>
      <sz val="12"/>
      <name val="Arial"/>
      <family val="2"/>
    </font>
    <font>
      <i/>
      <sz val="12"/>
      <name val="Arial"/>
      <family val="2"/>
    </font>
    <font>
      <sz val="11"/>
      <color indexed="8"/>
      <name val="Arial"/>
      <family val="2"/>
    </font>
    <font>
      <sz val="8"/>
      <name val="Arial"/>
      <family val="2"/>
    </font>
    <font>
      <sz val="10"/>
      <name val="Arial"/>
      <family val="2"/>
    </font>
    <font>
      <sz val="10"/>
      <color indexed="23"/>
      <name val="Courier New"/>
      <family val="3"/>
    </font>
    <font>
      <sz val="10"/>
      <name val="Courier New"/>
      <family val="3"/>
    </font>
    <font>
      <b/>
      <sz val="10"/>
      <color indexed="9"/>
      <name val="Arial"/>
      <family val="2"/>
    </font>
    <font>
      <b/>
      <sz val="10"/>
      <name val="Courier New"/>
      <family val="3"/>
    </font>
    <font>
      <sz val="8"/>
      <name val="Courier New"/>
      <family val="3"/>
    </font>
    <font>
      <b/>
      <i/>
      <sz val="10"/>
      <color indexed="60"/>
      <name val="Courier New"/>
      <family val="3"/>
    </font>
    <font>
      <i/>
      <sz val="10"/>
      <color indexed="12"/>
      <name val="Courier New"/>
      <family val="3"/>
    </font>
    <font>
      <b/>
      <sz val="11"/>
      <name val="Times New Roman"/>
      <family val="1"/>
    </font>
    <font>
      <b/>
      <sz val="10"/>
      <name val="Times New Roman"/>
      <family val="1"/>
    </font>
    <font>
      <sz val="9"/>
      <name val="Geneva"/>
      <family val="2"/>
    </font>
    <font>
      <b/>
      <sz val="18"/>
      <name val="Arial"/>
      <family val="2"/>
    </font>
    <font>
      <u/>
      <sz val="9"/>
      <color indexed="12"/>
      <name val="Geneva"/>
      <family val="2"/>
    </font>
    <font>
      <sz val="10"/>
      <color indexed="8"/>
      <name val="Arial"/>
      <family val="2"/>
    </font>
    <font>
      <b/>
      <sz val="8"/>
      <color indexed="8"/>
      <name val="Arial"/>
      <family val="2"/>
    </font>
    <font>
      <b/>
      <u/>
      <sz val="8"/>
      <color indexed="8"/>
      <name val="Arial"/>
      <family val="2"/>
    </font>
    <font>
      <i/>
      <u/>
      <sz val="8"/>
      <color indexed="8"/>
      <name val="Arial"/>
      <family val="2"/>
    </font>
    <font>
      <sz val="12"/>
      <color indexed="56"/>
      <name val="Calibri"/>
      <family val="2"/>
    </font>
    <font>
      <sz val="9"/>
      <name val="Verdana"/>
      <family val="2"/>
    </font>
    <font>
      <sz val="10"/>
      <color indexed="21"/>
      <name val="Courier New"/>
      <family val="3"/>
    </font>
    <font>
      <sz val="10"/>
      <color indexed="17"/>
      <name val="Courier New"/>
      <family val="3"/>
    </font>
    <font>
      <i/>
      <sz val="9"/>
      <color indexed="60"/>
      <name val="Verdana"/>
      <family val="2"/>
    </font>
    <font>
      <sz val="9"/>
      <color indexed="32"/>
      <name val="Verdana"/>
      <family val="2"/>
    </font>
    <font>
      <sz val="9"/>
      <color indexed="12"/>
      <name val="Verdana"/>
      <family val="2"/>
    </font>
    <font>
      <b/>
      <sz val="9"/>
      <name val="Verdana"/>
      <family val="2"/>
    </font>
    <font>
      <b/>
      <sz val="10"/>
      <color indexed="21"/>
      <name val="Courier New"/>
      <family val="3"/>
    </font>
    <font>
      <b/>
      <sz val="10"/>
      <color indexed="17"/>
      <name val="Courier New"/>
      <family val="3"/>
    </font>
    <font>
      <b/>
      <i/>
      <sz val="9"/>
      <color indexed="60"/>
      <name val="Verdana"/>
      <family val="2"/>
    </font>
    <font>
      <b/>
      <sz val="9"/>
      <color indexed="32"/>
      <name val="Verdana"/>
      <family val="2"/>
    </font>
    <font>
      <b/>
      <sz val="9"/>
      <color indexed="12"/>
      <name val="Verdana"/>
      <family val="2"/>
    </font>
    <font>
      <b/>
      <sz val="10"/>
      <name val="Arial"/>
      <family val="2"/>
    </font>
    <font>
      <b/>
      <sz val="9"/>
      <name val="Arial"/>
      <family val="2"/>
    </font>
    <font>
      <sz val="10"/>
      <color indexed="27"/>
      <name val="Arial"/>
      <family val="2"/>
    </font>
    <font>
      <i/>
      <sz val="10"/>
      <name val="Arial"/>
      <family val="2"/>
    </font>
    <font>
      <sz val="10"/>
      <color indexed="42"/>
      <name val="Arial"/>
      <family val="2"/>
    </font>
    <font>
      <b/>
      <sz val="18"/>
      <color indexed="62"/>
      <name val="Cambria"/>
      <family val="2"/>
    </font>
    <font>
      <b/>
      <sz val="12"/>
      <color indexed="8"/>
      <name val="Arial"/>
      <family val="2"/>
    </font>
    <font>
      <b/>
      <i/>
      <sz val="12"/>
      <color indexed="8"/>
      <name val="Arial"/>
      <family val="2"/>
    </font>
    <font>
      <b/>
      <sz val="11"/>
      <color indexed="9"/>
      <name val="Calibri"/>
      <family val="2"/>
    </font>
    <font>
      <b/>
      <sz val="8"/>
      <name val="Arial"/>
      <family val="2"/>
    </font>
    <font>
      <i/>
      <sz val="8"/>
      <name val="Arial"/>
      <family val="2"/>
    </font>
    <font>
      <sz val="8"/>
      <name val="Arial"/>
      <family val="2"/>
    </font>
    <font>
      <b/>
      <sz val="12"/>
      <color indexed="62"/>
      <name val="Arial"/>
      <family val="2"/>
    </font>
    <font>
      <b/>
      <sz val="18"/>
      <color indexed="50"/>
      <name val="Arial"/>
      <family val="2"/>
    </font>
    <font>
      <sz val="12"/>
      <color indexed="50"/>
      <name val="Arial"/>
      <family val="2"/>
    </font>
    <font>
      <b/>
      <sz val="8"/>
      <color indexed="81"/>
      <name val="Tahoma"/>
      <family val="2"/>
    </font>
    <font>
      <sz val="8"/>
      <color indexed="81"/>
      <name val="Tahoma"/>
      <family val="2"/>
    </font>
    <font>
      <vertAlign val="subscript"/>
      <sz val="12"/>
      <color indexed="62"/>
      <name val="Arial"/>
      <family val="2"/>
    </font>
    <font>
      <sz val="10"/>
      <name val="Geneva"/>
      <family val="2"/>
    </font>
    <font>
      <sz val="8"/>
      <name val="Arial"/>
      <family val="2"/>
    </font>
    <font>
      <sz val="8"/>
      <name val="Arial"/>
      <family val="2"/>
    </font>
    <font>
      <sz val="12"/>
      <color theme="1"/>
      <name val="Arial"/>
      <family val="2"/>
      <scheme val="minor"/>
    </font>
    <font>
      <sz val="12"/>
      <color theme="0"/>
      <name val="Arial"/>
      <family val="2"/>
      <scheme val="minor"/>
    </font>
    <font>
      <sz val="12"/>
      <color rgb="FFFF0000"/>
      <name val="Arial"/>
      <family val="2"/>
      <scheme val="minor"/>
    </font>
    <font>
      <u/>
      <sz val="12"/>
      <color indexed="14"/>
      <name val="Arial"/>
      <family val="2"/>
      <scheme val="minor"/>
    </font>
    <font>
      <sz val="11"/>
      <color theme="1"/>
      <name val="Arial"/>
      <family val="2"/>
    </font>
    <font>
      <b/>
      <sz val="12"/>
      <color theme="1"/>
      <name val="Arial"/>
      <family val="2"/>
      <scheme val="minor"/>
    </font>
    <font>
      <b/>
      <sz val="12"/>
      <color theme="0"/>
      <name val="Arial"/>
      <family val="2"/>
      <scheme val="minor"/>
    </font>
    <font>
      <sz val="16"/>
      <color theme="1"/>
      <name val="Arial"/>
      <family val="2"/>
      <scheme val="minor"/>
    </font>
    <font>
      <sz val="12"/>
      <color theme="1"/>
      <name val="Arial"/>
      <family val="2"/>
    </font>
    <font>
      <b/>
      <sz val="12"/>
      <color theme="1"/>
      <name val="Arial"/>
      <family val="2"/>
    </font>
    <font>
      <sz val="14"/>
      <color theme="1"/>
      <name val="Arial"/>
      <family val="2"/>
      <scheme val="minor"/>
    </font>
    <font>
      <b/>
      <sz val="14"/>
      <color theme="1"/>
      <name val="Arial"/>
      <family val="2"/>
      <scheme val="minor"/>
    </font>
    <font>
      <b/>
      <sz val="18"/>
      <color theme="1"/>
      <name val="Arial"/>
      <family val="2"/>
      <scheme val="minor"/>
    </font>
    <font>
      <i/>
      <sz val="12"/>
      <color theme="1"/>
      <name val="Arial"/>
      <family val="2"/>
    </font>
    <font>
      <b/>
      <sz val="10"/>
      <color theme="1"/>
      <name val="Arial"/>
      <family val="2"/>
      <scheme val="minor"/>
    </font>
    <font>
      <sz val="16"/>
      <color theme="0"/>
      <name val="Arial"/>
      <family val="2"/>
      <scheme val="minor"/>
    </font>
    <font>
      <sz val="12"/>
      <color rgb="FF18509E"/>
      <name val="Arial"/>
      <family val="2"/>
      <scheme val="minor"/>
    </font>
    <font>
      <i/>
      <sz val="12"/>
      <color theme="1"/>
      <name val="Arial"/>
      <family val="2"/>
      <scheme val="minor"/>
    </font>
    <font>
      <sz val="12"/>
      <color theme="1" tint="0.59999389629810485"/>
      <name val="Arial"/>
      <family val="2"/>
      <scheme val="minor"/>
    </font>
    <font>
      <sz val="12"/>
      <color theme="4" tint="0.59999389629810485"/>
      <name val="Arial"/>
      <family val="2"/>
      <scheme val="minor"/>
    </font>
    <font>
      <i/>
      <sz val="10"/>
      <color theme="1"/>
      <name val="Arial"/>
      <family val="2"/>
      <scheme val="minor"/>
    </font>
    <font>
      <sz val="14"/>
      <color rgb="FF18509E"/>
      <name val="Arial"/>
      <family val="2"/>
      <scheme val="minor"/>
    </font>
    <font>
      <b/>
      <sz val="12"/>
      <color rgb="FF18509E"/>
      <name val="Arial"/>
      <family val="2"/>
      <scheme val="minor"/>
    </font>
    <font>
      <sz val="10"/>
      <color theme="1"/>
      <name val="Arial"/>
      <family val="2"/>
      <scheme val="minor"/>
    </font>
    <font>
      <sz val="12"/>
      <color theme="4" tint="0.39997558519241921"/>
      <name val="Arial"/>
      <family val="2"/>
      <scheme val="minor"/>
    </font>
    <font>
      <i/>
      <sz val="12"/>
      <color rgb="FFFF0000"/>
      <name val="Arial"/>
      <family val="2"/>
      <scheme val="minor"/>
    </font>
    <font>
      <sz val="12"/>
      <color theme="4" tint="0.79998168889431442"/>
      <name val="Arial"/>
      <family val="2"/>
      <scheme val="minor"/>
    </font>
    <font>
      <b/>
      <sz val="10"/>
      <color theme="0"/>
      <name val="Arial"/>
      <family val="2"/>
      <scheme val="minor"/>
    </font>
    <font>
      <sz val="12"/>
      <name val="Arial"/>
      <family val="2"/>
      <scheme val="minor"/>
    </font>
    <font>
      <sz val="12"/>
      <color theme="5" tint="0.39997558519241921"/>
      <name val="Arial"/>
      <family val="2"/>
      <scheme val="minor"/>
    </font>
    <font>
      <b/>
      <sz val="12"/>
      <color theme="1" tint="0.39997558519241921"/>
      <name val="Arial"/>
      <family val="2"/>
      <scheme val="minor"/>
    </font>
    <font>
      <sz val="12"/>
      <color theme="1" tint="0.39997558519241921"/>
      <name val="Arial"/>
      <family val="2"/>
      <scheme val="minor"/>
    </font>
    <font>
      <sz val="12"/>
      <color theme="4"/>
      <name val="Arial"/>
      <family val="2"/>
    </font>
    <font>
      <b/>
      <sz val="12"/>
      <name val="Arial"/>
      <family val="2"/>
      <scheme val="minor"/>
    </font>
    <font>
      <i/>
      <sz val="12"/>
      <name val="Arial"/>
      <family val="2"/>
      <scheme val="minor"/>
    </font>
    <font>
      <b/>
      <sz val="11"/>
      <color theme="1"/>
      <name val="Arial"/>
      <family val="2"/>
      <scheme val="minor"/>
    </font>
    <font>
      <sz val="11"/>
      <color theme="1"/>
      <name val="Arial"/>
      <family val="2"/>
      <scheme val="minor"/>
    </font>
    <font>
      <sz val="12"/>
      <color rgb="FFFCEFE0"/>
      <name val="Arial"/>
      <family val="2"/>
      <scheme val="minor"/>
    </font>
    <font>
      <sz val="11"/>
      <color rgb="FFFFFFFF"/>
      <name val="Arial"/>
      <family val="2"/>
      <scheme val="minor"/>
    </font>
    <font>
      <b/>
      <sz val="11"/>
      <color rgb="FF333399"/>
      <name val="Arial"/>
      <family val="2"/>
      <scheme val="minor"/>
    </font>
    <font>
      <sz val="16"/>
      <color rgb="FFFFFFFF"/>
      <name val="Arial"/>
      <family val="2"/>
      <scheme val="minor"/>
    </font>
    <font>
      <sz val="12"/>
      <color theme="0"/>
      <name val="Arial"/>
      <family val="2"/>
    </font>
    <font>
      <b/>
      <sz val="9.5"/>
      <color rgb="FF000000"/>
      <name val="Arial"/>
      <family val="2"/>
    </font>
    <font>
      <sz val="12"/>
      <color theme="1"/>
      <name val="Times New Roman"/>
      <family val="1"/>
    </font>
    <font>
      <u/>
      <sz val="12"/>
      <color theme="11"/>
      <name val="Arial"/>
      <family val="2"/>
      <scheme val="minor"/>
    </font>
    <font>
      <sz val="12"/>
      <color rgb="FFFF0000"/>
      <name val="Arial (Corps)"/>
    </font>
    <font>
      <b/>
      <sz val="12"/>
      <color rgb="FFFF0000"/>
      <name val="Arial (Corps)"/>
    </font>
    <font>
      <sz val="12"/>
      <color theme="1"/>
      <name val="Arial (Corps)"/>
    </font>
    <font>
      <sz val="10"/>
      <color rgb="FF000000"/>
      <name val="Geneva"/>
    </font>
  </fonts>
  <fills count="98">
    <fill>
      <patternFill patternType="none"/>
    </fill>
    <fill>
      <patternFill patternType="gray125"/>
    </fill>
    <fill>
      <patternFill patternType="solid">
        <fgColor indexed="42"/>
      </patternFill>
    </fill>
    <fill>
      <patternFill patternType="solid">
        <fgColor indexed="11"/>
      </patternFill>
    </fill>
    <fill>
      <patternFill patternType="solid">
        <fgColor indexed="10"/>
      </patternFill>
    </fill>
    <fill>
      <patternFill patternType="solid">
        <fgColor indexed="47"/>
      </patternFill>
    </fill>
    <fill>
      <patternFill patternType="solid">
        <fgColor indexed="26"/>
      </patternFill>
    </fill>
    <fill>
      <patternFill patternType="solid">
        <fgColor indexed="22"/>
        <bgColor indexed="64"/>
      </patternFill>
    </fill>
    <fill>
      <patternFill patternType="mediumGray">
        <fgColor indexed="41"/>
        <bgColor indexed="14"/>
      </patternFill>
    </fill>
    <fill>
      <patternFill patternType="mediumGray">
        <fgColor indexed="44"/>
        <bgColor indexed="45"/>
      </patternFill>
    </fill>
    <fill>
      <patternFill patternType="mediumGray">
        <fgColor indexed="9"/>
        <bgColor indexed="45"/>
      </patternFill>
    </fill>
    <fill>
      <patternFill patternType="solid">
        <fgColor indexed="62"/>
        <bgColor indexed="64"/>
      </patternFill>
    </fill>
    <fill>
      <patternFill patternType="mediumGray">
        <fgColor indexed="9"/>
        <bgColor indexed="43"/>
      </patternFill>
    </fill>
    <fill>
      <patternFill patternType="solid">
        <fgColor indexed="43"/>
        <bgColor indexed="64"/>
      </patternFill>
    </fill>
    <fill>
      <patternFill patternType="mediumGray">
        <fgColor indexed="9"/>
        <bgColor indexed="17"/>
      </patternFill>
    </fill>
    <fill>
      <patternFill patternType="solid">
        <fgColor indexed="17"/>
        <bgColor indexed="64"/>
      </patternFill>
    </fill>
    <fill>
      <patternFill patternType="darkGray">
        <fgColor indexed="9"/>
        <bgColor indexed="42"/>
      </patternFill>
    </fill>
    <fill>
      <patternFill patternType="darkGray">
        <fgColor indexed="9"/>
        <bgColor indexed="50"/>
      </patternFill>
    </fill>
    <fill>
      <patternFill patternType="darkGray">
        <fgColor indexed="9"/>
        <bgColor indexed="11"/>
      </patternFill>
    </fill>
    <fill>
      <patternFill patternType="darkGray">
        <fgColor indexed="50"/>
        <bgColor indexed="17"/>
      </patternFill>
    </fill>
    <fill>
      <patternFill patternType="mediumGray">
        <fgColor indexed="9"/>
        <bgColor indexed="50"/>
      </patternFill>
    </fill>
    <fill>
      <patternFill patternType="mediumGray">
        <fgColor indexed="9"/>
        <bgColor indexed="41"/>
      </patternFill>
    </fill>
    <fill>
      <patternFill patternType="lightGray">
        <fgColor indexed="9"/>
        <bgColor indexed="29"/>
      </patternFill>
    </fill>
    <fill>
      <patternFill patternType="mediumGray">
        <fgColor indexed="9"/>
        <bgColor indexed="29"/>
      </patternFill>
    </fill>
    <fill>
      <patternFill patternType="lightGray">
        <fgColor indexed="9"/>
        <bgColor indexed="49"/>
      </patternFill>
    </fill>
    <fill>
      <patternFill patternType="mediumGray">
        <fgColor indexed="9"/>
        <bgColor indexed="49"/>
      </patternFill>
    </fill>
    <fill>
      <patternFill patternType="mediumGray">
        <fgColor indexed="9"/>
        <bgColor indexed="55"/>
      </patternFill>
    </fill>
    <fill>
      <patternFill patternType="mediumGray">
        <fgColor indexed="9"/>
        <bgColor indexed="22"/>
      </patternFill>
    </fill>
    <fill>
      <patternFill patternType="solid">
        <fgColor indexed="52"/>
        <bgColor indexed="64"/>
      </patternFill>
    </fill>
    <fill>
      <patternFill patternType="mediumGray">
        <fgColor indexed="9"/>
        <bgColor indexed="52"/>
      </patternFill>
    </fill>
    <fill>
      <patternFill patternType="solid">
        <fgColor indexed="51"/>
        <bgColor indexed="64"/>
      </patternFill>
    </fill>
    <fill>
      <patternFill patternType="mediumGray">
        <fgColor indexed="9"/>
        <bgColor indexed="51"/>
      </patternFill>
    </fill>
    <fill>
      <patternFill patternType="mediumGray">
        <fgColor indexed="9"/>
        <bgColor indexed="13"/>
      </patternFill>
    </fill>
    <fill>
      <patternFill patternType="gray0625">
        <fgColor indexed="9"/>
        <bgColor indexed="9"/>
      </patternFill>
    </fill>
    <fill>
      <patternFill patternType="mediumGray">
        <fgColor indexed="9"/>
        <bgColor indexed="46"/>
      </patternFill>
    </fill>
    <fill>
      <patternFill patternType="mediumGray">
        <fgColor indexed="9"/>
        <bgColor indexed="40"/>
      </patternFill>
    </fill>
    <fill>
      <patternFill patternType="mediumGray">
        <fgColor indexed="9"/>
        <bgColor indexed="31"/>
      </patternFill>
    </fill>
    <fill>
      <patternFill patternType="mediumGray">
        <fgColor indexed="9"/>
        <bgColor indexed="44"/>
      </patternFill>
    </fill>
    <fill>
      <patternFill patternType="solid">
        <fgColor indexed="57"/>
        <bgColor indexed="9"/>
      </patternFill>
    </fill>
    <fill>
      <patternFill patternType="solid">
        <fgColor indexed="49"/>
        <bgColor indexed="64"/>
      </patternFill>
    </fill>
    <fill>
      <patternFill patternType="mediumGray">
        <fgColor indexed="22"/>
        <bgColor indexed="31"/>
      </patternFill>
    </fill>
    <fill>
      <patternFill patternType="mediumGray">
        <fgColor indexed="22"/>
        <bgColor indexed="44"/>
      </patternFill>
    </fill>
    <fill>
      <patternFill patternType="mediumGray">
        <fgColor indexed="15"/>
        <bgColor indexed="27"/>
      </patternFill>
    </fill>
    <fill>
      <patternFill patternType="solid">
        <fgColor indexed="42"/>
        <bgColor indexed="41"/>
      </patternFill>
    </fill>
    <fill>
      <patternFill patternType="mediumGray">
        <fgColor indexed="42"/>
        <bgColor indexed="42"/>
      </patternFill>
    </fill>
    <fill>
      <patternFill patternType="solid">
        <fgColor indexed="27"/>
        <bgColor indexed="64"/>
      </patternFill>
    </fill>
    <fill>
      <patternFill patternType="solid">
        <fgColor indexed="9"/>
        <bgColor indexed="9"/>
      </patternFill>
    </fill>
    <fill>
      <patternFill patternType="solid">
        <fgColor indexed="55"/>
      </patternFill>
    </fill>
    <fill>
      <patternFill patternType="solid">
        <fgColor indexed="9"/>
        <bgColor indexed="64"/>
      </patternFill>
    </fill>
    <fill>
      <patternFill patternType="solid">
        <fgColor indexed="18"/>
        <bgColor indexed="64"/>
      </patternFill>
    </fill>
    <fill>
      <patternFill patternType="solid">
        <fgColor indexed="55"/>
        <bgColor indexed="64"/>
      </patternFill>
    </fill>
    <fill>
      <patternFill patternType="solid">
        <fgColor theme="4"/>
        <bgColor indexed="64"/>
      </patternFill>
    </fill>
    <fill>
      <patternFill patternType="solid">
        <fgColor theme="4" tint="0.39997558519241921"/>
        <bgColor indexed="64"/>
      </patternFill>
    </fill>
    <fill>
      <patternFill patternType="solid">
        <fgColor theme="0"/>
        <bgColor indexed="64"/>
      </patternFill>
    </fill>
    <fill>
      <patternFill patternType="solid">
        <fgColor theme="5"/>
        <bgColor indexed="64"/>
      </patternFill>
    </fill>
    <fill>
      <patternFill patternType="solid">
        <fgColor theme="6"/>
        <bgColor indexed="64"/>
      </patternFill>
    </fill>
    <fill>
      <patternFill patternType="solid">
        <fgColor theme="8"/>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1" tint="0.79998168889431442"/>
        <bgColor indexed="64"/>
      </patternFill>
    </fill>
    <fill>
      <patternFill patternType="solid">
        <fgColor theme="1"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7D393"/>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CEFE0"/>
        <bgColor rgb="FF000000"/>
      </patternFill>
    </fill>
    <fill>
      <patternFill patternType="solid">
        <fgColor theme="1"/>
        <bgColor indexed="64"/>
      </patternFill>
    </fill>
    <fill>
      <patternFill patternType="solid">
        <fgColor rgb="FFFFFFFF"/>
        <bgColor rgb="FF000000"/>
      </patternFill>
    </fill>
    <fill>
      <patternFill patternType="solid">
        <fgColor theme="0" tint="-0.14999847407452621"/>
        <bgColor indexed="64"/>
      </patternFill>
    </fill>
    <fill>
      <patternFill patternType="solid">
        <fgColor theme="2" tint="0.79998168889431442"/>
        <bgColor indexed="64"/>
      </patternFill>
    </fill>
    <fill>
      <patternFill patternType="solid">
        <fgColor theme="9" tint="0.39997558519241921"/>
        <bgColor rgb="FF000000"/>
      </patternFill>
    </fill>
    <fill>
      <patternFill patternType="solid">
        <fgColor theme="3" tint="0.79998168889431442"/>
        <bgColor rgb="FF000000"/>
      </patternFill>
    </fill>
    <fill>
      <patternFill patternType="solid">
        <fgColor theme="8" tint="0.79998168889431442"/>
        <bgColor indexed="64"/>
      </patternFill>
    </fill>
    <fill>
      <patternFill patternType="solid">
        <fgColor rgb="FFEFE0FC"/>
        <bgColor rgb="FF000000"/>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14999847407452621"/>
        <bgColor theme="0"/>
      </patternFill>
    </fill>
    <fill>
      <patternFill patternType="solid">
        <fgColor rgb="FFFFFFFF"/>
        <bgColor indexed="64"/>
      </patternFill>
    </fill>
    <fill>
      <patternFill patternType="solid">
        <fgColor rgb="FFF2F4A4"/>
        <bgColor rgb="FF000000"/>
      </patternFill>
    </fill>
    <fill>
      <patternFill patternType="solid">
        <fgColor rgb="FFF5CEA3"/>
        <bgColor rgb="FF000000"/>
      </patternFill>
    </fill>
    <fill>
      <patternFill patternType="solid">
        <fgColor rgb="FFC1F9DE"/>
        <bgColor rgb="FF000000"/>
      </patternFill>
    </fill>
    <fill>
      <patternFill patternType="solid">
        <fgColor rgb="FFC6DBF7"/>
        <bgColor rgb="FF000000"/>
      </patternFill>
    </fill>
    <fill>
      <patternFill patternType="solid">
        <fgColor theme="4" tint="0.79998168889431442"/>
        <bgColor rgb="FF000000"/>
      </patternFill>
    </fill>
    <fill>
      <patternFill patternType="solid">
        <fgColor rgb="FFEFAF66"/>
        <bgColor rgb="FF000000"/>
      </patternFill>
    </fill>
    <fill>
      <patternFill patternType="solid">
        <fgColor theme="2"/>
        <bgColor indexed="64"/>
      </patternFill>
    </fill>
    <fill>
      <patternFill patternType="solid">
        <fgColor theme="0" tint="-0.249977111117893"/>
        <bgColor indexed="64"/>
      </patternFill>
    </fill>
    <fill>
      <patternFill patternType="solid">
        <fgColor rgb="FFFF0000"/>
        <bgColor rgb="FF000000"/>
      </patternFill>
    </fill>
    <fill>
      <patternFill patternType="solid">
        <fgColor rgb="FFECEE66"/>
        <bgColor rgb="FF000000"/>
      </patternFill>
    </fill>
    <fill>
      <patternFill patternType="solid">
        <fgColor rgb="FF18509E"/>
        <bgColor rgb="FF000000"/>
      </patternFill>
    </fill>
    <fill>
      <patternFill patternType="solid">
        <fgColor rgb="FFCCFFCC"/>
        <bgColor indexed="64"/>
      </patternFill>
    </fill>
  </fills>
  <borders count="72">
    <border>
      <left/>
      <right/>
      <top/>
      <bottom/>
      <diagonal/>
    </border>
    <border>
      <left style="medium">
        <color indexed="23"/>
      </left>
      <right style="medium">
        <color indexed="23"/>
      </right>
      <top style="medium">
        <color indexed="23"/>
      </top>
      <bottom style="thin">
        <color indexed="23"/>
      </bottom>
      <diagonal/>
    </border>
    <border>
      <left style="mediumDashed">
        <color indexed="29"/>
      </left>
      <right style="mediumDashed">
        <color indexed="29"/>
      </right>
      <top style="mediumDashed">
        <color indexed="29"/>
      </top>
      <bottom style="mediumDashed">
        <color indexed="29"/>
      </bottom>
      <diagonal/>
    </border>
    <border diagonalUp="1" diagonalDown="1">
      <left style="mediumDashed">
        <color auto="1"/>
      </left>
      <right style="mediumDashed">
        <color auto="1"/>
      </right>
      <top style="mediumDashed">
        <color auto="1"/>
      </top>
      <bottom style="mediumDashed">
        <color auto="1"/>
      </bottom>
      <diagonal style="thick">
        <color indexed="29"/>
      </diagonal>
    </border>
    <border diagonalUp="1" diagonalDown="1">
      <left style="mediumDashed">
        <color auto="1"/>
      </left>
      <right style="mediumDashed">
        <color auto="1"/>
      </right>
      <top style="mediumDashed">
        <color auto="1"/>
      </top>
      <bottom style="mediumDashed">
        <color auto="1"/>
      </bottom>
      <diagonal style="thick">
        <color indexed="57"/>
      </diagonal>
    </border>
    <border>
      <left style="mediumDashed">
        <color indexed="57"/>
      </left>
      <right style="mediumDashed">
        <color indexed="57"/>
      </right>
      <top style="mediumDashed">
        <color indexed="57"/>
      </top>
      <bottom style="mediumDashed">
        <color indexed="57"/>
      </bottom>
      <diagonal/>
    </border>
    <border>
      <left style="double">
        <color indexed="41"/>
      </left>
      <right style="double">
        <color indexed="41"/>
      </right>
      <top style="double">
        <color indexed="41"/>
      </top>
      <bottom style="double">
        <color indexed="41"/>
      </bottom>
      <diagonal/>
    </border>
    <border>
      <left style="thin">
        <color auto="1"/>
      </left>
      <right style="dotted">
        <color auto="1"/>
      </right>
      <top style="thin">
        <color auto="1"/>
      </top>
      <bottom style="thin">
        <color auto="1"/>
      </bottom>
      <diagonal/>
    </border>
    <border>
      <left/>
      <right style="double">
        <color auto="1"/>
      </right>
      <top style="thin">
        <color auto="1"/>
      </top>
      <bottom style="thin">
        <color auto="1"/>
      </bottom>
      <diagonal/>
    </border>
    <border diagonalUp="1" diagonalDown="1">
      <left style="double">
        <color auto="1"/>
      </left>
      <right style="double">
        <color auto="1"/>
      </right>
      <top style="double">
        <color auto="1"/>
      </top>
      <bottom style="double">
        <color auto="1"/>
      </bottom>
      <diagonal style="thick">
        <color auto="1"/>
      </diagonal>
    </border>
    <border>
      <left style="double">
        <color auto="1"/>
      </left>
      <right style="double">
        <color auto="1"/>
      </right>
      <top style="double">
        <color auto="1"/>
      </top>
      <bottom style="double">
        <color auto="1"/>
      </bottom>
      <diagonal/>
    </border>
    <border diagonalUp="1" diagonalDown="1">
      <left style="mediumDashDot">
        <color auto="1"/>
      </left>
      <right style="mediumDashDot">
        <color auto="1"/>
      </right>
      <top style="mediumDashDot">
        <color auto="1"/>
      </top>
      <bottom style="mediumDashDot">
        <color auto="1"/>
      </bottom>
      <diagonal style="thick">
        <color auto="1"/>
      </diagonal>
    </border>
    <border>
      <left style="mediumDashDot">
        <color auto="1"/>
      </left>
      <right style="mediumDashDot">
        <color auto="1"/>
      </right>
      <top style="mediumDashDot">
        <color auto="1"/>
      </top>
      <bottom style="mediumDashDot">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ck">
        <color indexed="10"/>
      </left>
      <right style="thick">
        <color indexed="10"/>
      </right>
      <top style="thin">
        <color indexed="10"/>
      </top>
      <bottom style="thin">
        <color indexed="10"/>
      </bottom>
      <diagonal/>
    </border>
    <border>
      <left style="thin">
        <color indexed="24"/>
      </left>
      <right style="thin">
        <color indexed="24"/>
      </right>
      <top style="thin">
        <color indexed="24"/>
      </top>
      <bottom style="thin">
        <color indexed="24"/>
      </bottom>
      <diagonal/>
    </border>
    <border>
      <left style="thin">
        <color auto="1"/>
      </left>
      <right style="thin">
        <color auto="1"/>
      </right>
      <top style="thin">
        <color auto="1"/>
      </top>
      <bottom/>
      <diagonal/>
    </border>
    <border diagonalUp="1" diagonalDown="1">
      <left/>
      <right style="dashDot">
        <color auto="1"/>
      </right>
      <top style="dashDot">
        <color auto="1"/>
      </top>
      <bottom style="dashDot">
        <color auto="1"/>
      </bottom>
      <diagonal style="thick">
        <color auto="1"/>
      </diagonal>
    </border>
    <border>
      <left style="dashDot">
        <color auto="1"/>
      </left>
      <right/>
      <top style="dashDot">
        <color auto="1"/>
      </top>
      <bottom style="dashDot">
        <color auto="1"/>
      </bottom>
      <diagonal/>
    </border>
    <border diagonalUp="1" diagonalDown="1">
      <left style="dashed">
        <color auto="1"/>
      </left>
      <right style="dashed">
        <color auto="1"/>
      </right>
      <top/>
      <bottom/>
      <diagonal style="thick">
        <color auto="1"/>
      </diagonal>
    </border>
    <border>
      <left style="double">
        <color indexed="63"/>
      </left>
      <right style="double">
        <color indexed="63"/>
      </right>
      <top style="double">
        <color indexed="63"/>
      </top>
      <bottom style="double">
        <color indexed="63"/>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thin">
        <color auto="1"/>
      </left>
      <right/>
      <top style="medium">
        <color auto="1"/>
      </top>
      <bottom style="medium">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top/>
      <bottom/>
      <diagonal/>
    </border>
    <border>
      <left style="thin">
        <color theme="4" tint="-0.249977111117893"/>
      </left>
      <right/>
      <top style="thin">
        <color theme="4" tint="-0.249977111117893"/>
      </top>
      <bottom style="thin">
        <color theme="4" tint="-0.249977111117893"/>
      </bottom>
      <diagonal/>
    </border>
    <border>
      <left/>
      <right/>
      <top style="thin">
        <color theme="4" tint="-0.249977111117893"/>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right style="thin">
        <color rgb="FF000000"/>
      </right>
      <top style="thin">
        <color auto="1"/>
      </top>
      <bottom/>
      <diagonal/>
    </border>
    <border>
      <left/>
      <right style="thin">
        <color rgb="FF000000"/>
      </right>
      <top/>
      <bottom/>
      <diagonal/>
    </border>
    <border>
      <left style="thin">
        <color auto="1"/>
      </left>
      <right/>
      <top/>
      <bottom style="thin">
        <color rgb="FF000000"/>
      </bottom>
      <diagonal/>
    </border>
    <border>
      <left/>
      <right/>
      <top/>
      <bottom style="thin">
        <color rgb="FF000000"/>
      </bottom>
      <diagonal/>
    </border>
    <border>
      <left/>
      <right style="thin">
        <color rgb="FF000000"/>
      </right>
      <top/>
      <bottom style="thin">
        <color rgb="FF000000"/>
      </bottom>
      <diagonal/>
    </border>
  </borders>
  <cellStyleXfs count="167">
    <xf numFmtId="0" fontId="0" fillId="0" borderId="0"/>
    <xf numFmtId="0" fontId="15" fillId="0" borderId="0"/>
    <xf numFmtId="0" fontId="16" fillId="2" borderId="0" applyNumberFormat="0" applyFont="0" applyBorder="0" applyAlignment="0" applyProtection="0"/>
    <xf numFmtId="0" fontId="16" fillId="3" borderId="0" applyNumberFormat="0" applyFont="0" applyBorder="0" applyAlignment="0" applyProtection="0"/>
    <xf numFmtId="0" fontId="16" fillId="4" borderId="0" applyNumberFormat="0" applyFont="0" applyBorder="0" applyAlignment="0" applyProtection="0"/>
    <xf numFmtId="0" fontId="16" fillId="5" borderId="0" applyNumberFormat="0" applyFont="0" applyBorder="0" applyAlignment="0" applyProtection="0"/>
    <xf numFmtId="0" fontId="17" fillId="7" borderId="1">
      <alignment horizontal="center" vertical="center"/>
    </xf>
    <xf numFmtId="49" fontId="18" fillId="8" borderId="2">
      <alignment horizontal="center" vertical="center" wrapText="1"/>
    </xf>
    <xf numFmtId="49" fontId="18" fillId="9" borderId="3">
      <alignment horizontal="center" vertical="center" wrapText="1"/>
    </xf>
    <xf numFmtId="49" fontId="18" fillId="10" borderId="3">
      <alignment horizontal="center" vertical="center" wrapText="1"/>
    </xf>
    <xf numFmtId="49" fontId="18" fillId="10" borderId="4">
      <alignment horizontal="center" vertical="center" wrapText="1"/>
    </xf>
    <xf numFmtId="49" fontId="18" fillId="9" borderId="4">
      <alignment horizontal="center" vertical="center" wrapText="1"/>
    </xf>
    <xf numFmtId="49" fontId="18" fillId="8" borderId="5">
      <alignment horizontal="center" vertical="center" wrapText="1"/>
    </xf>
    <xf numFmtId="0" fontId="19" fillId="11" borderId="6">
      <alignment horizontal="left" vertical="center"/>
    </xf>
    <xf numFmtId="0" fontId="20" fillId="12" borderId="7">
      <alignment horizontal="center" vertical="center"/>
    </xf>
    <xf numFmtId="0" fontId="21" fillId="13" borderId="8">
      <alignment horizontal="left" vertical="top" wrapText="1"/>
    </xf>
    <xf numFmtId="49" fontId="18" fillId="14" borderId="9">
      <alignment vertical="center" wrapText="1"/>
    </xf>
    <xf numFmtId="49" fontId="18" fillId="15" borderId="9">
      <alignment wrapText="1"/>
    </xf>
    <xf numFmtId="49" fontId="18" fillId="16" borderId="10">
      <alignment wrapText="1"/>
    </xf>
    <xf numFmtId="49" fontId="18" fillId="17" borderId="9">
      <alignment vertical="center" wrapText="1"/>
    </xf>
    <xf numFmtId="49" fontId="18" fillId="18" borderId="9">
      <alignment wrapText="1"/>
    </xf>
    <xf numFmtId="49" fontId="18" fillId="19" borderId="9">
      <alignment vertical="center" wrapText="1"/>
    </xf>
    <xf numFmtId="49" fontId="18" fillId="20" borderId="9">
      <alignment vertical="center" wrapText="1"/>
    </xf>
    <xf numFmtId="49" fontId="18" fillId="21" borderId="11">
      <alignment vertical="center" wrapText="1"/>
    </xf>
    <xf numFmtId="49" fontId="22" fillId="22" borderId="12">
      <alignment vertical="center" wrapText="1" shrinkToFit="1"/>
    </xf>
    <xf numFmtId="49" fontId="23" fillId="22" borderId="12">
      <alignment vertical="center" wrapText="1"/>
    </xf>
    <xf numFmtId="49" fontId="18" fillId="23" borderId="12">
      <alignment vertical="center" wrapText="1"/>
    </xf>
    <xf numFmtId="49" fontId="23" fillId="24" borderId="12">
      <alignment vertical="center" wrapText="1" shrinkToFit="1"/>
    </xf>
    <xf numFmtId="49" fontId="18" fillId="25" borderId="12">
      <alignment vertical="center" wrapText="1"/>
    </xf>
    <xf numFmtId="49" fontId="24" fillId="26" borderId="13">
      <alignment vertical="center" wrapText="1"/>
    </xf>
    <xf numFmtId="0" fontId="25" fillId="27" borderId="14">
      <alignment horizontal="left" vertical="center" wrapText="1"/>
    </xf>
    <xf numFmtId="49" fontId="18" fillId="28" borderId="15">
      <alignment vertical="center" wrapText="1"/>
    </xf>
    <xf numFmtId="49" fontId="18" fillId="29" borderId="15">
      <alignment vertical="center" wrapText="1"/>
    </xf>
    <xf numFmtId="49" fontId="18" fillId="30" borderId="15">
      <alignment vertical="center" wrapText="1"/>
    </xf>
    <xf numFmtId="49" fontId="18" fillId="31" borderId="15">
      <alignment vertical="center" wrapText="1"/>
    </xf>
    <xf numFmtId="49" fontId="18" fillId="32" borderId="15">
      <alignment vertical="center" wrapText="1"/>
    </xf>
    <xf numFmtId="3" fontId="26" fillId="0" borderId="0" applyFont="0" applyFill="0" applyBorder="0" applyAlignment="0" applyProtection="0"/>
    <xf numFmtId="170" fontId="3" fillId="0" borderId="0" applyFont="0" applyFill="0" applyBorder="0" applyAlignment="0" applyProtection="0"/>
    <xf numFmtId="0" fontId="16" fillId="6" borderId="16" applyNumberFormat="0" applyFont="0" applyAlignment="0" applyProtection="0"/>
    <xf numFmtId="171" fontId="16" fillId="0" borderId="0" applyFill="0" applyBorder="0" applyAlignment="0" applyProtection="0"/>
    <xf numFmtId="0" fontId="27" fillId="0" borderId="0" applyNumberFormat="0" applyFill="0" applyBorder="0" applyAlignment="0" applyProtection="0"/>
    <xf numFmtId="0" fontId="12" fillId="0" borderId="0" applyNumberFormat="0" applyFill="0" applyBorder="0" applyAlignment="0" applyProtection="0"/>
    <xf numFmtId="44" fontId="14" fillId="0" borderId="0" applyFont="0" applyFill="0" applyBorder="0" applyAlignment="0" applyProtection="0"/>
    <xf numFmtId="172" fontId="16" fillId="0" borderId="0" applyFill="0" applyBorder="0" applyAlignment="0" applyProtection="0"/>
    <xf numFmtId="3" fontId="16" fillId="0" borderId="0" applyFill="0" applyBorder="0" applyAlignment="0" applyProtection="0"/>
    <xf numFmtId="0" fontId="28" fillId="0" borderId="0" applyNumberFormat="0" applyFill="0" applyBorder="0" applyAlignment="0" applyProtection="0">
      <alignment vertical="top"/>
      <protection locked="0"/>
    </xf>
    <xf numFmtId="0" fontId="9" fillId="0" borderId="0" applyNumberFormat="0" applyFill="0" applyBorder="0" applyAlignment="0" applyProtection="0">
      <alignment vertical="top"/>
      <protection locked="0"/>
    </xf>
    <xf numFmtId="0" fontId="70" fillId="0" borderId="0" applyNumberFormat="0" applyFill="0" applyBorder="0" applyAlignment="0" applyProtection="0"/>
    <xf numFmtId="173" fontId="29" fillId="33" borderId="0" applyNumberFormat="0" applyBorder="0">
      <alignment horizontal="right"/>
      <protection locked="0"/>
    </xf>
    <xf numFmtId="173" fontId="30" fillId="33" borderId="0" applyNumberFormat="0" applyBorder="0">
      <alignment horizontal="right"/>
      <protection locked="0"/>
    </xf>
    <xf numFmtId="173" fontId="31" fillId="33" borderId="0" applyNumberFormat="0" applyBorder="0">
      <alignment horizontal="right"/>
      <protection locked="0"/>
    </xf>
    <xf numFmtId="173" fontId="32" fillId="33" borderId="0" applyNumberFormat="0" applyBorder="0">
      <alignment horizontal="right"/>
      <protection locked="0"/>
    </xf>
    <xf numFmtId="174" fontId="16" fillId="0" borderId="0" applyFont="0" applyFill="0" applyBorder="0" applyAlignment="0" applyProtection="0"/>
    <xf numFmtId="164" fontId="14"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75" fontId="16" fillId="0" borderId="0" applyFill="0" applyBorder="0" applyAlignment="0" applyProtection="0"/>
    <xf numFmtId="0" fontId="16" fillId="0" borderId="0"/>
    <xf numFmtId="0" fontId="67" fillId="0" borderId="0"/>
    <xf numFmtId="0" fontId="3" fillId="0" borderId="0"/>
    <xf numFmtId="0" fontId="26" fillId="0" borderId="0"/>
    <xf numFmtId="0" fontId="71" fillId="0" borderId="0"/>
    <xf numFmtId="0" fontId="67" fillId="0" borderId="0"/>
    <xf numFmtId="0" fontId="67" fillId="0" borderId="0"/>
    <xf numFmtId="0" fontId="67" fillId="0" borderId="0"/>
    <xf numFmtId="0" fontId="67" fillId="0" borderId="0"/>
    <xf numFmtId="0" fontId="33" fillId="0" borderId="0"/>
    <xf numFmtId="0" fontId="1" fillId="0" borderId="0"/>
    <xf numFmtId="9" fontId="3" fillId="0" borderId="0" applyFont="0" applyFill="0" applyBorder="0" applyAlignment="0" applyProtection="0"/>
    <xf numFmtId="9" fontId="26" fillId="0" borderId="0" applyFont="0" applyFill="0" applyBorder="0" applyAlignment="0" applyProtection="0"/>
    <xf numFmtId="9" fontId="67"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172" fontId="34" fillId="34" borderId="17">
      <alignment vertical="center"/>
    </xf>
    <xf numFmtId="4" fontId="34" fillId="34" borderId="17">
      <alignment vertical="center"/>
    </xf>
    <xf numFmtId="165" fontId="34" fillId="34" borderId="17">
      <alignment vertical="center"/>
    </xf>
    <xf numFmtId="176" fontId="34" fillId="34" borderId="17">
      <alignment vertical="center"/>
    </xf>
    <xf numFmtId="3" fontId="34" fillId="34" borderId="17">
      <alignment vertical="center"/>
    </xf>
    <xf numFmtId="177" fontId="35" fillId="34" borderId="17">
      <alignment vertical="center"/>
    </xf>
    <xf numFmtId="178" fontId="35" fillId="34" borderId="17">
      <alignment vertical="center"/>
    </xf>
    <xf numFmtId="179" fontId="35" fillId="34" borderId="17">
      <alignment vertical="center"/>
    </xf>
    <xf numFmtId="180" fontId="36" fillId="34" borderId="17">
      <alignment vertical="center"/>
    </xf>
    <xf numFmtId="181" fontId="36" fillId="34" borderId="17">
      <alignment vertical="center"/>
    </xf>
    <xf numFmtId="182" fontId="36" fillId="34" borderId="17">
      <alignment vertical="center"/>
    </xf>
    <xf numFmtId="166" fontId="37" fillId="34" borderId="17">
      <alignment vertical="center"/>
    </xf>
    <xf numFmtId="10" fontId="37" fillId="34" borderId="17">
      <alignment vertical="center"/>
    </xf>
    <xf numFmtId="9" fontId="37" fillId="34" borderId="17">
      <alignment vertical="center"/>
    </xf>
    <xf numFmtId="0" fontId="38" fillId="34" borderId="17">
      <alignment vertical="center"/>
    </xf>
    <xf numFmtId="0" fontId="39" fillId="34" borderId="17">
      <alignment horizontal="left" vertical="center"/>
    </xf>
    <xf numFmtId="172" fontId="40" fillId="35" borderId="17">
      <alignment vertical="center"/>
    </xf>
    <xf numFmtId="4" fontId="40" fillId="35" borderId="17">
      <alignment vertical="center"/>
    </xf>
    <xf numFmtId="165" fontId="40" fillId="35" borderId="17">
      <alignment vertical="center"/>
    </xf>
    <xf numFmtId="176" fontId="40" fillId="35" borderId="17">
      <alignment vertical="center"/>
    </xf>
    <xf numFmtId="3" fontId="40" fillId="35" borderId="17">
      <alignment vertical="center"/>
    </xf>
    <xf numFmtId="177" fontId="41" fillId="35" borderId="17">
      <alignment vertical="center"/>
    </xf>
    <xf numFmtId="178" fontId="41" fillId="35" borderId="17">
      <alignment vertical="center"/>
    </xf>
    <xf numFmtId="179" fontId="41" fillId="35" borderId="17">
      <alignment vertical="center"/>
    </xf>
    <xf numFmtId="180" fontId="42" fillId="35" borderId="17">
      <alignment vertical="center"/>
    </xf>
    <xf numFmtId="181" fontId="42" fillId="35" borderId="17">
      <alignment vertical="center"/>
    </xf>
    <xf numFmtId="182" fontId="42" fillId="35" borderId="17">
      <alignment vertical="center"/>
    </xf>
    <xf numFmtId="166" fontId="43" fillId="35" borderId="17">
      <alignment vertical="center"/>
    </xf>
    <xf numFmtId="10" fontId="43" fillId="35" borderId="17">
      <alignment vertical="center"/>
    </xf>
    <xf numFmtId="9" fontId="43" fillId="35" borderId="17">
      <alignment vertical="center"/>
    </xf>
    <xf numFmtId="0" fontId="44" fillId="35" borderId="17">
      <alignment vertical="center"/>
    </xf>
    <xf numFmtId="0" fontId="45" fillId="35" borderId="17">
      <alignment horizontal="left" vertical="center"/>
    </xf>
    <xf numFmtId="172" fontId="34" fillId="36" borderId="18">
      <alignment vertical="center"/>
    </xf>
    <xf numFmtId="4" fontId="34" fillId="36" borderId="18">
      <alignment vertical="center"/>
    </xf>
    <xf numFmtId="165" fontId="34" fillId="36" borderId="18">
      <alignment vertical="center"/>
    </xf>
    <xf numFmtId="176" fontId="34" fillId="36" borderId="18">
      <alignment vertical="center"/>
    </xf>
    <xf numFmtId="3" fontId="34" fillId="36" borderId="18">
      <alignment vertical="center"/>
    </xf>
    <xf numFmtId="177" fontId="35" fillId="36" borderId="18">
      <alignment vertical="center"/>
    </xf>
    <xf numFmtId="178" fontId="35" fillId="36" borderId="18">
      <alignment vertical="center"/>
    </xf>
    <xf numFmtId="179" fontId="35" fillId="36" borderId="18">
      <alignment vertical="center"/>
    </xf>
    <xf numFmtId="180" fontId="36" fillId="36" borderId="18">
      <alignment vertical="center"/>
    </xf>
    <xf numFmtId="181" fontId="36" fillId="36" borderId="18">
      <alignment vertical="center"/>
    </xf>
    <xf numFmtId="182" fontId="36" fillId="36" borderId="18">
      <alignment vertical="center"/>
    </xf>
    <xf numFmtId="166" fontId="37" fillId="36" borderId="18">
      <alignment vertical="center"/>
    </xf>
    <xf numFmtId="10" fontId="37" fillId="36" borderId="18">
      <alignment vertical="center"/>
    </xf>
    <xf numFmtId="9" fontId="37" fillId="36" borderId="18">
      <alignment vertical="center"/>
    </xf>
    <xf numFmtId="0" fontId="38" fillId="36" borderId="18">
      <alignment vertical="center"/>
    </xf>
    <xf numFmtId="0" fontId="39" fillId="36" borderId="18">
      <alignment horizontal="left" vertical="center"/>
    </xf>
    <xf numFmtId="172" fontId="40" fillId="37" borderId="18">
      <alignment vertical="center"/>
    </xf>
    <xf numFmtId="4" fontId="40" fillId="37" borderId="18">
      <alignment vertical="center"/>
    </xf>
    <xf numFmtId="165" fontId="40" fillId="37" borderId="18">
      <alignment vertical="center"/>
    </xf>
    <xf numFmtId="176" fontId="40" fillId="37" borderId="18">
      <alignment vertical="center"/>
    </xf>
    <xf numFmtId="3" fontId="40" fillId="37" borderId="18">
      <alignment vertical="center"/>
    </xf>
    <xf numFmtId="177" fontId="41" fillId="37" borderId="18">
      <alignment vertical="center"/>
    </xf>
    <xf numFmtId="178" fontId="41" fillId="37" borderId="18">
      <alignment vertical="center"/>
    </xf>
    <xf numFmtId="179" fontId="41" fillId="37" borderId="18">
      <alignment vertical="center"/>
    </xf>
    <xf numFmtId="180" fontId="42" fillId="37" borderId="18">
      <alignment vertical="center"/>
    </xf>
    <xf numFmtId="181" fontId="42" fillId="37" borderId="18">
      <alignment vertical="center"/>
    </xf>
    <xf numFmtId="182" fontId="42" fillId="37" borderId="18">
      <alignment vertical="center"/>
    </xf>
    <xf numFmtId="166" fontId="43" fillId="37" borderId="18">
      <alignment vertical="center"/>
    </xf>
    <xf numFmtId="10" fontId="43" fillId="37" borderId="18">
      <alignment vertical="center"/>
    </xf>
    <xf numFmtId="9" fontId="43" fillId="37" borderId="18">
      <alignment vertical="center"/>
    </xf>
    <xf numFmtId="0" fontId="44" fillId="37" borderId="18">
      <alignment vertical="center"/>
    </xf>
    <xf numFmtId="0" fontId="45" fillId="37" borderId="18">
      <alignment horizontal="left" vertical="center"/>
    </xf>
    <xf numFmtId="0" fontId="16" fillId="38" borderId="19" applyBorder="0">
      <alignment horizontal="left" vertical="center"/>
    </xf>
    <xf numFmtId="49" fontId="16" fillId="23" borderId="15">
      <alignment vertical="center" wrapText="1"/>
    </xf>
    <xf numFmtId="0" fontId="16" fillId="39" borderId="15">
      <alignment horizontal="left" vertical="center" wrapText="1"/>
    </xf>
    <xf numFmtId="0" fontId="46" fillId="39" borderId="15">
      <alignment horizontal="left" vertical="center" wrapText="1"/>
    </xf>
    <xf numFmtId="0" fontId="16" fillId="40" borderId="15">
      <alignment horizontal="left" vertical="center" wrapText="1"/>
    </xf>
    <xf numFmtId="0" fontId="47" fillId="41" borderId="15">
      <alignment horizontal="left" vertical="center" wrapText="1"/>
    </xf>
    <xf numFmtId="49" fontId="48" fillId="42" borderId="20">
      <alignment vertical="center"/>
    </xf>
    <xf numFmtId="0" fontId="49" fillId="42" borderId="21">
      <alignment horizontal="left" vertical="center" wrapText="1"/>
    </xf>
    <xf numFmtId="49" fontId="16" fillId="27" borderId="22">
      <alignment vertical="center" wrapText="1"/>
    </xf>
    <xf numFmtId="0" fontId="16" fillId="28" borderId="15">
      <alignment horizontal="left" vertical="center" wrapText="1"/>
    </xf>
    <xf numFmtId="0" fontId="16" fillId="29" borderId="15">
      <alignment horizontal="left" vertical="center" wrapText="1"/>
    </xf>
    <xf numFmtId="0" fontId="16" fillId="30" borderId="15">
      <alignment horizontal="left" vertical="center" wrapText="1"/>
    </xf>
    <xf numFmtId="0" fontId="16" fillId="31" borderId="15">
      <alignment horizontal="left" vertical="center" wrapText="1"/>
    </xf>
    <xf numFmtId="0" fontId="16" fillId="32" borderId="15">
      <alignment horizontal="left" vertical="center" wrapText="1"/>
    </xf>
    <xf numFmtId="49" fontId="50" fillId="43" borderId="20">
      <alignment vertical="center"/>
    </xf>
    <xf numFmtId="0" fontId="49" fillId="44" borderId="21">
      <alignment horizontal="left" vertical="center" wrapText="1"/>
    </xf>
    <xf numFmtId="49" fontId="48" fillId="45" borderId="20">
      <alignment vertical="center"/>
    </xf>
    <xf numFmtId="0" fontId="49" fillId="45" borderId="21">
      <alignment horizontal="left" vertical="center" wrapText="1"/>
    </xf>
    <xf numFmtId="0" fontId="51" fillId="0" borderId="0" applyNumberFormat="0" applyFill="0" applyBorder="0" applyAlignment="0" applyProtection="0"/>
    <xf numFmtId="173" fontId="29" fillId="33" borderId="0" applyNumberFormat="0" applyBorder="0">
      <alignment horizontal="center"/>
      <protection locked="0"/>
    </xf>
    <xf numFmtId="173" fontId="52" fillId="33" borderId="0" applyNumberFormat="0" applyBorder="0">
      <alignment horizontal="center"/>
      <protection locked="0"/>
    </xf>
    <xf numFmtId="173" fontId="29" fillId="46" borderId="0" applyNumberFormat="0" applyBorder="0">
      <alignment horizontal="left"/>
      <protection locked="0"/>
    </xf>
    <xf numFmtId="173" fontId="53" fillId="33" borderId="0" applyNumberFormat="0" applyBorder="0">
      <alignment horizontal="left"/>
      <protection locked="0"/>
    </xf>
    <xf numFmtId="183" fontId="16" fillId="0" borderId="0" applyFont="0" applyFill="0" applyBorder="0" applyAlignment="0" applyProtection="0"/>
    <xf numFmtId="184" fontId="16" fillId="0" borderId="0" applyFont="0" applyFill="0" applyBorder="0" applyAlignment="0" applyProtection="0"/>
    <xf numFmtId="0" fontId="54" fillId="47" borderId="23" applyNumberFormat="0" applyAlignment="0" applyProtection="0"/>
    <xf numFmtId="2" fontId="16" fillId="0" borderId="0" applyFill="0" applyBorder="0" applyAlignment="0" applyProtection="0"/>
    <xf numFmtId="0" fontId="111" fillId="0" borderId="0" applyNumberFormat="0" applyFill="0" applyBorder="0" applyAlignment="0" applyProtection="0"/>
    <xf numFmtId="0" fontId="111" fillId="0" borderId="0" applyNumberFormat="0" applyFill="0" applyBorder="0" applyAlignment="0" applyProtection="0"/>
  </cellStyleXfs>
  <cellXfs count="838">
    <xf numFmtId="0" fontId="0" fillId="0" borderId="0" xfId="0"/>
    <xf numFmtId="0" fontId="0" fillId="51" borderId="0" xfId="0" applyFill="1"/>
    <xf numFmtId="0" fontId="0" fillId="0" borderId="15" xfId="0" applyBorder="1"/>
    <xf numFmtId="0" fontId="74" fillId="0" borderId="0" xfId="0" applyFont="1"/>
    <xf numFmtId="0" fontId="0" fillId="51" borderId="15" xfId="0" applyFill="1" applyBorder="1" applyAlignment="1">
      <alignment horizontal="center" vertical="center" wrapText="1"/>
    </xf>
    <xf numFmtId="0" fontId="0" fillId="52" borderId="15" xfId="0" applyFill="1" applyBorder="1" applyAlignment="1">
      <alignment horizontal="center"/>
    </xf>
    <xf numFmtId="9" fontId="67" fillId="52" borderId="15" xfId="70" applyFont="1" applyFill="1" applyBorder="1" applyAlignment="1">
      <alignment horizontal="center"/>
    </xf>
    <xf numFmtId="0" fontId="0" fillId="52" borderId="15" xfId="0" applyFill="1" applyBorder="1"/>
    <xf numFmtId="0" fontId="74" fillId="51" borderId="0" xfId="0" applyFont="1" applyFill="1"/>
    <xf numFmtId="0" fontId="0" fillId="51" borderId="15" xfId="0" applyFill="1" applyBorder="1" applyAlignment="1">
      <alignment horizontal="left" vertical="top" wrapText="1"/>
    </xf>
    <xf numFmtId="0" fontId="72" fillId="51" borderId="15" xfId="0" applyFont="1" applyFill="1" applyBorder="1"/>
    <xf numFmtId="0" fontId="0" fillId="53" borderId="0" xfId="0" applyFill="1" applyBorder="1"/>
    <xf numFmtId="0" fontId="0" fillId="54" borderId="0" xfId="0" applyFill="1"/>
    <xf numFmtId="0" fontId="74" fillId="54" borderId="0" xfId="0" applyFont="1" applyFill="1"/>
    <xf numFmtId="0" fontId="72" fillId="54" borderId="15" xfId="0" applyFont="1" applyFill="1" applyBorder="1"/>
    <xf numFmtId="0" fontId="0" fillId="55" borderId="0" xfId="0" applyFill="1"/>
    <xf numFmtId="0" fontId="74" fillId="55" borderId="0" xfId="0" applyFont="1" applyFill="1"/>
    <xf numFmtId="0" fontId="0" fillId="56" borderId="0" xfId="0" applyFill="1"/>
    <xf numFmtId="0" fontId="74" fillId="56" borderId="0" xfId="0" applyFont="1" applyFill="1"/>
    <xf numFmtId="0" fontId="0" fillId="55" borderId="24" xfId="0" applyFill="1" applyBorder="1"/>
    <xf numFmtId="0" fontId="0" fillId="55" borderId="25" xfId="0" applyFill="1" applyBorder="1"/>
    <xf numFmtId="0" fontId="0" fillId="52" borderId="25" xfId="0" applyFill="1" applyBorder="1"/>
    <xf numFmtId="0" fontId="72" fillId="52" borderId="0" xfId="0" applyFont="1" applyFill="1" applyBorder="1"/>
    <xf numFmtId="0" fontId="0" fillId="52" borderId="0" xfId="0" applyFill="1" applyBorder="1"/>
    <xf numFmtId="0" fontId="0" fillId="57" borderId="0" xfId="0" applyFill="1" applyBorder="1"/>
    <xf numFmtId="3" fontId="0" fillId="52" borderId="24" xfId="0" applyNumberFormat="1" applyFill="1" applyBorder="1"/>
    <xf numFmtId="0" fontId="0" fillId="53" borderId="25" xfId="0" applyFill="1" applyBorder="1"/>
    <xf numFmtId="0" fontId="0" fillId="52" borderId="26" xfId="0" applyFill="1" applyBorder="1"/>
    <xf numFmtId="0" fontId="72" fillId="52" borderId="27" xfId="0" applyFont="1" applyFill="1" applyBorder="1"/>
    <xf numFmtId="0" fontId="0" fillId="52" borderId="27" xfId="0" applyFill="1" applyBorder="1"/>
    <xf numFmtId="0" fontId="0" fillId="57" borderId="27" xfId="0" applyFill="1" applyBorder="1"/>
    <xf numFmtId="0" fontId="0" fillId="57" borderId="28" xfId="0" applyFill="1" applyBorder="1"/>
    <xf numFmtId="0" fontId="0" fillId="52" borderId="29" xfId="0" applyFill="1" applyBorder="1"/>
    <xf numFmtId="0" fontId="0" fillId="57" borderId="30" xfId="0" applyFill="1" applyBorder="1"/>
    <xf numFmtId="0" fontId="0" fillId="52" borderId="31" xfId="0" applyFill="1" applyBorder="1"/>
    <xf numFmtId="0" fontId="0" fillId="52" borderId="32" xfId="0" applyFill="1" applyBorder="1"/>
    <xf numFmtId="0" fontId="0" fillId="57" borderId="32" xfId="0" applyFill="1" applyBorder="1"/>
    <xf numFmtId="0" fontId="0" fillId="57" borderId="33" xfId="0" applyFill="1" applyBorder="1"/>
    <xf numFmtId="0" fontId="0" fillId="52" borderId="34" xfId="0" applyFill="1" applyBorder="1"/>
    <xf numFmtId="0" fontId="0" fillId="55" borderId="34" xfId="0" applyFill="1" applyBorder="1" applyAlignment="1">
      <alignment shrinkToFit="1"/>
    </xf>
    <xf numFmtId="3" fontId="0" fillId="58" borderId="24" xfId="0" applyNumberFormat="1" applyFill="1" applyBorder="1"/>
    <xf numFmtId="0" fontId="0" fillId="58" borderId="25" xfId="0" applyFill="1" applyBorder="1"/>
    <xf numFmtId="3" fontId="0" fillId="59" borderId="24" xfId="0" applyNumberFormat="1" applyFill="1" applyBorder="1"/>
    <xf numFmtId="0" fontId="0" fillId="59" borderId="25" xfId="0" applyFill="1" applyBorder="1"/>
    <xf numFmtId="0" fontId="0" fillId="59" borderId="24" xfId="0" applyFill="1" applyBorder="1"/>
    <xf numFmtId="0" fontId="0" fillId="59" borderId="29" xfId="0" applyFill="1" applyBorder="1"/>
    <xf numFmtId="3" fontId="0" fillId="57" borderId="24" xfId="0" applyNumberFormat="1" applyFill="1" applyBorder="1"/>
    <xf numFmtId="0" fontId="0" fillId="57" borderId="25" xfId="0" applyFill="1" applyBorder="1"/>
    <xf numFmtId="4" fontId="0" fillId="57" borderId="34" xfId="0" applyNumberFormat="1" applyFill="1" applyBorder="1"/>
    <xf numFmtId="3" fontId="0" fillId="0" borderId="0" xfId="0" applyNumberFormat="1"/>
    <xf numFmtId="2" fontId="0" fillId="59" borderId="15" xfId="0" applyNumberFormat="1" applyFill="1" applyBorder="1"/>
    <xf numFmtId="2" fontId="0" fillId="59" borderId="24" xfId="0" applyNumberFormat="1" applyFill="1" applyBorder="1"/>
    <xf numFmtId="0" fontId="0" fillId="58" borderId="26" xfId="0" applyFill="1" applyBorder="1"/>
    <xf numFmtId="0" fontId="72" fillId="58" borderId="27" xfId="0" applyFont="1" applyFill="1" applyBorder="1"/>
    <xf numFmtId="0" fontId="0" fillId="58" borderId="27" xfId="0" applyFill="1" applyBorder="1"/>
    <xf numFmtId="0" fontId="0" fillId="58" borderId="28" xfId="0" applyFill="1" applyBorder="1"/>
    <xf numFmtId="0" fontId="0" fillId="58" borderId="29" xfId="0" applyFill="1" applyBorder="1"/>
    <xf numFmtId="0" fontId="0" fillId="58" borderId="0" xfId="0" applyFill="1" applyBorder="1"/>
    <xf numFmtId="0" fontId="0" fillId="58" borderId="30" xfId="0" applyFill="1" applyBorder="1"/>
    <xf numFmtId="0" fontId="0" fillId="58" borderId="31" xfId="0" applyFill="1" applyBorder="1"/>
    <xf numFmtId="0" fontId="72" fillId="58" borderId="32" xfId="0" applyFont="1" applyFill="1" applyBorder="1"/>
    <xf numFmtId="0" fontId="0" fillId="58" borderId="32" xfId="0" applyFill="1" applyBorder="1"/>
    <xf numFmtId="0" fontId="0" fillId="58" borderId="33" xfId="0" applyFill="1" applyBorder="1"/>
    <xf numFmtId="0" fontId="0" fillId="59" borderId="26" xfId="0" applyFill="1" applyBorder="1"/>
    <xf numFmtId="0" fontId="72" fillId="59" borderId="27" xfId="0" applyFont="1" applyFill="1" applyBorder="1"/>
    <xf numFmtId="0" fontId="0" fillId="59" borderId="27" xfId="0" applyFill="1" applyBorder="1"/>
    <xf numFmtId="0" fontId="0" fillId="59" borderId="28" xfId="0" applyFill="1" applyBorder="1"/>
    <xf numFmtId="0" fontId="0" fillId="59" borderId="0" xfId="0" applyFill="1" applyBorder="1"/>
    <xf numFmtId="0" fontId="0" fillId="59" borderId="30" xfId="0" applyFill="1" applyBorder="1"/>
    <xf numFmtId="0" fontId="0" fillId="59" borderId="31" xfId="0" applyFill="1" applyBorder="1"/>
    <xf numFmtId="0" fontId="72" fillId="59" borderId="32" xfId="0" applyFont="1" applyFill="1" applyBorder="1"/>
    <xf numFmtId="0" fontId="0" fillId="59" borderId="32" xfId="0" applyFill="1" applyBorder="1"/>
    <xf numFmtId="0" fontId="0" fillId="59" borderId="33" xfId="0" applyFill="1" applyBorder="1"/>
    <xf numFmtId="0" fontId="0" fillId="60" borderId="0" xfId="0" applyFill="1"/>
    <xf numFmtId="0" fontId="74" fillId="60" borderId="0" xfId="0" applyFont="1" applyFill="1"/>
    <xf numFmtId="0" fontId="72" fillId="60" borderId="15" xfId="0" applyFont="1" applyFill="1" applyBorder="1"/>
    <xf numFmtId="0" fontId="0" fillId="61" borderId="27" xfId="0" applyFill="1" applyBorder="1"/>
    <xf numFmtId="0" fontId="0" fillId="61" borderId="28" xfId="0" applyFill="1" applyBorder="1"/>
    <xf numFmtId="0" fontId="0" fillId="61" borderId="0" xfId="0" applyFill="1" applyBorder="1"/>
    <xf numFmtId="3" fontId="0" fillId="61" borderId="24" xfId="0" applyNumberFormat="1" applyFill="1" applyBorder="1"/>
    <xf numFmtId="0" fontId="0" fillId="61" borderId="25" xfId="0" applyFill="1" applyBorder="1"/>
    <xf numFmtId="0" fontId="0" fillId="61" borderId="30" xfId="0" applyFill="1" applyBorder="1"/>
    <xf numFmtId="0" fontId="0" fillId="61" borderId="32" xfId="0" applyFill="1" applyBorder="1"/>
    <xf numFmtId="0" fontId="0" fillId="61" borderId="33" xfId="0" applyFill="1" applyBorder="1"/>
    <xf numFmtId="0" fontId="0" fillId="61" borderId="31" xfId="0" applyFill="1" applyBorder="1"/>
    <xf numFmtId="0" fontId="0" fillId="61" borderId="26" xfId="0" applyFill="1" applyBorder="1"/>
    <xf numFmtId="0" fontId="0" fillId="61" borderId="29" xfId="0" applyFill="1" applyBorder="1"/>
    <xf numFmtId="3" fontId="0" fillId="61" borderId="15" xfId="0" applyNumberFormat="1" applyFill="1" applyBorder="1"/>
    <xf numFmtId="0" fontId="72" fillId="62" borderId="24" xfId="0" applyFont="1" applyFill="1" applyBorder="1"/>
    <xf numFmtId="0" fontId="72" fillId="62" borderId="34" xfId="0" applyFont="1" applyFill="1" applyBorder="1"/>
    <xf numFmtId="0" fontId="72" fillId="62" borderId="25" xfId="0" applyFont="1" applyFill="1" applyBorder="1" applyAlignment="1">
      <alignment horizontal="center"/>
    </xf>
    <xf numFmtId="0" fontId="0" fillId="62" borderId="24" xfId="0" applyFill="1" applyBorder="1"/>
    <xf numFmtId="0" fontId="0" fillId="62" borderId="34" xfId="0" applyFill="1" applyBorder="1"/>
    <xf numFmtId="3" fontId="0" fillId="62" borderId="25" xfId="0" applyNumberFormat="1" applyFill="1" applyBorder="1" applyAlignment="1">
      <alignment horizontal="center"/>
    </xf>
    <xf numFmtId="3" fontId="0" fillId="63" borderId="15" xfId="0" applyNumberFormat="1" applyFill="1" applyBorder="1"/>
    <xf numFmtId="0" fontId="0" fillId="64" borderId="0" xfId="0" applyFill="1"/>
    <xf numFmtId="0" fontId="0" fillId="64" borderId="0" xfId="0" applyFill="1" applyBorder="1"/>
    <xf numFmtId="0" fontId="72" fillId="63" borderId="25" xfId="0" applyFont="1" applyFill="1" applyBorder="1"/>
    <xf numFmtId="0" fontId="0" fillId="53" borderId="15" xfId="0" applyFont="1" applyFill="1" applyBorder="1"/>
    <xf numFmtId="0" fontId="0" fillId="63" borderId="15" xfId="0" applyFont="1" applyFill="1" applyBorder="1"/>
    <xf numFmtId="0" fontId="0" fillId="53" borderId="26" xfId="0" applyFill="1" applyBorder="1"/>
    <xf numFmtId="0" fontId="0" fillId="53" borderId="27" xfId="0" applyFill="1" applyBorder="1"/>
    <xf numFmtId="0" fontId="0" fillId="53" borderId="28" xfId="0" applyFill="1" applyBorder="1"/>
    <xf numFmtId="0" fontId="0" fillId="53" borderId="29" xfId="0" applyFill="1" applyBorder="1"/>
    <xf numFmtId="0" fontId="0" fillId="53" borderId="30" xfId="0" applyFill="1" applyBorder="1"/>
    <xf numFmtId="0" fontId="0" fillId="53" borderId="24" xfId="0" applyFill="1" applyBorder="1"/>
    <xf numFmtId="0" fontId="0" fillId="53" borderId="31" xfId="0" applyFill="1" applyBorder="1"/>
    <xf numFmtId="0" fontId="0" fillId="53" borderId="32" xfId="0" applyFill="1" applyBorder="1"/>
    <xf numFmtId="0" fontId="0" fillId="53" borderId="33" xfId="0" applyFill="1" applyBorder="1"/>
    <xf numFmtId="0" fontId="0" fillId="53" borderId="34" xfId="0" applyFill="1" applyBorder="1"/>
    <xf numFmtId="0" fontId="0" fillId="53" borderId="24" xfId="0" applyFont="1" applyFill="1" applyBorder="1"/>
    <xf numFmtId="0" fontId="0" fillId="53" borderId="26" xfId="0" applyFont="1" applyFill="1" applyBorder="1"/>
    <xf numFmtId="0" fontId="0" fillId="53" borderId="28" xfId="0" applyFont="1" applyFill="1" applyBorder="1"/>
    <xf numFmtId="167" fontId="0" fillId="53" borderId="25" xfId="0" applyNumberFormat="1" applyFill="1" applyBorder="1"/>
    <xf numFmtId="0" fontId="72" fillId="53" borderId="24" xfId="0" applyFont="1" applyFill="1" applyBorder="1"/>
    <xf numFmtId="167" fontId="72" fillId="53" borderId="25" xfId="0" applyNumberFormat="1" applyFont="1" applyFill="1" applyBorder="1"/>
    <xf numFmtId="0" fontId="75" fillId="51" borderId="0" xfId="0" applyFont="1" applyFill="1"/>
    <xf numFmtId="0" fontId="75" fillId="51" borderId="15" xfId="0" applyFont="1" applyFill="1" applyBorder="1"/>
    <xf numFmtId="0" fontId="75" fillId="51" borderId="0" xfId="0" applyFont="1" applyFill="1" applyBorder="1"/>
    <xf numFmtId="165" fontId="75" fillId="51" borderId="0" xfId="0" applyNumberFormat="1" applyFont="1" applyFill="1"/>
    <xf numFmtId="9" fontId="75" fillId="51" borderId="15" xfId="0" applyNumberFormat="1" applyFont="1" applyFill="1" applyBorder="1"/>
    <xf numFmtId="9" fontId="75" fillId="51" borderId="15" xfId="70" applyFont="1" applyFill="1" applyBorder="1"/>
    <xf numFmtId="0" fontId="76" fillId="51" borderId="15" xfId="0" applyFont="1" applyFill="1" applyBorder="1"/>
    <xf numFmtId="0" fontId="0" fillId="51" borderId="15" xfId="0" applyFont="1" applyFill="1" applyBorder="1"/>
    <xf numFmtId="0" fontId="75" fillId="51" borderId="30" xfId="0" applyFont="1" applyFill="1" applyBorder="1"/>
    <xf numFmtId="0" fontId="75" fillId="51" borderId="0" xfId="0" applyFont="1" applyFill="1" applyAlignment="1">
      <alignment wrapText="1"/>
    </xf>
    <xf numFmtId="0" fontId="0" fillId="51" borderId="35" xfId="0" applyFont="1" applyFill="1" applyBorder="1"/>
    <xf numFmtId="0" fontId="75" fillId="51" borderId="35" xfId="0" applyFont="1" applyFill="1" applyBorder="1"/>
    <xf numFmtId="0" fontId="72" fillId="51" borderId="15" xfId="0" applyFont="1" applyFill="1" applyBorder="1" applyAlignment="1">
      <alignment horizontal="center" vertical="center" wrapText="1"/>
    </xf>
    <xf numFmtId="0" fontId="75" fillId="51" borderId="15" xfId="0" applyFont="1" applyFill="1" applyBorder="1" applyAlignment="1">
      <alignment horizontal="center" vertical="center" wrapText="1"/>
    </xf>
    <xf numFmtId="0" fontId="76" fillId="51" borderId="15" xfId="0" applyFont="1" applyFill="1" applyBorder="1" applyAlignment="1">
      <alignment horizontal="center" vertical="center" wrapText="1"/>
    </xf>
    <xf numFmtId="9" fontId="75" fillId="51" borderId="0" xfId="0" applyNumberFormat="1" applyFont="1" applyFill="1" applyBorder="1"/>
    <xf numFmtId="9" fontId="75" fillId="51" borderId="0" xfId="70" applyFont="1" applyFill="1" applyBorder="1"/>
    <xf numFmtId="0" fontId="0" fillId="53" borderId="0" xfId="0" applyFill="1"/>
    <xf numFmtId="0" fontId="2" fillId="0" borderId="0" xfId="0" applyFont="1"/>
    <xf numFmtId="0" fontId="77" fillId="51" borderId="15" xfId="0" applyFont="1" applyFill="1" applyBorder="1"/>
    <xf numFmtId="0" fontId="0" fillId="64" borderId="36" xfId="0" applyFill="1" applyBorder="1"/>
    <xf numFmtId="0" fontId="0" fillId="64" borderId="37" xfId="0" applyFill="1" applyBorder="1"/>
    <xf numFmtId="0" fontId="0" fillId="64" borderId="38" xfId="0" applyFill="1" applyBorder="1"/>
    <xf numFmtId="0" fontId="0" fillId="64" borderId="39" xfId="0" applyFill="1" applyBorder="1"/>
    <xf numFmtId="0" fontId="0" fillId="64" borderId="40" xfId="0" applyFill="1" applyBorder="1"/>
    <xf numFmtId="0" fontId="72" fillId="64" borderId="0" xfId="0" applyFont="1" applyFill="1" applyBorder="1"/>
    <xf numFmtId="0" fontId="0" fillId="51" borderId="41" xfId="0" applyFill="1" applyBorder="1"/>
    <xf numFmtId="0" fontId="0" fillId="51" borderId="42" xfId="0" applyFill="1" applyBorder="1"/>
    <xf numFmtId="0" fontId="0" fillId="51" borderId="43" xfId="0" applyFill="1" applyBorder="1"/>
    <xf numFmtId="0" fontId="78" fillId="51" borderId="41" xfId="0" applyFont="1" applyFill="1" applyBorder="1"/>
    <xf numFmtId="0" fontId="78" fillId="51" borderId="42" xfId="0" applyFont="1" applyFill="1" applyBorder="1"/>
    <xf numFmtId="0" fontId="77" fillId="51" borderId="42" xfId="0" applyFont="1" applyFill="1" applyBorder="1"/>
    <xf numFmtId="0" fontId="77" fillId="51" borderId="43" xfId="0" applyFont="1" applyFill="1" applyBorder="1"/>
    <xf numFmtId="1" fontId="0" fillId="61" borderId="24" xfId="0" applyNumberFormat="1" applyFill="1" applyBorder="1"/>
    <xf numFmtId="0" fontId="4" fillId="0" borderId="0" xfId="59" applyFont="1" applyFill="1" applyAlignment="1"/>
    <xf numFmtId="0" fontId="3" fillId="0" borderId="0" xfId="59" applyFill="1" applyAlignment="1"/>
    <xf numFmtId="0" fontId="5" fillId="49" borderId="0" xfId="59" applyFont="1" applyFill="1" applyAlignment="1">
      <alignment vertical="center"/>
    </xf>
    <xf numFmtId="0" fontId="5" fillId="49" borderId="0" xfId="59" applyFont="1" applyFill="1" applyAlignment="1">
      <alignment horizontal="left" vertical="center"/>
    </xf>
    <xf numFmtId="0" fontId="3" fillId="49" borderId="0" xfId="59" applyFill="1" applyAlignment="1">
      <alignment horizontal="left"/>
    </xf>
    <xf numFmtId="0" fontId="3" fillId="0" borderId="0" xfId="59"/>
    <xf numFmtId="0" fontId="6" fillId="0" borderId="0" xfId="59" applyFont="1" applyFill="1" applyAlignment="1"/>
    <xf numFmtId="0" fontId="7" fillId="0" borderId="0" xfId="59" applyFont="1" applyFill="1" applyAlignment="1"/>
    <xf numFmtId="0" fontId="8" fillId="0" borderId="41" xfId="59" applyFont="1" applyFill="1" applyBorder="1" applyAlignment="1"/>
    <xf numFmtId="0" fontId="7" fillId="0" borderId="42" xfId="59" applyFont="1" applyFill="1" applyBorder="1" applyAlignment="1"/>
    <xf numFmtId="0" fontId="8" fillId="0" borderId="42" xfId="59" applyFont="1" applyFill="1" applyBorder="1" applyAlignment="1"/>
    <xf numFmtId="0" fontId="6" fillId="0" borderId="42" xfId="59" applyFont="1" applyFill="1" applyBorder="1" applyAlignment="1"/>
    <xf numFmtId="0" fontId="6" fillId="0" borderId="43" xfId="59" applyFont="1" applyFill="1" applyBorder="1" applyAlignment="1"/>
    <xf numFmtId="0" fontId="6" fillId="0" borderId="36" xfId="59" applyFont="1" applyFill="1" applyBorder="1" applyAlignment="1"/>
    <xf numFmtId="0" fontId="6" fillId="0" borderId="0" xfId="59" applyFont="1" applyFill="1" applyBorder="1" applyAlignment="1"/>
    <xf numFmtId="0" fontId="6" fillId="0" borderId="37" xfId="59" applyFont="1" applyFill="1" applyBorder="1" applyAlignment="1"/>
    <xf numFmtId="0" fontId="8" fillId="0" borderId="36" xfId="59" applyFont="1" applyFill="1" applyBorder="1" applyAlignment="1"/>
    <xf numFmtId="0" fontId="7" fillId="0" borderId="0" xfId="59" applyFont="1" applyFill="1" applyBorder="1" applyAlignment="1"/>
    <xf numFmtId="0" fontId="8" fillId="0" borderId="0" xfId="59" applyFont="1" applyFill="1" applyBorder="1" applyAlignment="1"/>
    <xf numFmtId="0" fontId="9" fillId="0" borderId="0" xfId="46" applyFill="1" applyBorder="1" applyAlignment="1" applyProtection="1"/>
    <xf numFmtId="0" fontId="10" fillId="0" borderId="0" xfId="46" applyFont="1" applyFill="1" applyBorder="1" applyAlignment="1" applyProtection="1"/>
    <xf numFmtId="0" fontId="7" fillId="0" borderId="38" xfId="59" applyFont="1" applyFill="1" applyBorder="1" applyAlignment="1"/>
    <xf numFmtId="0" fontId="7" fillId="0" borderId="39" xfId="59" applyFont="1" applyFill="1" applyBorder="1" applyAlignment="1"/>
    <xf numFmtId="0" fontId="8" fillId="0" borderId="39" xfId="59" applyFont="1" applyFill="1" applyBorder="1" applyAlignment="1"/>
    <xf numFmtId="0" fontId="6" fillId="0" borderId="39" xfId="59" applyFont="1" applyFill="1" applyBorder="1" applyAlignment="1"/>
    <xf numFmtId="0" fontId="9" fillId="0" borderId="39" xfId="46" applyFill="1" applyBorder="1" applyAlignment="1" applyProtection="1"/>
    <xf numFmtId="0" fontId="6" fillId="0" borderId="40" xfId="59" applyFont="1" applyFill="1" applyBorder="1" applyAlignment="1"/>
    <xf numFmtId="0" fontId="8" fillId="0" borderId="0" xfId="59" applyFont="1" applyFill="1" applyAlignment="1"/>
    <xf numFmtId="0" fontId="10" fillId="0" borderId="0" xfId="46" applyFont="1" applyFill="1" applyAlignment="1" applyProtection="1"/>
    <xf numFmtId="0" fontId="8" fillId="0" borderId="41" xfId="59" applyFont="1" applyFill="1" applyBorder="1" applyAlignment="1">
      <alignment horizontal="left"/>
    </xf>
    <xf numFmtId="168" fontId="6" fillId="0" borderId="42" xfId="59" applyNumberFormat="1" applyFont="1" applyFill="1" applyBorder="1" applyAlignment="1"/>
    <xf numFmtId="0" fontId="8" fillId="0" borderId="38" xfId="59" applyFont="1" applyFill="1" applyBorder="1" applyAlignment="1"/>
    <xf numFmtId="0" fontId="8" fillId="0" borderId="40" xfId="59" applyFont="1" applyFill="1" applyBorder="1" applyAlignment="1">
      <alignment horizontal="right"/>
    </xf>
    <xf numFmtId="0" fontId="11" fillId="0" borderId="0" xfId="59" applyFont="1" applyFill="1" applyAlignment="1"/>
    <xf numFmtId="0" fontId="12" fillId="0" borderId="41" xfId="59" applyFont="1" applyFill="1" applyBorder="1" applyAlignment="1"/>
    <xf numFmtId="168" fontId="11" fillId="0" borderId="42" xfId="59" applyNumberFormat="1" applyFont="1" applyFill="1" applyBorder="1" applyAlignment="1"/>
    <xf numFmtId="0" fontId="11" fillId="0" borderId="42" xfId="59" applyFont="1" applyFill="1" applyBorder="1" applyAlignment="1"/>
    <xf numFmtId="0" fontId="12" fillId="0" borderId="42" xfId="59" applyFont="1" applyFill="1" applyBorder="1" applyAlignment="1">
      <alignment horizontal="right"/>
    </xf>
    <xf numFmtId="168" fontId="12" fillId="0" borderId="36" xfId="59" applyNumberFormat="1" applyFont="1" applyFill="1" applyBorder="1" applyAlignment="1"/>
    <xf numFmtId="0" fontId="11" fillId="0" borderId="0" xfId="61" applyFont="1"/>
    <xf numFmtId="0" fontId="12" fillId="0" borderId="0" xfId="61" applyFont="1" applyAlignment="1">
      <alignment horizontal="right"/>
    </xf>
    <xf numFmtId="0" fontId="11" fillId="0" borderId="37" xfId="61" applyFont="1" applyBorder="1"/>
    <xf numFmtId="0" fontId="11" fillId="0" borderId="0" xfId="61" applyFont="1" applyAlignment="1">
      <alignment horizontal="left"/>
    </xf>
    <xf numFmtId="168" fontId="12" fillId="0" borderId="38" xfId="59" applyNumberFormat="1" applyFont="1" applyFill="1" applyBorder="1" applyAlignment="1"/>
    <xf numFmtId="0" fontId="11" fillId="0" borderId="39" xfId="61" applyFont="1" applyBorder="1"/>
    <xf numFmtId="0" fontId="11" fillId="0" borderId="40" xfId="61" applyFont="1" applyBorder="1"/>
    <xf numFmtId="168" fontId="12" fillId="0" borderId="0" xfId="59" applyNumberFormat="1" applyFont="1" applyFill="1" applyAlignment="1"/>
    <xf numFmtId="0" fontId="12" fillId="0" borderId="42" xfId="59" applyFont="1" applyFill="1" applyBorder="1" applyAlignment="1"/>
    <xf numFmtId="0" fontId="11" fillId="0" borderId="43" xfId="59" applyFont="1" applyFill="1" applyBorder="1" applyAlignment="1"/>
    <xf numFmtId="0" fontId="11" fillId="0" borderId="36" xfId="59" applyFont="1" applyFill="1" applyBorder="1" applyAlignment="1"/>
    <xf numFmtId="0" fontId="11" fillId="0" borderId="0" xfId="59" applyFont="1" applyFill="1" applyBorder="1" applyAlignment="1"/>
    <xf numFmtId="0" fontId="11" fillId="0" borderId="37" xfId="59" applyFont="1" applyFill="1" applyBorder="1" applyAlignment="1"/>
    <xf numFmtId="0" fontId="11" fillId="0" borderId="0" xfId="59" applyFont="1" applyFill="1" applyBorder="1" applyAlignment="1">
      <alignment horizontal="left" indent="1"/>
    </xf>
    <xf numFmtId="0" fontId="11" fillId="0" borderId="38" xfId="59" applyFont="1" applyFill="1" applyBorder="1" applyAlignment="1"/>
    <xf numFmtId="0" fontId="11" fillId="0" borderId="39" xfId="59" applyFont="1" applyFill="1" applyBorder="1" applyAlignment="1"/>
    <xf numFmtId="0" fontId="11" fillId="0" borderId="40" xfId="59" applyFont="1" applyFill="1" applyBorder="1" applyAlignment="1"/>
    <xf numFmtId="0" fontId="12" fillId="0" borderId="41" xfId="59" applyFont="1" applyFill="1" applyBorder="1" applyAlignment="1">
      <alignment vertical="top"/>
    </xf>
    <xf numFmtId="0" fontId="13" fillId="0" borderId="42" xfId="59" applyFont="1" applyFill="1" applyBorder="1" applyAlignment="1"/>
    <xf numFmtId="0" fontId="13" fillId="0" borderId="36" xfId="59" applyFont="1" applyFill="1" applyBorder="1" applyAlignment="1"/>
    <xf numFmtId="0" fontId="13" fillId="0" borderId="0" xfId="59" applyFont="1" applyFill="1" applyBorder="1" applyAlignment="1"/>
    <xf numFmtId="0" fontId="12" fillId="0" borderId="15" xfId="59" applyFont="1" applyFill="1" applyBorder="1" applyAlignment="1"/>
    <xf numFmtId="0" fontId="7" fillId="0" borderId="0" xfId="59" quotePrefix="1" applyFont="1" applyFill="1" applyAlignment="1"/>
    <xf numFmtId="0" fontId="6" fillId="0" borderId="0" xfId="59" quotePrefix="1" applyFont="1" applyFill="1" applyAlignment="1"/>
    <xf numFmtId="0" fontId="3" fillId="0" borderId="0" xfId="59" quotePrefix="1" applyFill="1" applyAlignment="1"/>
    <xf numFmtId="0" fontId="2" fillId="51" borderId="0" xfId="61" applyFont="1" applyFill="1"/>
    <xf numFmtId="0" fontId="74" fillId="62" borderId="15" xfId="0" applyFont="1" applyFill="1" applyBorder="1"/>
    <xf numFmtId="0" fontId="77" fillId="62" borderId="15" xfId="0" applyFont="1" applyFill="1" applyBorder="1"/>
    <xf numFmtId="0" fontId="0" fillId="62" borderId="15" xfId="0" applyFont="1" applyFill="1" applyBorder="1"/>
    <xf numFmtId="0" fontId="0" fillId="0" borderId="15" xfId="0" applyFont="1" applyBorder="1" applyAlignment="1" applyProtection="1">
      <alignment horizontal="center" wrapText="1"/>
      <protection locked="0"/>
    </xf>
    <xf numFmtId="0" fontId="0" fillId="53" borderId="15" xfId="0" applyFill="1" applyBorder="1" applyAlignment="1" applyProtection="1">
      <alignment horizontal="center" wrapText="1"/>
      <protection locked="0"/>
    </xf>
    <xf numFmtId="0" fontId="0" fillId="53" borderId="15" xfId="0" applyFill="1" applyBorder="1" applyProtection="1">
      <protection locked="0"/>
    </xf>
    <xf numFmtId="0" fontId="75" fillId="65" borderId="0" xfId="0" applyFont="1" applyFill="1" applyBorder="1" applyAlignment="1">
      <alignment horizontal="center" vertical="center" wrapText="1"/>
    </xf>
    <xf numFmtId="0" fontId="75" fillId="65" borderId="0" xfId="0" applyFont="1" applyFill="1" applyBorder="1" applyAlignment="1">
      <alignment wrapText="1"/>
    </xf>
    <xf numFmtId="0" fontId="72" fillId="65" borderId="32" xfId="0" applyFont="1" applyFill="1" applyBorder="1" applyAlignment="1">
      <alignment horizontal="center" vertical="center" wrapText="1"/>
    </xf>
    <xf numFmtId="0" fontId="72" fillId="65" borderId="34" xfId="0" applyFont="1" applyFill="1" applyBorder="1" applyAlignment="1">
      <alignment horizontal="center" vertical="center" wrapText="1"/>
    </xf>
    <xf numFmtId="0" fontId="76" fillId="65" borderId="32" xfId="0" applyFont="1" applyFill="1" applyBorder="1" applyAlignment="1">
      <alignment horizontal="center" vertical="center" wrapText="1"/>
    </xf>
    <xf numFmtId="0" fontId="79" fillId="65" borderId="32" xfId="0" applyFont="1" applyFill="1" applyBorder="1" applyAlignment="1">
      <alignment horizontal="center" vertical="center" wrapText="1"/>
    </xf>
    <xf numFmtId="0" fontId="75" fillId="51" borderId="44" xfId="0" applyFont="1" applyFill="1" applyBorder="1" applyAlignment="1">
      <alignment horizontal="center" vertical="center" wrapText="1"/>
    </xf>
    <xf numFmtId="3" fontId="0" fillId="51" borderId="15" xfId="0" applyNumberFormat="1" applyFont="1" applyFill="1" applyBorder="1"/>
    <xf numFmtId="3" fontId="75" fillId="51" borderId="35" xfId="0" applyNumberFormat="1" applyFont="1" applyFill="1" applyBorder="1"/>
    <xf numFmtId="3" fontId="75" fillId="51" borderId="0" xfId="0" applyNumberFormat="1" applyFont="1" applyFill="1"/>
    <xf numFmtId="3" fontId="72" fillId="65" borderId="32" xfId="0" applyNumberFormat="1" applyFont="1" applyFill="1" applyBorder="1" applyAlignment="1">
      <alignment horizontal="center" vertical="center" wrapText="1"/>
    </xf>
    <xf numFmtId="4" fontId="0" fillId="51" borderId="15" xfId="0" applyNumberFormat="1" applyFont="1" applyFill="1" applyBorder="1"/>
    <xf numFmtId="0" fontId="55" fillId="66" borderId="0" xfId="0" quotePrefix="1" applyFont="1" applyFill="1" applyAlignment="1">
      <alignment horizontal="right"/>
    </xf>
    <xf numFmtId="0" fontId="15" fillId="53" borderId="0" xfId="0" applyFont="1" applyFill="1" applyAlignment="1">
      <alignment horizontal="right"/>
    </xf>
    <xf numFmtId="0" fontId="15" fillId="53" borderId="0" xfId="0" quotePrefix="1" applyFont="1" applyFill="1" applyAlignment="1">
      <alignment horizontal="right"/>
    </xf>
    <xf numFmtId="0" fontId="15" fillId="53" borderId="0" xfId="0" applyFont="1" applyFill="1" applyBorder="1" applyAlignment="1">
      <alignment horizontal="right"/>
    </xf>
    <xf numFmtId="0" fontId="80" fillId="51" borderId="15" xfId="0" applyFont="1" applyFill="1" applyBorder="1" applyAlignment="1">
      <alignment horizontal="left" wrapText="1" indent="1"/>
    </xf>
    <xf numFmtId="9" fontId="75" fillId="51" borderId="35" xfId="0" applyNumberFormat="1" applyFont="1" applyFill="1" applyBorder="1"/>
    <xf numFmtId="0" fontId="75" fillId="51" borderId="24" xfId="0" applyFont="1" applyFill="1" applyBorder="1"/>
    <xf numFmtId="0" fontId="75" fillId="51" borderId="34" xfId="0" applyFont="1" applyFill="1" applyBorder="1"/>
    <xf numFmtId="3" fontId="0" fillId="51" borderId="34" xfId="0" applyNumberFormat="1" applyFont="1" applyFill="1" applyBorder="1"/>
    <xf numFmtId="0" fontId="0" fillId="51" borderId="34" xfId="0" applyFont="1" applyFill="1" applyBorder="1"/>
    <xf numFmtId="0" fontId="0" fillId="51" borderId="34" xfId="0" applyFont="1" applyFill="1" applyBorder="1" applyProtection="1"/>
    <xf numFmtId="0" fontId="75" fillId="51" borderId="34" xfId="0" applyFont="1" applyFill="1" applyBorder="1" applyAlignment="1">
      <alignment horizontal="center" vertical="center" wrapText="1"/>
    </xf>
    <xf numFmtId="0" fontId="0" fillId="51" borderId="25" xfId="0" applyFont="1" applyFill="1" applyBorder="1"/>
    <xf numFmtId="0" fontId="75" fillId="51" borderId="44" xfId="0" applyFont="1" applyFill="1" applyBorder="1"/>
    <xf numFmtId="0" fontId="0" fillId="58" borderId="15" xfId="0" applyFill="1" applyBorder="1"/>
    <xf numFmtId="186" fontId="0" fillId="58" borderId="24" xfId="0" applyNumberFormat="1" applyFill="1" applyBorder="1"/>
    <xf numFmtId="0" fontId="0" fillId="65" borderId="0" xfId="0" applyFill="1"/>
    <xf numFmtId="0" fontId="74" fillId="65" borderId="0" xfId="0" applyFont="1" applyFill="1"/>
    <xf numFmtId="0" fontId="72" fillId="65" borderId="15" xfId="0" applyFont="1" applyFill="1" applyBorder="1"/>
    <xf numFmtId="0" fontId="0" fillId="67" borderId="26" xfId="0" applyFill="1" applyBorder="1"/>
    <xf numFmtId="0" fontId="0" fillId="67" borderId="27" xfId="0" applyFill="1" applyBorder="1"/>
    <xf numFmtId="0" fontId="0" fillId="67" borderId="28" xfId="0" applyFill="1" applyBorder="1"/>
    <xf numFmtId="0" fontId="0" fillId="67" borderId="29" xfId="0" applyFill="1" applyBorder="1"/>
    <xf numFmtId="0" fontId="0" fillId="67" borderId="31" xfId="0" applyFill="1" applyBorder="1"/>
    <xf numFmtId="0" fontId="0" fillId="67" borderId="32" xfId="0" applyFill="1" applyBorder="1"/>
    <xf numFmtId="0" fontId="0" fillId="67" borderId="33" xfId="0" applyFill="1" applyBorder="1"/>
    <xf numFmtId="0" fontId="0" fillId="67" borderId="0" xfId="0" applyFill="1" applyBorder="1"/>
    <xf numFmtId="0" fontId="0" fillId="67" borderId="30" xfId="0" applyFill="1" applyBorder="1"/>
    <xf numFmtId="3" fontId="0" fillId="67" borderId="24" xfId="0" applyNumberFormat="1" applyFill="1" applyBorder="1"/>
    <xf numFmtId="0" fontId="0" fillId="67" borderId="25" xfId="0" applyFill="1" applyBorder="1"/>
    <xf numFmtId="1" fontId="0" fillId="67" borderId="24" xfId="0" applyNumberFormat="1" applyFill="1" applyBorder="1"/>
    <xf numFmtId="3" fontId="0" fillId="67" borderId="15" xfId="0" applyNumberFormat="1" applyFill="1" applyBorder="1"/>
    <xf numFmtId="0" fontId="75" fillId="68" borderId="0" xfId="0" applyFont="1" applyFill="1" applyBorder="1"/>
    <xf numFmtId="0" fontId="75" fillId="68" borderId="0" xfId="0" applyFont="1" applyFill="1" applyBorder="1" applyAlignment="1">
      <alignment wrapText="1"/>
    </xf>
    <xf numFmtId="0" fontId="79" fillId="68" borderId="0" xfId="0" applyFont="1" applyFill="1" applyBorder="1" applyAlignment="1">
      <alignment horizontal="center" vertical="center" wrapText="1"/>
    </xf>
    <xf numFmtId="0" fontId="72" fillId="68" borderId="0" xfId="0" applyFont="1" applyFill="1" applyBorder="1" applyAlignment="1">
      <alignment horizontal="center" vertical="center" wrapText="1"/>
    </xf>
    <xf numFmtId="0" fontId="75" fillId="68" borderId="0" xfId="0" applyFont="1" applyFill="1" applyBorder="1" applyAlignment="1">
      <alignment horizontal="center" vertical="center" wrapText="1"/>
    </xf>
    <xf numFmtId="0" fontId="76" fillId="68" borderId="0" xfId="0" applyFont="1" applyFill="1" applyBorder="1" applyAlignment="1">
      <alignment horizontal="center" vertical="center" wrapText="1"/>
    </xf>
    <xf numFmtId="0" fontId="0" fillId="65" borderId="24" xfId="0" applyFill="1" applyBorder="1"/>
    <xf numFmtId="0" fontId="0" fillId="65" borderId="25" xfId="0" applyFill="1" applyBorder="1"/>
    <xf numFmtId="0" fontId="0" fillId="65" borderId="34" xfId="0" applyFill="1" applyBorder="1" applyAlignment="1">
      <alignment shrinkToFit="1"/>
    </xf>
    <xf numFmtId="4" fontId="0" fillId="65" borderId="15" xfId="0" applyNumberFormat="1" applyFill="1" applyBorder="1"/>
    <xf numFmtId="3" fontId="0" fillId="64" borderId="24" xfId="0" applyNumberFormat="1" applyFill="1" applyBorder="1"/>
    <xf numFmtId="0" fontId="75" fillId="53" borderId="15" xfId="0" applyFont="1" applyFill="1" applyBorder="1" applyProtection="1">
      <protection locked="0"/>
    </xf>
    <xf numFmtId="9" fontId="75" fillId="51" borderId="15" xfId="70" applyFont="1" applyFill="1" applyBorder="1" applyAlignment="1">
      <alignment horizontal="center"/>
    </xf>
    <xf numFmtId="9" fontId="75" fillId="51" borderId="15" xfId="0" applyNumberFormat="1" applyFont="1" applyFill="1" applyBorder="1" applyAlignment="1">
      <alignment horizontal="center"/>
    </xf>
    <xf numFmtId="0" fontId="75" fillId="51" borderId="15" xfId="0" applyFont="1" applyFill="1" applyBorder="1" applyAlignment="1">
      <alignment horizontal="center"/>
    </xf>
    <xf numFmtId="0" fontId="72" fillId="51" borderId="15" xfId="0" applyFont="1" applyFill="1" applyBorder="1" applyAlignment="1">
      <alignment horizontal="center"/>
    </xf>
    <xf numFmtId="166" fontId="75" fillId="51" borderId="15" xfId="70" applyNumberFormat="1" applyFont="1" applyFill="1" applyBorder="1" applyAlignment="1">
      <alignment horizontal="center"/>
    </xf>
    <xf numFmtId="0" fontId="81" fillId="0" borderId="0" xfId="0" applyFont="1" applyFill="1" applyBorder="1" applyAlignment="1">
      <alignment horizontal="center" vertical="center" wrapText="1"/>
    </xf>
    <xf numFmtId="0" fontId="0" fillId="0" borderId="0" xfId="0" applyAlignment="1"/>
    <xf numFmtId="0" fontId="0" fillId="0" borderId="15" xfId="0" applyBorder="1" applyAlignment="1"/>
    <xf numFmtId="0" fontId="0" fillId="0" borderId="15" xfId="0" applyFont="1" applyBorder="1" applyAlignment="1"/>
    <xf numFmtId="9" fontId="67" fillId="0" borderId="15" xfId="70" applyFont="1" applyBorder="1" applyAlignment="1"/>
    <xf numFmtId="9" fontId="67" fillId="0" borderId="15" xfId="70" applyNumberFormat="1" applyFont="1" applyBorder="1" applyAlignment="1"/>
    <xf numFmtId="0" fontId="0" fillId="69" borderId="0" xfId="0" applyFill="1"/>
    <xf numFmtId="0" fontId="74" fillId="69" borderId="0" xfId="0" applyFont="1" applyFill="1"/>
    <xf numFmtId="0" fontId="68" fillId="69" borderId="0" xfId="0" applyFont="1" applyFill="1"/>
    <xf numFmtId="0" fontId="82" fillId="69" borderId="0" xfId="0" applyFont="1" applyFill="1"/>
    <xf numFmtId="0" fontId="72" fillId="70" borderId="15" xfId="0" applyFont="1" applyFill="1" applyBorder="1"/>
    <xf numFmtId="0" fontId="0" fillId="70" borderId="24" xfId="0" applyFill="1" applyBorder="1"/>
    <xf numFmtId="0" fontId="0" fillId="70" borderId="25" xfId="0" applyFill="1" applyBorder="1"/>
    <xf numFmtId="4" fontId="0" fillId="70" borderId="15" xfId="0" applyNumberFormat="1" applyFill="1" applyBorder="1"/>
    <xf numFmtId="0" fontId="0" fillId="71" borderId="26" xfId="0" applyFill="1" applyBorder="1"/>
    <xf numFmtId="0" fontId="0" fillId="71" borderId="27" xfId="0" applyFill="1" applyBorder="1"/>
    <xf numFmtId="0" fontId="0" fillId="71" borderId="28" xfId="0" applyFill="1" applyBorder="1"/>
    <xf numFmtId="0" fontId="0" fillId="71" borderId="29" xfId="0" applyFill="1" applyBorder="1"/>
    <xf numFmtId="0" fontId="0" fillId="71" borderId="0" xfId="0" applyFill="1"/>
    <xf numFmtId="0" fontId="0" fillId="71" borderId="0" xfId="0" applyFill="1" applyBorder="1"/>
    <xf numFmtId="0" fontId="0" fillId="71" borderId="30" xfId="0" applyFill="1" applyBorder="1"/>
    <xf numFmtId="0" fontId="0" fillId="71" borderId="31" xfId="0" applyFill="1" applyBorder="1"/>
    <xf numFmtId="0" fontId="0" fillId="71" borderId="32" xfId="0" applyFill="1" applyBorder="1"/>
    <xf numFmtId="0" fontId="0" fillId="71" borderId="33" xfId="0" applyFill="1" applyBorder="1"/>
    <xf numFmtId="1" fontId="0" fillId="71" borderId="24" xfId="0" applyNumberFormat="1" applyFill="1" applyBorder="1"/>
    <xf numFmtId="0" fontId="0" fillId="71" borderId="25" xfId="0" applyFill="1" applyBorder="1"/>
    <xf numFmtId="3" fontId="0" fillId="71" borderId="24" xfId="0" applyNumberFormat="1" applyFill="1" applyBorder="1"/>
    <xf numFmtId="3" fontId="0" fillId="64" borderId="0" xfId="0" applyNumberFormat="1" applyFill="1"/>
    <xf numFmtId="0" fontId="0" fillId="72" borderId="0" xfId="0" applyFill="1"/>
    <xf numFmtId="9" fontId="0" fillId="53" borderId="15" xfId="0" applyNumberFormat="1" applyFill="1" applyBorder="1" applyAlignment="1">
      <alignment horizontal="center"/>
    </xf>
    <xf numFmtId="0" fontId="74" fillId="53" borderId="15" xfId="0" applyFont="1" applyFill="1" applyBorder="1"/>
    <xf numFmtId="0" fontId="74" fillId="53" borderId="34" xfId="0" applyFont="1" applyFill="1" applyBorder="1"/>
    <xf numFmtId="0" fontId="0" fillId="53" borderId="34" xfId="0" applyFont="1" applyFill="1" applyBorder="1"/>
    <xf numFmtId="0" fontId="0" fillId="53" borderId="41" xfId="0" applyFill="1" applyBorder="1"/>
    <xf numFmtId="0" fontId="0" fillId="53" borderId="42" xfId="0" applyFill="1" applyBorder="1"/>
    <xf numFmtId="0" fontId="0" fillId="53" borderId="43" xfId="0" applyFill="1" applyBorder="1"/>
    <xf numFmtId="0" fontId="0" fillId="53" borderId="36" xfId="0" applyFill="1" applyBorder="1"/>
    <xf numFmtId="0" fontId="0" fillId="53" borderId="37" xfId="0" applyFill="1" applyBorder="1"/>
    <xf numFmtId="0" fontId="83" fillId="73" borderId="0" xfId="0" applyFont="1" applyFill="1"/>
    <xf numFmtId="0" fontId="0" fillId="53" borderId="27" xfId="0" applyFill="1" applyBorder="1" applyAlignment="1">
      <alignment horizontal="right"/>
    </xf>
    <xf numFmtId="0" fontId="0" fillId="53" borderId="34" xfId="0" applyFill="1" applyBorder="1" applyAlignment="1">
      <alignment horizontal="right"/>
    </xf>
    <xf numFmtId="3" fontId="72" fillId="53" borderId="34" xfId="0" applyNumberFormat="1" applyFont="1" applyFill="1" applyBorder="1"/>
    <xf numFmtId="3" fontId="0" fillId="53" borderId="34" xfId="0" applyNumberFormat="1" applyFill="1" applyBorder="1"/>
    <xf numFmtId="167" fontId="0" fillId="64" borderId="0" xfId="0" applyNumberFormat="1" applyFill="1"/>
    <xf numFmtId="0" fontId="68" fillId="74" borderId="24" xfId="0" applyFont="1" applyFill="1" applyBorder="1"/>
    <xf numFmtId="0" fontId="68" fillId="74" borderId="25" xfId="0" applyFont="1" applyFill="1" applyBorder="1"/>
    <xf numFmtId="0" fontId="79" fillId="65" borderId="32" xfId="0" applyFont="1" applyFill="1" applyBorder="1" applyAlignment="1">
      <alignment horizontal="right" vertical="center" wrapText="1"/>
    </xf>
    <xf numFmtId="0" fontId="72" fillId="65" borderId="32" xfId="0" applyFont="1" applyFill="1" applyBorder="1" applyAlignment="1">
      <alignment horizontal="left" vertical="center"/>
    </xf>
    <xf numFmtId="0" fontId="68" fillId="74" borderId="36" xfId="0" applyFont="1" applyFill="1" applyBorder="1"/>
    <xf numFmtId="0" fontId="68" fillId="74" borderId="0" xfId="0" applyFont="1" applyFill="1" applyBorder="1"/>
    <xf numFmtId="0" fontId="68" fillId="74" borderId="37" xfId="0" applyFont="1" applyFill="1" applyBorder="1"/>
    <xf numFmtId="0" fontId="68" fillId="53" borderId="36" xfId="0" applyFont="1" applyFill="1" applyBorder="1"/>
    <xf numFmtId="0" fontId="0" fillId="53" borderId="15" xfId="0" applyFont="1" applyFill="1" applyBorder="1" applyAlignment="1">
      <alignment vertical="center"/>
    </xf>
    <xf numFmtId="0" fontId="72" fillId="72" borderId="0" xfId="0" applyFont="1" applyFill="1"/>
    <xf numFmtId="0" fontId="84" fillId="51" borderId="15" xfId="0" applyFont="1" applyFill="1" applyBorder="1" applyAlignment="1">
      <alignment horizontal="right"/>
    </xf>
    <xf numFmtId="0" fontId="79" fillId="68" borderId="0" xfId="0" applyFont="1" applyFill="1" applyBorder="1" applyAlignment="1">
      <alignment horizontal="left" vertical="center"/>
    </xf>
    <xf numFmtId="0" fontId="0" fillId="62" borderId="0" xfId="0" applyFill="1"/>
    <xf numFmtId="0" fontId="83" fillId="75" borderId="45" xfId="0" applyFont="1" applyFill="1" applyBorder="1" applyProtection="1">
      <protection locked="0"/>
    </xf>
    <xf numFmtId="0" fontId="0" fillId="53" borderId="15" xfId="0" applyFont="1" applyFill="1" applyBorder="1" applyProtection="1">
      <protection locked="0"/>
    </xf>
    <xf numFmtId="3" fontId="75" fillId="51" borderId="15" xfId="0" applyNumberFormat="1" applyFont="1" applyFill="1" applyBorder="1"/>
    <xf numFmtId="0" fontId="0" fillId="51" borderId="15" xfId="0" applyFont="1" applyFill="1" applyBorder="1" applyAlignment="1">
      <alignment horizontal="center"/>
    </xf>
    <xf numFmtId="0" fontId="76" fillId="53" borderId="15" xfId="0" applyFont="1" applyFill="1" applyBorder="1" applyProtection="1">
      <protection locked="0"/>
    </xf>
    <xf numFmtId="0" fontId="7" fillId="0" borderId="43" xfId="59" applyFont="1" applyBorder="1" applyAlignment="1">
      <alignment horizontal="right"/>
    </xf>
    <xf numFmtId="0" fontId="6" fillId="0" borderId="0" xfId="59" applyFont="1" applyBorder="1"/>
    <xf numFmtId="0" fontId="0" fillId="64" borderId="42" xfId="0" applyFill="1" applyBorder="1"/>
    <xf numFmtId="0" fontId="0" fillId="64" borderId="43" xfId="0" applyFill="1" applyBorder="1"/>
    <xf numFmtId="0" fontId="72" fillId="64" borderId="41" xfId="0" applyFont="1" applyFill="1" applyBorder="1"/>
    <xf numFmtId="0" fontId="0" fillId="53" borderId="37" xfId="0" applyFill="1" applyBorder="1" applyAlignment="1">
      <alignment horizontal="right"/>
    </xf>
    <xf numFmtId="14" fontId="0" fillId="53" borderId="15" xfId="0" applyNumberFormat="1" applyFont="1" applyFill="1" applyBorder="1"/>
    <xf numFmtId="14" fontId="0" fillId="64" borderId="0" xfId="0" applyNumberFormat="1" applyFill="1"/>
    <xf numFmtId="0" fontId="0" fillId="64" borderId="0" xfId="0" applyNumberFormat="1" applyFill="1"/>
    <xf numFmtId="0" fontId="0" fillId="70" borderId="15" xfId="0" applyFill="1" applyBorder="1"/>
    <xf numFmtId="0" fontId="0" fillId="70" borderId="34" xfId="0" applyFill="1" applyBorder="1"/>
    <xf numFmtId="0" fontId="0" fillId="70" borderId="24" xfId="0" applyFill="1" applyBorder="1" applyAlignment="1">
      <alignment shrinkToFit="1"/>
    </xf>
    <xf numFmtId="0" fontId="67" fillId="55" borderId="0" xfId="58" applyFont="1" applyFill="1" applyBorder="1" applyAlignment="1">
      <alignment vertical="center"/>
    </xf>
    <xf numFmtId="0" fontId="0" fillId="76" borderId="0" xfId="0" applyFill="1"/>
    <xf numFmtId="0" fontId="74" fillId="76" borderId="0" xfId="0" applyFont="1" applyFill="1"/>
    <xf numFmtId="0" fontId="0" fillId="76" borderId="26" xfId="0" applyFill="1" applyBorder="1"/>
    <xf numFmtId="0" fontId="0" fillId="76" borderId="29" xfId="0" applyFill="1" applyBorder="1"/>
    <xf numFmtId="0" fontId="0" fillId="76" borderId="31" xfId="0" applyFill="1" applyBorder="1"/>
    <xf numFmtId="0" fontId="0" fillId="76" borderId="27" xfId="0" applyFill="1" applyBorder="1"/>
    <xf numFmtId="0" fontId="0" fillId="76" borderId="28" xfId="0" applyFill="1" applyBorder="1"/>
    <xf numFmtId="0" fontId="0" fillId="76" borderId="32" xfId="0" applyFill="1" applyBorder="1"/>
    <xf numFmtId="0" fontId="0" fillId="76" borderId="33" xfId="0" applyFill="1" applyBorder="1"/>
    <xf numFmtId="0" fontId="0" fillId="76" borderId="0" xfId="0" applyFill="1" applyBorder="1"/>
    <xf numFmtId="0" fontId="0" fillId="76" borderId="30" xfId="0" applyFill="1" applyBorder="1"/>
    <xf numFmtId="3" fontId="0" fillId="77" borderId="24" xfId="0" applyNumberFormat="1" applyFill="1" applyBorder="1"/>
    <xf numFmtId="0" fontId="0" fillId="77" borderId="25" xfId="0" applyFill="1" applyBorder="1"/>
    <xf numFmtId="0" fontId="72" fillId="65" borderId="0" xfId="0" applyFont="1" applyFill="1" applyBorder="1" applyAlignment="1">
      <alignment horizontal="center" vertical="center" wrapText="1"/>
    </xf>
    <xf numFmtId="0" fontId="0" fillId="51" borderId="44" xfId="0" applyFont="1" applyFill="1" applyBorder="1" applyProtection="1">
      <protection locked="0"/>
    </xf>
    <xf numFmtId="0" fontId="0" fillId="0" borderId="0" xfId="0" applyFill="1" applyBorder="1"/>
    <xf numFmtId="9" fontId="67" fillId="51" borderId="35" xfId="70" applyFont="1" applyFill="1" applyBorder="1"/>
    <xf numFmtId="9" fontId="76" fillId="53" borderId="15" xfId="70" applyFont="1" applyFill="1" applyBorder="1" applyProtection="1">
      <protection locked="0"/>
    </xf>
    <xf numFmtId="9" fontId="75" fillId="51" borderId="0" xfId="70" applyFont="1" applyFill="1"/>
    <xf numFmtId="9" fontId="72" fillId="65" borderId="32" xfId="70" applyFont="1" applyFill="1" applyBorder="1" applyAlignment="1">
      <alignment horizontal="center" vertical="center" wrapText="1"/>
    </xf>
    <xf numFmtId="9" fontId="75" fillId="51" borderId="34" xfId="70" applyFont="1" applyFill="1" applyBorder="1"/>
    <xf numFmtId="9" fontId="75" fillId="51" borderId="25" xfId="70" applyFont="1" applyFill="1" applyBorder="1"/>
    <xf numFmtId="3" fontId="0" fillId="0" borderId="0" xfId="0" applyNumberFormat="1" applyFill="1" applyBorder="1"/>
    <xf numFmtId="0" fontId="0" fillId="0" borderId="0" xfId="0" applyFill="1"/>
    <xf numFmtId="0" fontId="67" fillId="55" borderId="15" xfId="58" applyFont="1" applyFill="1" applyBorder="1" applyAlignment="1">
      <alignment vertical="center"/>
    </xf>
    <xf numFmtId="0" fontId="0" fillId="64" borderId="41" xfId="0" applyFill="1" applyBorder="1"/>
    <xf numFmtId="3" fontId="0" fillId="70" borderId="15" xfId="0" applyNumberFormat="1" applyFill="1" applyBorder="1"/>
    <xf numFmtId="0" fontId="0" fillId="60" borderId="25" xfId="0" applyFill="1" applyBorder="1"/>
    <xf numFmtId="3" fontId="83" fillId="78" borderId="25" xfId="0" applyNumberFormat="1" applyFont="1" applyFill="1" applyBorder="1"/>
    <xf numFmtId="3" fontId="0" fillId="56" borderId="15" xfId="0" applyNumberFormat="1" applyFill="1" applyBorder="1"/>
    <xf numFmtId="0" fontId="0" fillId="0" borderId="39" xfId="0" applyFill="1" applyBorder="1"/>
    <xf numFmtId="3" fontId="85" fillId="62" borderId="34" xfId="0" applyNumberFormat="1" applyFont="1" applyFill="1" applyBorder="1"/>
    <xf numFmtId="0" fontId="85" fillId="62" borderId="34" xfId="0" applyFont="1" applyFill="1" applyBorder="1"/>
    <xf numFmtId="0" fontId="86" fillId="64" borderId="0" xfId="0" applyFont="1" applyFill="1"/>
    <xf numFmtId="3" fontId="86" fillId="64" borderId="0" xfId="0" applyNumberFormat="1" applyFont="1" applyFill="1"/>
    <xf numFmtId="0" fontId="87" fillId="53" borderId="24" xfId="0" applyFont="1" applyFill="1" applyBorder="1" applyAlignment="1">
      <alignment horizontal="left" indent="1"/>
    </xf>
    <xf numFmtId="3" fontId="0" fillId="0" borderId="31" xfId="0" applyNumberFormat="1" applyBorder="1"/>
    <xf numFmtId="0" fontId="74" fillId="64" borderId="15" xfId="0" applyFont="1" applyFill="1" applyBorder="1"/>
    <xf numFmtId="0" fontId="74" fillId="64" borderId="46" xfId="0" applyFont="1" applyFill="1" applyBorder="1"/>
    <xf numFmtId="0" fontId="72" fillId="64" borderId="24" xfId="0" applyFont="1" applyFill="1" applyBorder="1"/>
    <xf numFmtId="0" fontId="72" fillId="64" borderId="34" xfId="0" applyFont="1" applyFill="1" applyBorder="1"/>
    <xf numFmtId="0" fontId="72" fillId="64" borderId="25" xfId="0" applyFont="1" applyFill="1" applyBorder="1" applyAlignment="1">
      <alignment horizontal="center"/>
    </xf>
    <xf numFmtId="0" fontId="83" fillId="64" borderId="0" xfId="0" applyFont="1" applyFill="1" applyBorder="1"/>
    <xf numFmtId="0" fontId="0" fillId="64" borderId="15" xfId="0" applyFont="1" applyFill="1" applyBorder="1"/>
    <xf numFmtId="0" fontId="0" fillId="64" borderId="24" xfId="0" applyFill="1" applyBorder="1"/>
    <xf numFmtId="0" fontId="0" fillId="64" borderId="34" xfId="0" applyFill="1" applyBorder="1"/>
    <xf numFmtId="3" fontId="0" fillId="64" borderId="25" xfId="0" applyNumberFormat="1" applyFill="1" applyBorder="1" applyAlignment="1">
      <alignment horizontal="center"/>
    </xf>
    <xf numFmtId="3" fontId="0" fillId="0" borderId="0" xfId="0" applyNumberFormat="1" applyFill="1"/>
    <xf numFmtId="0" fontId="88" fillId="79" borderId="47" xfId="0" applyFont="1" applyFill="1" applyBorder="1"/>
    <xf numFmtId="0" fontId="88" fillId="79" borderId="48" xfId="0" applyFont="1" applyFill="1" applyBorder="1"/>
    <xf numFmtId="3" fontId="88" fillId="79" borderId="48" xfId="0" applyNumberFormat="1" applyFont="1" applyFill="1" applyBorder="1" applyAlignment="1"/>
    <xf numFmtId="0" fontId="88" fillId="79" borderId="49" xfId="0" applyFont="1" applyFill="1" applyBorder="1"/>
    <xf numFmtId="0" fontId="83" fillId="0" borderId="15" xfId="0" applyFont="1" applyBorder="1"/>
    <xf numFmtId="3" fontId="0" fillId="64" borderId="15" xfId="0" applyNumberFormat="1" applyFill="1" applyBorder="1"/>
    <xf numFmtId="0" fontId="0" fillId="64" borderId="15" xfId="0" applyFill="1" applyBorder="1"/>
    <xf numFmtId="0" fontId="83" fillId="64" borderId="15" xfId="0" applyFont="1" applyFill="1" applyBorder="1"/>
    <xf numFmtId="0" fontId="83" fillId="64" borderId="25" xfId="0" applyFont="1" applyFill="1" applyBorder="1"/>
    <xf numFmtId="0" fontId="83" fillId="64" borderId="33" xfId="0" applyFont="1" applyFill="1" applyBorder="1"/>
    <xf numFmtId="0" fontId="89" fillId="73" borderId="41" xfId="0" applyFont="1" applyFill="1" applyBorder="1"/>
    <xf numFmtId="0" fontId="89" fillId="73" borderId="42" xfId="0" applyFont="1" applyFill="1" applyBorder="1"/>
    <xf numFmtId="0" fontId="83" fillId="73" borderId="43" xfId="0" applyFont="1" applyFill="1" applyBorder="1"/>
    <xf numFmtId="0" fontId="0" fillId="63" borderId="24" xfId="0" applyFill="1" applyBorder="1"/>
    <xf numFmtId="3" fontId="72" fillId="63" borderId="15" xfId="0" applyNumberFormat="1" applyFont="1" applyFill="1" applyBorder="1"/>
    <xf numFmtId="0" fontId="83" fillId="0" borderId="0" xfId="0" applyFont="1"/>
    <xf numFmtId="3" fontId="83" fillId="0" borderId="0" xfId="0" applyNumberFormat="1" applyFont="1"/>
    <xf numFmtId="0" fontId="72" fillId="63" borderId="15" xfId="0" applyFont="1" applyFill="1" applyBorder="1"/>
    <xf numFmtId="0" fontId="83" fillId="0" borderId="26" xfId="0" applyFont="1" applyBorder="1"/>
    <xf numFmtId="0" fontId="83" fillId="0" borderId="27" xfId="0" applyFont="1" applyBorder="1"/>
    <xf numFmtId="0" fontId="83" fillId="0" borderId="28" xfId="0" applyFont="1" applyBorder="1"/>
    <xf numFmtId="3" fontId="83" fillId="0" borderId="31" xfId="0" applyNumberFormat="1" applyFont="1" applyBorder="1"/>
    <xf numFmtId="3" fontId="83" fillId="0" borderId="32" xfId="0" applyNumberFormat="1" applyFont="1" applyBorder="1"/>
    <xf numFmtId="3" fontId="83" fillId="0" borderId="33" xfId="0" applyNumberFormat="1" applyFont="1" applyBorder="1"/>
    <xf numFmtId="167" fontId="87" fillId="53" borderId="25" xfId="0" applyNumberFormat="1" applyFont="1" applyFill="1" applyBorder="1" applyAlignment="1">
      <alignment horizontal="left"/>
    </xf>
    <xf numFmtId="3" fontId="83" fillId="73" borderId="0" xfId="0" applyNumberFormat="1" applyFont="1" applyFill="1"/>
    <xf numFmtId="0" fontId="90" fillId="62" borderId="15" xfId="0" applyFont="1" applyFill="1" applyBorder="1"/>
    <xf numFmtId="3" fontId="0" fillId="0" borderId="25" xfId="0" applyNumberFormat="1" applyFill="1" applyBorder="1" applyAlignment="1">
      <alignment horizontal="center"/>
    </xf>
    <xf numFmtId="0" fontId="0" fillId="0" borderId="24" xfId="0" applyFill="1" applyBorder="1"/>
    <xf numFmtId="0" fontId="0" fillId="0" borderId="34" xfId="0" applyFill="1" applyBorder="1"/>
    <xf numFmtId="0" fontId="83" fillId="0" borderId="24" xfId="0" applyFont="1" applyBorder="1"/>
    <xf numFmtId="3" fontId="83" fillId="0" borderId="25" xfId="0" applyNumberFormat="1" applyFont="1" applyBorder="1" applyAlignment="1">
      <alignment horizontal="center"/>
    </xf>
    <xf numFmtId="0" fontId="83" fillId="0" borderId="34" xfId="0" applyFont="1" applyBorder="1"/>
    <xf numFmtId="0" fontId="0" fillId="63" borderId="15" xfId="0" applyFill="1" applyBorder="1"/>
    <xf numFmtId="0" fontId="0" fillId="64" borderId="25" xfId="0" applyFill="1" applyBorder="1"/>
    <xf numFmtId="0" fontId="77" fillId="72" borderId="0" xfId="0" applyFont="1" applyFill="1"/>
    <xf numFmtId="0" fontId="73" fillId="74" borderId="62" xfId="0" applyFont="1" applyFill="1" applyBorder="1" applyAlignment="1">
      <alignment horizontal="center" vertical="center" wrapText="1"/>
    </xf>
    <xf numFmtId="0" fontId="0" fillId="54" borderId="62" xfId="0" applyFill="1" applyBorder="1" applyAlignment="1">
      <alignment vertical="center" wrapText="1"/>
    </xf>
    <xf numFmtId="0" fontId="0" fillId="51" borderId="62" xfId="0" applyFill="1" applyBorder="1" applyAlignment="1">
      <alignment vertical="center" wrapText="1"/>
    </xf>
    <xf numFmtId="0" fontId="0" fillId="55" borderId="62" xfId="0" applyFill="1" applyBorder="1" applyAlignment="1">
      <alignment vertical="center" wrapText="1"/>
    </xf>
    <xf numFmtId="0" fontId="0" fillId="63" borderId="62" xfId="0" applyFill="1" applyBorder="1" applyAlignment="1">
      <alignment vertical="center" wrapText="1"/>
    </xf>
    <xf numFmtId="0" fontId="78" fillId="54" borderId="62" xfId="0" applyFont="1" applyFill="1" applyBorder="1" applyAlignment="1">
      <alignment horizontal="center" vertical="center" wrapText="1"/>
    </xf>
    <xf numFmtId="0" fontId="78" fillId="51" borderId="62" xfId="0" applyFont="1" applyFill="1" applyBorder="1" applyAlignment="1">
      <alignment horizontal="center" vertical="center" wrapText="1"/>
    </xf>
    <xf numFmtId="0" fontId="78" fillId="55" borderId="62" xfId="0" applyFont="1" applyFill="1" applyBorder="1" applyAlignment="1">
      <alignment horizontal="center" vertical="center" wrapText="1"/>
    </xf>
    <xf numFmtId="0" fontId="78" fillId="63" borderId="62" xfId="0" applyFont="1" applyFill="1" applyBorder="1" applyAlignment="1">
      <alignment horizontal="center" vertical="center" wrapText="1"/>
    </xf>
    <xf numFmtId="0" fontId="0" fillId="51" borderId="15" xfId="0" applyFont="1" applyFill="1" applyBorder="1" applyProtection="1"/>
    <xf numFmtId="0" fontId="75" fillId="65" borderId="32" xfId="0" applyFont="1" applyFill="1" applyBorder="1" applyAlignment="1">
      <alignment horizontal="center" vertical="center" wrapText="1"/>
    </xf>
    <xf numFmtId="165" fontId="0" fillId="51" borderId="15" xfId="0" applyNumberFormat="1" applyFont="1" applyFill="1" applyBorder="1"/>
    <xf numFmtId="0" fontId="16" fillId="50" borderId="15" xfId="0" applyFont="1" applyFill="1" applyBorder="1" applyAlignment="1">
      <alignment wrapText="1"/>
    </xf>
    <xf numFmtId="0" fontId="16" fillId="50" borderId="25" xfId="0" applyFont="1" applyFill="1" applyBorder="1" applyAlignment="1">
      <alignment horizontal="center" wrapText="1"/>
    </xf>
    <xf numFmtId="172" fontId="75" fillId="51" borderId="15" xfId="0" applyNumberFormat="1" applyFont="1" applyFill="1" applyBorder="1"/>
    <xf numFmtId="0" fontId="0" fillId="57" borderId="0" xfId="0" applyFill="1" applyBorder="1" applyAlignment="1">
      <alignment horizontal="center"/>
    </xf>
    <xf numFmtId="0" fontId="0" fillId="64" borderId="63" xfId="0" applyFill="1" applyBorder="1"/>
    <xf numFmtId="3" fontId="68" fillId="0" borderId="0" xfId="0" applyNumberFormat="1" applyFont="1"/>
    <xf numFmtId="0" fontId="86" fillId="0" borderId="0" xfId="0" applyFont="1" applyFill="1"/>
    <xf numFmtId="3" fontId="86" fillId="0" borderId="0" xfId="0" applyNumberFormat="1" applyFont="1" applyFill="1"/>
    <xf numFmtId="9" fontId="56" fillId="51" borderId="15" xfId="0" applyNumberFormat="1" applyFont="1" applyFill="1" applyBorder="1"/>
    <xf numFmtId="172" fontId="56" fillId="51" borderId="15" xfId="0" quotePrefix="1" applyNumberFormat="1" applyFont="1" applyFill="1" applyBorder="1"/>
    <xf numFmtId="0" fontId="91" fillId="52" borderId="29" xfId="0" applyFont="1" applyFill="1" applyBorder="1"/>
    <xf numFmtId="0" fontId="91" fillId="52" borderId="31" xfId="0" applyFont="1" applyFill="1" applyBorder="1"/>
    <xf numFmtId="3" fontId="0" fillId="53" borderId="15" xfId="0" applyNumberFormat="1" applyFill="1" applyBorder="1" applyProtection="1">
      <protection locked="0"/>
    </xf>
    <xf numFmtId="0" fontId="0" fillId="0" borderId="15" xfId="0" applyBorder="1" applyProtection="1">
      <protection locked="0"/>
    </xf>
    <xf numFmtId="9" fontId="0" fillId="0" borderId="15" xfId="0" applyNumberFormat="1" applyBorder="1" applyAlignment="1" applyProtection="1">
      <alignment horizontal="center"/>
      <protection locked="0"/>
    </xf>
    <xf numFmtId="0" fontId="72" fillId="53" borderId="15" xfId="0" applyFont="1" applyFill="1" applyBorder="1" applyProtection="1">
      <protection locked="0"/>
    </xf>
    <xf numFmtId="0" fontId="85" fillId="64" borderId="15" xfId="0" quotePrefix="1" applyFont="1" applyFill="1" applyBorder="1" applyAlignment="1" applyProtection="1">
      <alignment horizontal="center"/>
      <protection locked="0"/>
    </xf>
    <xf numFmtId="0" fontId="0" fillId="0" borderId="34" xfId="0" applyBorder="1" applyProtection="1">
      <protection locked="0"/>
    </xf>
    <xf numFmtId="0" fontId="0" fillId="53" borderId="34" xfId="0" applyFill="1" applyBorder="1" applyAlignment="1" applyProtection="1">
      <alignment horizontal="center"/>
      <protection locked="0"/>
    </xf>
    <xf numFmtId="9" fontId="0" fillId="53" borderId="25" xfId="0" applyNumberFormat="1" applyFill="1" applyBorder="1" applyAlignment="1" applyProtection="1">
      <alignment horizontal="center"/>
      <protection locked="0"/>
    </xf>
    <xf numFmtId="0" fontId="0" fillId="0" borderId="34" xfId="0" applyBorder="1" applyAlignment="1" applyProtection="1">
      <alignment horizontal="center"/>
      <protection locked="0"/>
    </xf>
    <xf numFmtId="4" fontId="0" fillId="57" borderId="34" xfId="0" applyNumberFormat="1" applyFill="1" applyBorder="1" applyProtection="1">
      <protection locked="0"/>
    </xf>
    <xf numFmtId="3" fontId="0" fillId="57" borderId="24" xfId="0" applyNumberFormat="1" applyFill="1" applyBorder="1" applyProtection="1">
      <protection locked="0"/>
    </xf>
    <xf numFmtId="9" fontId="67" fillId="53" borderId="15" xfId="70" applyFont="1" applyFill="1" applyBorder="1" applyAlignment="1" applyProtection="1">
      <alignment horizontal="center"/>
      <protection locked="0"/>
    </xf>
    <xf numFmtId="3" fontId="0" fillId="53" borderId="24" xfId="0" applyNumberFormat="1" applyFill="1" applyBorder="1" applyProtection="1">
      <protection locked="0"/>
    </xf>
    <xf numFmtId="0" fontId="0" fillId="72" borderId="34" xfId="0" applyFill="1" applyBorder="1" applyAlignment="1" applyProtection="1">
      <alignment horizontal="center"/>
      <protection locked="0"/>
    </xf>
    <xf numFmtId="0" fontId="72" fillId="53" borderId="15" xfId="0" applyFont="1" applyFill="1" applyBorder="1" applyAlignment="1" applyProtection="1">
      <alignment horizontal="left"/>
      <protection locked="0"/>
    </xf>
    <xf numFmtId="3" fontId="67" fillId="80" borderId="15" xfId="70" applyNumberFormat="1" applyFont="1" applyFill="1" applyBorder="1" applyAlignment="1" applyProtection="1">
      <alignment horizontal="right"/>
      <protection locked="0"/>
    </xf>
    <xf numFmtId="3" fontId="67" fillId="53" borderId="15" xfId="70" applyNumberFormat="1" applyFont="1" applyFill="1" applyBorder="1" applyAlignment="1" applyProtection="1">
      <alignment horizontal="right"/>
      <protection locked="0"/>
    </xf>
    <xf numFmtId="3" fontId="83" fillId="81" borderId="15" xfId="0" applyNumberFormat="1" applyFont="1" applyFill="1" applyBorder="1" applyProtection="1">
      <protection locked="0"/>
    </xf>
    <xf numFmtId="0" fontId="0" fillId="82" borderId="15" xfId="0" applyFill="1" applyBorder="1" applyProtection="1">
      <protection locked="0"/>
    </xf>
    <xf numFmtId="0" fontId="0" fillId="64" borderId="34" xfId="0" applyFill="1" applyBorder="1" applyAlignment="1" applyProtection="1">
      <alignment horizontal="center"/>
      <protection locked="0"/>
    </xf>
    <xf numFmtId="0" fontId="77" fillId="62" borderId="47" xfId="0" applyFont="1" applyFill="1" applyBorder="1" applyAlignment="1">
      <alignment vertical="center"/>
    </xf>
    <xf numFmtId="0" fontId="77" fillId="62" borderId="48" xfId="0" applyFont="1" applyFill="1" applyBorder="1" applyAlignment="1">
      <alignment vertical="center"/>
    </xf>
    <xf numFmtId="0" fontId="77" fillId="62" borderId="49" xfId="0" applyFont="1" applyFill="1" applyBorder="1" applyAlignment="1">
      <alignment vertical="center"/>
    </xf>
    <xf numFmtId="166" fontId="67" fillId="83" borderId="15" xfId="70" applyNumberFormat="1" applyFont="1" applyFill="1" applyBorder="1" applyAlignment="1">
      <alignment horizontal="center"/>
    </xf>
    <xf numFmtId="166" fontId="67" fillId="71" borderId="15" xfId="70" applyNumberFormat="1" applyFont="1" applyFill="1" applyBorder="1" applyAlignment="1">
      <alignment horizontal="center"/>
    </xf>
    <xf numFmtId="166" fontId="67" fillId="61" borderId="15" xfId="70" applyNumberFormat="1" applyFont="1" applyFill="1" applyBorder="1" applyAlignment="1">
      <alignment horizontal="center"/>
    </xf>
    <xf numFmtId="166" fontId="67" fillId="67" borderId="15" xfId="70" applyNumberFormat="1" applyFont="1" applyFill="1" applyBorder="1" applyAlignment="1">
      <alignment horizontal="center"/>
    </xf>
    <xf numFmtId="0" fontId="74" fillId="0" borderId="15" xfId="0" applyFont="1" applyBorder="1" applyAlignment="1" applyProtection="1">
      <alignment horizontal="center"/>
      <protection locked="0"/>
    </xf>
    <xf numFmtId="0" fontId="0" fillId="0" borderId="15" xfId="0" applyBorder="1" applyAlignment="1" applyProtection="1">
      <alignment shrinkToFit="1"/>
      <protection locked="0"/>
    </xf>
    <xf numFmtId="3" fontId="0" fillId="64" borderId="15" xfId="0" applyNumberFormat="1" applyFont="1" applyFill="1" applyBorder="1"/>
    <xf numFmtId="14" fontId="0" fillId="53" borderId="15" xfId="0" applyNumberFormat="1" applyFont="1" applyFill="1" applyBorder="1" applyProtection="1">
      <protection locked="0"/>
    </xf>
    <xf numFmtId="0" fontId="0" fillId="53" borderId="46" xfId="0" applyFill="1" applyBorder="1" applyProtection="1">
      <protection locked="0"/>
    </xf>
    <xf numFmtId="0" fontId="0" fillId="53" borderId="45" xfId="0" applyFill="1" applyBorder="1" applyProtection="1">
      <protection locked="0"/>
    </xf>
    <xf numFmtId="0" fontId="0" fillId="52" borderId="36" xfId="0" applyFill="1" applyBorder="1"/>
    <xf numFmtId="0" fontId="0" fillId="52" borderId="38" xfId="0" applyFill="1" applyBorder="1"/>
    <xf numFmtId="0" fontId="0" fillId="52" borderId="37" xfId="0" applyFill="1" applyBorder="1"/>
    <xf numFmtId="0" fontId="84" fillId="52" borderId="0" xfId="0" applyFont="1" applyFill="1" applyBorder="1"/>
    <xf numFmtId="0" fontId="84" fillId="52" borderId="37" xfId="0" applyFont="1" applyFill="1" applyBorder="1"/>
    <xf numFmtId="0" fontId="0" fillId="52" borderId="39" xfId="0" applyFill="1" applyBorder="1"/>
    <xf numFmtId="0" fontId="0" fillId="52" borderId="40" xfId="0" applyFill="1" applyBorder="1"/>
    <xf numFmtId="0" fontId="92" fillId="52" borderId="0" xfId="0" applyFont="1" applyFill="1" applyBorder="1"/>
    <xf numFmtId="0" fontId="92" fillId="52" borderId="37" xfId="0" applyFont="1" applyFill="1" applyBorder="1"/>
    <xf numFmtId="0" fontId="0" fillId="58" borderId="36" xfId="0" applyFill="1" applyBorder="1"/>
    <xf numFmtId="0" fontId="0" fillId="58" borderId="38" xfId="0" applyFill="1" applyBorder="1"/>
    <xf numFmtId="0" fontId="0" fillId="58" borderId="37" xfId="0" applyFill="1" applyBorder="1"/>
    <xf numFmtId="0" fontId="0" fillId="58" borderId="39" xfId="0" applyFill="1" applyBorder="1"/>
    <xf numFmtId="0" fontId="0" fillId="58" borderId="40" xfId="0" applyFill="1" applyBorder="1"/>
    <xf numFmtId="0" fontId="92" fillId="58" borderId="0" xfId="0" applyFont="1" applyFill="1" applyBorder="1"/>
    <xf numFmtId="0" fontId="92" fillId="58" borderId="37" xfId="0" applyFont="1" applyFill="1" applyBorder="1"/>
    <xf numFmtId="0" fontId="84" fillId="58" borderId="37" xfId="0" applyFont="1" applyFill="1" applyBorder="1"/>
    <xf numFmtId="3" fontId="0" fillId="0" borderId="15" xfId="0" applyNumberFormat="1" applyBorder="1" applyProtection="1">
      <protection locked="0"/>
    </xf>
    <xf numFmtId="0" fontId="0" fillId="67" borderId="0" xfId="0" applyFill="1"/>
    <xf numFmtId="0" fontId="0" fillId="0" borderId="41" xfId="0" applyFill="1" applyBorder="1"/>
    <xf numFmtId="0" fontId="0" fillId="0" borderId="42" xfId="0" applyFill="1" applyBorder="1"/>
    <xf numFmtId="0" fontId="0" fillId="0" borderId="43" xfId="0" applyFill="1" applyBorder="1"/>
    <xf numFmtId="0" fontId="0" fillId="0" borderId="36" xfId="0" applyFill="1" applyBorder="1"/>
    <xf numFmtId="3" fontId="0" fillId="0" borderId="15" xfId="0" applyNumberFormat="1" applyFill="1" applyBorder="1"/>
    <xf numFmtId="0" fontId="72" fillId="0" borderId="25" xfId="0" applyFont="1" applyFill="1" applyBorder="1"/>
    <xf numFmtId="0" fontId="0" fillId="0" borderId="37" xfId="0" applyFill="1" applyBorder="1"/>
    <xf numFmtId="3" fontId="72" fillId="0" borderId="15" xfId="0" applyNumberFormat="1" applyFont="1" applyFill="1" applyBorder="1"/>
    <xf numFmtId="0" fontId="0" fillId="0" borderId="15" xfId="0" applyFill="1" applyBorder="1"/>
    <xf numFmtId="0" fontId="72" fillId="0" borderId="15" xfId="0" applyFont="1" applyFill="1" applyBorder="1"/>
    <xf numFmtId="0" fontId="0" fillId="0" borderId="15" xfId="0" applyFont="1" applyFill="1" applyBorder="1"/>
    <xf numFmtId="0" fontId="0" fillId="0" borderId="0" xfId="0" applyFill="1" applyBorder="1" applyAlignment="1">
      <alignment horizontal="right"/>
    </xf>
    <xf numFmtId="0" fontId="0" fillId="0" borderId="15" xfId="0" applyFill="1" applyBorder="1" applyProtection="1">
      <protection locked="0"/>
    </xf>
    <xf numFmtId="3" fontId="0" fillId="0" borderId="15" xfId="0" applyNumberFormat="1" applyFill="1" applyBorder="1" applyAlignment="1">
      <alignment horizontal="center"/>
    </xf>
    <xf numFmtId="0" fontId="83" fillId="0" borderId="31" xfId="0" applyFont="1" applyFill="1" applyBorder="1"/>
    <xf numFmtId="0" fontId="0" fillId="0" borderId="38" xfId="0" applyFill="1" applyBorder="1"/>
    <xf numFmtId="0" fontId="0" fillId="51" borderId="47" xfId="0" applyFill="1" applyBorder="1"/>
    <xf numFmtId="0" fontId="79" fillId="51" borderId="48" xfId="0" applyFont="1" applyFill="1" applyBorder="1" applyAlignment="1">
      <alignment vertical="center"/>
    </xf>
    <xf numFmtId="0" fontId="0" fillId="51" borderId="48" xfId="0" applyFill="1" applyBorder="1"/>
    <xf numFmtId="0" fontId="0" fillId="51" borderId="49" xfId="0" applyFill="1" applyBorder="1"/>
    <xf numFmtId="0" fontId="93" fillId="64" borderId="0" xfId="0" applyFont="1" applyFill="1"/>
    <xf numFmtId="0" fontId="0" fillId="0" borderId="15" xfId="0" applyFill="1" applyBorder="1" applyAlignment="1">
      <alignment shrinkToFit="1"/>
    </xf>
    <xf numFmtId="3" fontId="0" fillId="0" borderId="15" xfId="0" applyNumberFormat="1" applyFont="1" applyFill="1" applyBorder="1"/>
    <xf numFmtId="3" fontId="72" fillId="0" borderId="15" xfId="0" applyNumberFormat="1" applyFont="1" applyFill="1" applyBorder="1" applyAlignment="1">
      <alignment horizontal="center"/>
    </xf>
    <xf numFmtId="0" fontId="72" fillId="0" borderId="25" xfId="0" applyFont="1" applyFill="1" applyBorder="1" applyAlignment="1">
      <alignment horizontal="center"/>
    </xf>
    <xf numFmtId="0" fontId="90" fillId="58" borderId="15" xfId="0" applyFont="1" applyFill="1" applyBorder="1" applyAlignment="1" applyProtection="1">
      <alignment horizontal="center" shrinkToFit="1"/>
      <protection locked="0"/>
    </xf>
    <xf numFmtId="0" fontId="90" fillId="71" borderId="15" xfId="0" applyFont="1" applyFill="1" applyBorder="1" applyAlignment="1" applyProtection="1">
      <alignment horizontal="center" shrinkToFit="1"/>
      <protection locked="0"/>
    </xf>
    <xf numFmtId="0" fontId="90" fillId="67" borderId="15" xfId="0" applyFont="1" applyFill="1" applyBorder="1" applyAlignment="1" applyProtection="1">
      <alignment horizontal="center" shrinkToFit="1"/>
      <protection locked="0"/>
    </xf>
    <xf numFmtId="0" fontId="90" fillId="82" borderId="15" xfId="0" applyFont="1" applyFill="1" applyBorder="1" applyAlignment="1" applyProtection="1">
      <alignment horizontal="center" shrinkToFit="1"/>
      <protection locked="0"/>
    </xf>
    <xf numFmtId="3" fontId="0" fillId="53" borderId="15" xfId="0" applyNumberFormat="1" applyFill="1" applyBorder="1" applyAlignment="1" applyProtection="1">
      <alignment horizontal="right"/>
      <protection locked="0"/>
    </xf>
    <xf numFmtId="3" fontId="0" fillId="80" borderId="15" xfId="0" applyNumberFormat="1" applyFill="1" applyBorder="1" applyAlignment="1" applyProtection="1">
      <alignment horizontal="right"/>
      <protection locked="0"/>
    </xf>
    <xf numFmtId="0" fontId="7" fillId="0" borderId="42" xfId="59" applyFont="1" applyFill="1" applyBorder="1" applyAlignment="1">
      <alignment horizontal="left"/>
    </xf>
    <xf numFmtId="0" fontId="8" fillId="0" borderId="36" xfId="59" applyFont="1" applyFill="1" applyBorder="1" applyAlignment="1">
      <alignment horizontal="left"/>
    </xf>
    <xf numFmtId="169" fontId="6" fillId="0" borderId="39" xfId="59" applyNumberFormat="1" applyFont="1" applyBorder="1" applyAlignment="1">
      <alignment horizontal="left"/>
    </xf>
    <xf numFmtId="0" fontId="84" fillId="84" borderId="15" xfId="0" applyFont="1" applyFill="1" applyBorder="1" applyAlignment="1" applyProtection="1">
      <alignment horizontal="center"/>
      <protection locked="0"/>
    </xf>
    <xf numFmtId="0" fontId="0" fillId="84" borderId="15" xfId="0" applyFont="1" applyFill="1" applyBorder="1" applyAlignment="1" applyProtection="1">
      <alignment horizontal="center"/>
      <protection locked="0"/>
    </xf>
    <xf numFmtId="0" fontId="0" fillId="53" borderId="15" xfId="0" applyNumberFormat="1" applyFont="1" applyFill="1" applyBorder="1" applyProtection="1">
      <protection locked="0"/>
    </xf>
    <xf numFmtId="0" fontId="68" fillId="62" borderId="50" xfId="0" applyFont="1" applyFill="1" applyBorder="1"/>
    <xf numFmtId="0" fontId="68" fillId="62" borderId="51" xfId="0" applyFont="1" applyFill="1" applyBorder="1"/>
    <xf numFmtId="0" fontId="69" fillId="62" borderId="51" xfId="0" applyFont="1" applyFill="1" applyBorder="1" applyAlignment="1">
      <alignment horizontal="center"/>
    </xf>
    <xf numFmtId="0" fontId="69" fillId="62" borderId="51" xfId="0" applyFont="1" applyFill="1" applyBorder="1"/>
    <xf numFmtId="0" fontId="68" fillId="62" borderId="52" xfId="0" applyFont="1" applyFill="1" applyBorder="1"/>
    <xf numFmtId="0" fontId="72" fillId="59" borderId="0" xfId="0" applyFont="1" applyFill="1" applyBorder="1"/>
    <xf numFmtId="0" fontId="83" fillId="75" borderId="41" xfId="0" applyFont="1" applyFill="1" applyBorder="1"/>
    <xf numFmtId="0" fontId="83" fillId="75" borderId="42" xfId="0" applyFont="1" applyFill="1" applyBorder="1"/>
    <xf numFmtId="0" fontId="83" fillId="75" borderId="43" xfId="0" applyFont="1" applyFill="1" applyBorder="1"/>
    <xf numFmtId="0" fontId="0" fillId="85" borderId="0" xfId="0" applyFill="1"/>
    <xf numFmtId="0" fontId="83" fillId="0" borderId="0" xfId="0" applyFont="1" applyFill="1"/>
    <xf numFmtId="0" fontId="83" fillId="73" borderId="0" xfId="0" applyFont="1" applyFill="1" applyAlignment="1"/>
    <xf numFmtId="0" fontId="83" fillId="75" borderId="37" xfId="0" applyFont="1" applyFill="1" applyBorder="1" applyAlignment="1"/>
    <xf numFmtId="0" fontId="83" fillId="75" borderId="0" xfId="0" applyFont="1" applyFill="1" applyAlignment="1"/>
    <xf numFmtId="0" fontId="83" fillId="75" borderId="36" xfId="0" applyFont="1" applyFill="1" applyBorder="1" applyAlignment="1"/>
    <xf numFmtId="0" fontId="0" fillId="64" borderId="0" xfId="0" applyFill="1" applyBorder="1" applyAlignment="1">
      <alignment horizontal="right"/>
    </xf>
    <xf numFmtId="0" fontId="0" fillId="64" borderId="0" xfId="0" applyFont="1" applyFill="1"/>
    <xf numFmtId="0" fontId="78" fillId="51" borderId="42" xfId="0" applyFont="1" applyFill="1" applyBorder="1" applyAlignment="1">
      <alignment horizontal="left" vertical="center"/>
    </xf>
    <xf numFmtId="0" fontId="83" fillId="86" borderId="15" xfId="0" applyFont="1" applyFill="1" applyBorder="1" applyAlignment="1">
      <alignment horizontal="center"/>
    </xf>
    <xf numFmtId="0" fontId="83" fillId="87" borderId="15" xfId="0" applyFont="1" applyFill="1" applyBorder="1" applyAlignment="1">
      <alignment horizontal="center"/>
    </xf>
    <xf numFmtId="0" fontId="83" fillId="88" borderId="15" xfId="0" applyFont="1" applyFill="1" applyBorder="1" applyAlignment="1">
      <alignment horizontal="center"/>
    </xf>
    <xf numFmtId="0" fontId="83" fillId="89" borderId="15" xfId="0" applyFont="1" applyFill="1" applyBorder="1" applyAlignment="1">
      <alignment horizontal="center"/>
    </xf>
    <xf numFmtId="0" fontId="83" fillId="90" borderId="0" xfId="0" applyFont="1" applyFill="1" applyBorder="1" applyAlignment="1">
      <alignment horizontal="center"/>
    </xf>
    <xf numFmtId="0" fontId="0" fillId="57" borderId="36" xfId="0" applyFill="1" applyBorder="1" applyAlignment="1">
      <alignment vertical="center"/>
    </xf>
    <xf numFmtId="0" fontId="0" fillId="57" borderId="36" xfId="0" applyFill="1" applyBorder="1"/>
    <xf numFmtId="0" fontId="0" fillId="57" borderId="38" xfId="0" applyFill="1" applyBorder="1"/>
    <xf numFmtId="0" fontId="72" fillId="57" borderId="0" xfId="0" applyFont="1" applyFill="1" applyBorder="1"/>
    <xf numFmtId="0" fontId="0" fillId="57" borderId="37" xfId="0" applyFill="1" applyBorder="1"/>
    <xf numFmtId="0" fontId="84" fillId="57" borderId="0" xfId="0" applyFont="1" applyFill="1" applyBorder="1"/>
    <xf numFmtId="0" fontId="84" fillId="57" borderId="37" xfId="0" applyFont="1" applyFill="1" applyBorder="1"/>
    <xf numFmtId="0" fontId="0" fillId="57" borderId="39" xfId="0" applyFill="1" applyBorder="1"/>
    <xf numFmtId="0" fontId="0" fillId="57" borderId="40" xfId="0" applyFill="1" applyBorder="1"/>
    <xf numFmtId="0" fontId="92" fillId="57" borderId="0" xfId="0" applyFont="1" applyFill="1" applyBorder="1"/>
    <xf numFmtId="0" fontId="92" fillId="57" borderId="37" xfId="0" applyFont="1" applyFill="1" applyBorder="1"/>
    <xf numFmtId="0" fontId="0" fillId="62" borderId="36" xfId="0" applyFill="1" applyBorder="1" applyAlignment="1">
      <alignment vertical="center"/>
    </xf>
    <xf numFmtId="0" fontId="0" fillId="62" borderId="36" xfId="0" applyFill="1" applyBorder="1"/>
    <xf numFmtId="0" fontId="0" fillId="62" borderId="38" xfId="0" applyFill="1" applyBorder="1"/>
    <xf numFmtId="0" fontId="72" fillId="62" borderId="0" xfId="0" applyFont="1" applyFill="1" applyBorder="1"/>
    <xf numFmtId="0" fontId="0" fillId="62" borderId="0" xfId="0" applyFill="1" applyBorder="1"/>
    <xf numFmtId="0" fontId="0" fillId="62" borderId="37" xfId="0" applyFill="1" applyBorder="1"/>
    <xf numFmtId="0" fontId="84" fillId="62" borderId="0" xfId="0" applyFont="1" applyFill="1" applyBorder="1"/>
    <xf numFmtId="0" fontId="84" fillId="62" borderId="37" xfId="0" applyFont="1" applyFill="1" applyBorder="1"/>
    <xf numFmtId="0" fontId="0" fillId="62" borderId="39" xfId="0" applyFill="1" applyBorder="1"/>
    <xf numFmtId="0" fontId="0" fillId="62" borderId="40" xfId="0" applyFill="1" applyBorder="1"/>
    <xf numFmtId="0" fontId="92" fillId="62" borderId="0" xfId="0" applyFont="1" applyFill="1" applyBorder="1"/>
    <xf numFmtId="0" fontId="92" fillId="62" borderId="37" xfId="0" applyFont="1" applyFill="1" applyBorder="1"/>
    <xf numFmtId="0" fontId="0" fillId="53" borderId="47" xfId="0" applyFill="1" applyBorder="1"/>
    <xf numFmtId="0" fontId="0" fillId="53" borderId="48" xfId="0" applyFill="1" applyBorder="1"/>
    <xf numFmtId="0" fontId="84" fillId="53" borderId="49" xfId="0" applyFont="1" applyFill="1" applyBorder="1"/>
    <xf numFmtId="0" fontId="83" fillId="91" borderId="15" xfId="0" applyFont="1" applyFill="1" applyBorder="1"/>
    <xf numFmtId="0" fontId="0" fillId="51" borderId="15" xfId="0" applyFill="1" applyBorder="1" applyAlignment="1">
      <alignment vertical="center" wrapText="1" shrinkToFit="1"/>
    </xf>
    <xf numFmtId="9" fontId="67" fillId="51" borderId="15" xfId="70" applyFont="1" applyFill="1" applyBorder="1" applyAlignment="1">
      <alignment vertical="center" wrapText="1" shrinkToFit="1"/>
    </xf>
    <xf numFmtId="0" fontId="83" fillId="91" borderId="15" xfId="0" applyFont="1" applyFill="1" applyBorder="1" applyAlignment="1">
      <alignment horizontal="center" vertical="center" wrapText="1"/>
    </xf>
    <xf numFmtId="0" fontId="0" fillId="51" borderId="15" xfId="0" applyFont="1" applyFill="1" applyBorder="1" applyAlignment="1">
      <alignment horizontal="center" vertical="top"/>
    </xf>
    <xf numFmtId="2" fontId="75" fillId="51" borderId="15" xfId="0" applyNumberFormat="1" applyFont="1" applyFill="1" applyBorder="1"/>
    <xf numFmtId="0" fontId="68" fillId="0" borderId="0" xfId="0" applyFont="1" applyAlignment="1">
      <alignment horizontal="center" vertical="center"/>
    </xf>
    <xf numFmtId="0" fontId="94" fillId="0" borderId="0" xfId="0" applyFont="1" applyAlignment="1">
      <alignment horizontal="center" vertical="center"/>
    </xf>
    <xf numFmtId="0" fontId="0" fillId="0" borderId="0" xfId="0" applyAlignment="1">
      <alignment wrapText="1"/>
    </xf>
    <xf numFmtId="0" fontId="0" fillId="0" borderId="40" xfId="0" applyFill="1" applyBorder="1" applyAlignment="1">
      <alignment horizontal="right"/>
    </xf>
    <xf numFmtId="0" fontId="0" fillId="53" borderId="15" xfId="0" applyFill="1" applyBorder="1" applyAlignment="1" applyProtection="1">
      <alignment wrapText="1"/>
      <protection locked="0"/>
    </xf>
    <xf numFmtId="0" fontId="91" fillId="52" borderId="0" xfId="0" applyFont="1" applyFill="1" applyBorder="1"/>
    <xf numFmtId="165" fontId="83" fillId="86" borderId="24" xfId="0" applyNumberFormat="1" applyFont="1" applyFill="1" applyBorder="1"/>
    <xf numFmtId="0" fontId="77" fillId="62" borderId="15" xfId="0" applyFont="1" applyFill="1" applyBorder="1" applyAlignment="1" applyProtection="1">
      <alignment horizontal="center" shrinkToFit="1"/>
    </xf>
    <xf numFmtId="0" fontId="0" fillId="92" borderId="15" xfId="0" applyFill="1" applyBorder="1" applyAlignment="1">
      <alignment wrapText="1"/>
    </xf>
    <xf numFmtId="0" fontId="0" fillId="92" borderId="25" xfId="0" applyFill="1" applyBorder="1" applyAlignment="1">
      <alignment wrapText="1"/>
    </xf>
    <xf numFmtId="0" fontId="79" fillId="67" borderId="15" xfId="0" applyFont="1" applyFill="1" applyBorder="1" applyAlignment="1">
      <alignment horizontal="center" vertical="center" wrapText="1"/>
    </xf>
    <xf numFmtId="0" fontId="79" fillId="67" borderId="15" xfId="0" applyFont="1" applyFill="1" applyBorder="1" applyAlignment="1">
      <alignment horizontal="center" vertical="center"/>
    </xf>
    <xf numFmtId="0" fontId="0" fillId="0" borderId="15" xfId="0" applyBorder="1" applyAlignment="1" applyProtection="1">
      <alignment wrapText="1"/>
      <protection locked="0"/>
    </xf>
    <xf numFmtId="0" fontId="0" fillId="0" borderId="15" xfId="0" quotePrefix="1" applyBorder="1" applyAlignment="1" applyProtection="1">
      <alignment wrapText="1"/>
      <protection locked="0"/>
    </xf>
    <xf numFmtId="0" fontId="0" fillId="0" borderId="25" xfId="0" applyBorder="1" applyProtection="1">
      <protection locked="0"/>
    </xf>
    <xf numFmtId="0" fontId="0" fillId="0" borderId="0" xfId="0" applyAlignment="1" applyProtection="1">
      <alignment wrapText="1"/>
      <protection locked="0"/>
    </xf>
    <xf numFmtId="0" fontId="69" fillId="0" borderId="0" xfId="0" applyFont="1" applyAlignment="1">
      <alignment horizontal="center" vertical="center"/>
    </xf>
    <xf numFmtId="49" fontId="0" fillId="0" borderId="0" xfId="0" applyNumberFormat="1"/>
    <xf numFmtId="49" fontId="79" fillId="67" borderId="15" xfId="0" applyNumberFormat="1" applyFont="1" applyFill="1" applyBorder="1" applyAlignment="1">
      <alignment horizontal="center" vertical="center"/>
    </xf>
    <xf numFmtId="0" fontId="59" fillId="0" borderId="15" xfId="67" applyFont="1" applyFill="1" applyBorder="1" applyAlignment="1">
      <alignment horizontal="center" vertical="center"/>
    </xf>
    <xf numFmtId="0" fontId="60" fillId="0" borderId="0" xfId="0" applyFont="1" applyFill="1"/>
    <xf numFmtId="49" fontId="75" fillId="0" borderId="15" xfId="0" applyNumberFormat="1" applyFont="1" applyBorder="1" applyAlignment="1" applyProtection="1">
      <alignment wrapText="1"/>
      <protection locked="0"/>
    </xf>
    <xf numFmtId="0" fontId="75" fillId="0" borderId="15" xfId="0" applyFont="1" applyBorder="1" applyAlignment="1" applyProtection="1">
      <alignment wrapText="1"/>
      <protection locked="0"/>
    </xf>
    <xf numFmtId="0" fontId="7" fillId="0" borderId="42" xfId="59" applyFont="1" applyBorder="1" applyAlignment="1">
      <alignment horizontal="right"/>
    </xf>
    <xf numFmtId="0" fontId="8" fillId="0" borderId="39" xfId="59" applyFont="1" applyFill="1" applyBorder="1" applyAlignment="1">
      <alignment horizontal="right"/>
    </xf>
    <xf numFmtId="0" fontId="12" fillId="64" borderId="41" xfId="59" applyFont="1" applyFill="1" applyBorder="1" applyAlignment="1"/>
    <xf numFmtId="0" fontId="12" fillId="64" borderId="42" xfId="59" applyFont="1" applyFill="1" applyBorder="1" applyAlignment="1"/>
    <xf numFmtId="0" fontId="11" fillId="64" borderId="42" xfId="59" applyFont="1" applyFill="1" applyBorder="1" applyAlignment="1"/>
    <xf numFmtId="0" fontId="11" fillId="64" borderId="43" xfId="59" applyFont="1" applyFill="1" applyBorder="1" applyAlignment="1"/>
    <xf numFmtId="0" fontId="11" fillId="64" borderId="36" xfId="59" applyFont="1" applyFill="1" applyBorder="1" applyAlignment="1"/>
    <xf numFmtId="0" fontId="11" fillId="64" borderId="0" xfId="59" applyFont="1" applyFill="1" applyBorder="1" applyAlignment="1"/>
    <xf numFmtId="0" fontId="11" fillId="64" borderId="37" xfId="59" applyFont="1" applyFill="1" applyBorder="1" applyAlignment="1"/>
    <xf numFmtId="0" fontId="11" fillId="64" borderId="0" xfId="59" applyFont="1" applyFill="1" applyBorder="1" applyAlignment="1">
      <alignment horizontal="left" indent="1"/>
    </xf>
    <xf numFmtId="0" fontId="95" fillId="64" borderId="0" xfId="0" applyFont="1" applyFill="1"/>
    <xf numFmtId="0" fontId="11" fillId="64" borderId="38" xfId="59" applyFont="1" applyFill="1" applyBorder="1" applyAlignment="1"/>
    <xf numFmtId="0" fontId="11" fillId="64" borderId="39" xfId="59" applyFont="1" applyFill="1" applyBorder="1" applyAlignment="1"/>
    <xf numFmtId="0" fontId="11" fillId="64" borderId="40" xfId="59" applyFont="1" applyFill="1" applyBorder="1" applyAlignment="1"/>
    <xf numFmtId="0" fontId="11" fillId="64" borderId="36" xfId="59" applyFont="1" applyFill="1" applyBorder="1" applyAlignment="1">
      <alignment vertical="center"/>
    </xf>
    <xf numFmtId="0" fontId="11" fillId="64" borderId="0" xfId="59" applyFont="1" applyFill="1" applyBorder="1" applyAlignment="1">
      <alignment vertical="center"/>
    </xf>
    <xf numFmtId="0" fontId="11" fillId="64" borderId="37" xfId="59" applyFont="1" applyFill="1" applyBorder="1" applyAlignment="1">
      <alignment vertical="center"/>
    </xf>
    <xf numFmtId="0" fontId="11" fillId="0" borderId="0" xfId="59" applyFont="1" applyFill="1" applyAlignment="1">
      <alignment vertical="center"/>
    </xf>
    <xf numFmtId="0" fontId="72" fillId="65" borderId="25" xfId="0" applyFont="1" applyFill="1" applyBorder="1"/>
    <xf numFmtId="3" fontId="0" fillId="77" borderId="25" xfId="0" applyNumberFormat="1" applyFill="1" applyBorder="1"/>
    <xf numFmtId="0" fontId="72" fillId="93" borderId="15" xfId="0" quotePrefix="1" applyFont="1" applyFill="1" applyBorder="1"/>
    <xf numFmtId="0" fontId="72" fillId="53" borderId="0" xfId="0" applyFont="1" applyFill="1" applyBorder="1"/>
    <xf numFmtId="3" fontId="0" fillId="53" borderId="15" xfId="0" applyNumberFormat="1" applyFill="1" applyBorder="1" applyAlignment="1" applyProtection="1">
      <alignment horizontal="right"/>
      <protection locked="0"/>
    </xf>
    <xf numFmtId="0" fontId="96" fillId="58" borderId="37" xfId="0" applyFont="1" applyFill="1" applyBorder="1"/>
    <xf numFmtId="0" fontId="11" fillId="0" borderId="0" xfId="59" applyFont="1" applyFill="1" applyBorder="1" applyAlignment="1">
      <alignment vertical="center"/>
    </xf>
    <xf numFmtId="0" fontId="0" fillId="0" borderId="25" xfId="0" applyBorder="1" applyAlignment="1" applyProtection="1">
      <alignment horizontal="center"/>
      <protection locked="0"/>
    </xf>
    <xf numFmtId="0" fontId="72" fillId="60" borderId="24" xfId="0" applyFont="1" applyFill="1" applyBorder="1"/>
    <xf numFmtId="0" fontId="97" fillId="60" borderId="24" xfId="0" applyFont="1" applyFill="1" applyBorder="1"/>
    <xf numFmtId="0" fontId="98" fillId="60" borderId="25" xfId="0" applyFont="1" applyFill="1" applyBorder="1"/>
    <xf numFmtId="3" fontId="98" fillId="81" borderId="15" xfId="0" applyNumberFormat="1" applyFont="1" applyFill="1" applyBorder="1" applyProtection="1">
      <protection locked="0"/>
    </xf>
    <xf numFmtId="3" fontId="98" fillId="78" borderId="25" xfId="0" applyNumberFormat="1" applyFont="1" applyFill="1" applyBorder="1"/>
    <xf numFmtId="0" fontId="76" fillId="51" borderId="0" xfId="0" applyFont="1" applyFill="1" applyBorder="1" applyAlignment="1">
      <alignment horizontal="center" vertical="center" wrapText="1"/>
    </xf>
    <xf numFmtId="0" fontId="76" fillId="65" borderId="0" xfId="0" applyFont="1" applyFill="1" applyBorder="1" applyAlignment="1">
      <alignment horizontal="center" vertical="center" wrapText="1"/>
    </xf>
    <xf numFmtId="3" fontId="0" fillId="51" borderId="0" xfId="0" applyNumberFormat="1" applyFont="1" applyFill="1" applyBorder="1"/>
    <xf numFmtId="0" fontId="64" fillId="48" borderId="53" xfId="0" applyFont="1" applyFill="1" applyBorder="1"/>
    <xf numFmtId="0" fontId="64" fillId="48" borderId="54" xfId="0" applyFont="1" applyFill="1" applyBorder="1"/>
    <xf numFmtId="0" fontId="64" fillId="48" borderId="50" xfId="0" applyFont="1" applyFill="1" applyBorder="1"/>
    <xf numFmtId="0" fontId="91" fillId="52" borderId="26" xfId="0" applyFont="1" applyFill="1" applyBorder="1"/>
    <xf numFmtId="0" fontId="91" fillId="52" borderId="27" xfId="0" applyFont="1" applyFill="1" applyBorder="1"/>
    <xf numFmtId="0" fontId="91" fillId="52" borderId="32" xfId="0" applyFont="1" applyFill="1" applyBorder="1"/>
    <xf numFmtId="3" fontId="0" fillId="65" borderId="25" xfId="0" applyNumberFormat="1" applyFill="1" applyBorder="1"/>
    <xf numFmtId="172" fontId="75" fillId="51" borderId="0" xfId="0" applyNumberFormat="1" applyFont="1" applyFill="1"/>
    <xf numFmtId="0" fontId="12" fillId="0" borderId="15" xfId="59" applyFont="1" applyFill="1" applyBorder="1" applyAlignment="1" applyProtection="1">
      <alignment horizontal="center" vertical="center"/>
      <protection locked="0"/>
    </xf>
    <xf numFmtId="0" fontId="12" fillId="0" borderId="42" xfId="59" applyFont="1" applyFill="1" applyBorder="1" applyAlignment="1">
      <alignment vertical="top"/>
    </xf>
    <xf numFmtId="0" fontId="76" fillId="52" borderId="0" xfId="0" applyFont="1" applyFill="1" applyAlignment="1">
      <alignment horizontal="center" vertical="center" wrapText="1"/>
    </xf>
    <xf numFmtId="0" fontId="99" fillId="51" borderId="0" xfId="0" applyFont="1" applyFill="1"/>
    <xf numFmtId="0" fontId="12" fillId="53" borderId="15" xfId="0" applyFont="1" applyFill="1" applyBorder="1" applyAlignment="1" applyProtection="1">
      <alignment horizontal="center" vertical="center" wrapText="1"/>
      <protection locked="0"/>
    </xf>
    <xf numFmtId="1" fontId="75" fillId="51" borderId="15" xfId="0" applyNumberFormat="1" applyFont="1" applyFill="1" applyBorder="1"/>
    <xf numFmtId="172" fontId="0" fillId="51" borderId="15" xfId="0" applyNumberFormat="1" applyFont="1" applyFill="1" applyBorder="1"/>
    <xf numFmtId="0" fontId="80" fillId="51" borderId="0" xfId="0" applyFont="1" applyFill="1"/>
    <xf numFmtId="172" fontId="75" fillId="51" borderId="0" xfId="0" applyNumberFormat="1" applyFont="1" applyFill="1" applyBorder="1"/>
    <xf numFmtId="1" fontId="0" fillId="0" borderId="15" xfId="0" applyNumberFormat="1" applyBorder="1" applyProtection="1">
      <protection locked="0"/>
    </xf>
    <xf numFmtId="172" fontId="72" fillId="65" borderId="24" xfId="0" applyNumberFormat="1" applyFont="1" applyFill="1" applyBorder="1"/>
    <xf numFmtId="0" fontId="72" fillId="64" borderId="0" xfId="0" applyFont="1" applyFill="1" applyAlignment="1">
      <alignment horizontal="right"/>
    </xf>
    <xf numFmtId="0" fontId="100" fillId="64" borderId="41" xfId="0" applyFont="1" applyFill="1" applyBorder="1" applyAlignment="1">
      <alignment vertical="top"/>
    </xf>
    <xf numFmtId="0" fontId="101" fillId="64" borderId="42" xfId="0" applyFont="1" applyFill="1" applyBorder="1"/>
    <xf numFmtId="0" fontId="101" fillId="64" borderId="36" xfId="0" applyFont="1" applyFill="1" applyBorder="1"/>
    <xf numFmtId="0" fontId="101" fillId="64" borderId="0" xfId="0" applyFont="1" applyFill="1" applyBorder="1"/>
    <xf numFmtId="0" fontId="95" fillId="64" borderId="36" xfId="0" applyFont="1" applyFill="1" applyBorder="1"/>
    <xf numFmtId="0" fontId="100" fillId="64" borderId="0" xfId="0" applyFont="1" applyFill="1" applyBorder="1" applyAlignment="1" applyProtection="1">
      <alignment horizontal="center" vertical="center"/>
      <protection locked="0"/>
    </xf>
    <xf numFmtId="0" fontId="100" fillId="53" borderId="15" xfId="0" applyFont="1" applyFill="1" applyBorder="1" applyAlignment="1" applyProtection="1">
      <alignment horizontal="center" vertical="center"/>
      <protection locked="0"/>
    </xf>
    <xf numFmtId="0" fontId="72" fillId="54" borderId="15" xfId="0" applyFont="1" applyFill="1" applyBorder="1" applyAlignment="1">
      <alignment horizontal="center" vertical="center" wrapText="1"/>
    </xf>
    <xf numFmtId="0" fontId="72" fillId="55" borderId="15" xfId="0" applyFont="1" applyFill="1" applyBorder="1" applyAlignment="1">
      <alignment horizontal="center" vertical="center" wrapText="1"/>
    </xf>
    <xf numFmtId="0" fontId="72" fillId="63" borderId="15" xfId="0" applyFont="1" applyFill="1" applyBorder="1" applyAlignment="1">
      <alignment horizontal="center" vertical="center" wrapText="1"/>
    </xf>
    <xf numFmtId="0" fontId="102" fillId="56" borderId="15" xfId="0" applyFont="1" applyFill="1" applyBorder="1" applyAlignment="1">
      <alignment horizontal="center" wrapText="1"/>
    </xf>
    <xf numFmtId="0" fontId="102" fillId="56" borderId="15" xfId="0" applyFont="1" applyFill="1" applyBorder="1" applyAlignment="1">
      <alignment horizontal="center" vertical="center"/>
    </xf>
    <xf numFmtId="0" fontId="102" fillId="56" borderId="15" xfId="0" applyFont="1" applyFill="1" applyBorder="1" applyAlignment="1">
      <alignment vertical="center"/>
    </xf>
    <xf numFmtId="0" fontId="103" fillId="59" borderId="0" xfId="0" applyFont="1" applyFill="1" applyBorder="1"/>
    <xf numFmtId="0" fontId="102" fillId="56" borderId="15" xfId="0" applyFont="1" applyFill="1" applyBorder="1" applyAlignment="1">
      <alignment horizontal="center" vertical="center" wrapText="1"/>
    </xf>
    <xf numFmtId="0" fontId="83" fillId="0" borderId="24" xfId="0" applyFont="1" applyFill="1" applyBorder="1" applyAlignment="1">
      <alignment wrapText="1"/>
    </xf>
    <xf numFmtId="0" fontId="83" fillId="0" borderId="31" xfId="0" applyFont="1" applyFill="1" applyBorder="1" applyAlignment="1">
      <alignment wrapText="1"/>
    </xf>
    <xf numFmtId="0" fontId="77" fillId="51" borderId="15" xfId="0" applyFont="1" applyFill="1" applyBorder="1" applyAlignment="1">
      <alignment wrapText="1"/>
    </xf>
    <xf numFmtId="0" fontId="84" fillId="58" borderId="0" xfId="0" applyFont="1" applyFill="1" applyBorder="1" applyAlignment="1">
      <alignment vertical="center"/>
    </xf>
    <xf numFmtId="2" fontId="72" fillId="53" borderId="15" xfId="0" applyNumberFormat="1" applyFont="1" applyFill="1" applyBorder="1" applyProtection="1">
      <protection locked="0"/>
    </xf>
    <xf numFmtId="0" fontId="83" fillId="90" borderId="0" xfId="0" applyFont="1" applyFill="1" applyBorder="1" applyAlignment="1">
      <alignment horizontal="center" vertical="center" wrapText="1"/>
    </xf>
    <xf numFmtId="0" fontId="0" fillId="0" borderId="0" xfId="0" applyFont="1" applyFill="1"/>
    <xf numFmtId="0" fontId="0" fillId="0" borderId="29" xfId="0" applyFont="1" applyFill="1" applyBorder="1"/>
    <xf numFmtId="0" fontId="0" fillId="0" borderId="31" xfId="0" applyFont="1" applyFill="1" applyBorder="1"/>
    <xf numFmtId="186" fontId="0" fillId="53" borderId="34" xfId="0" applyNumberFormat="1" applyFill="1" applyBorder="1" applyAlignment="1" applyProtection="1">
      <alignment horizontal="center"/>
      <protection locked="0"/>
    </xf>
    <xf numFmtId="0" fontId="93" fillId="64" borderId="0" xfId="0" applyFont="1" applyFill="1" applyProtection="1">
      <protection locked="0"/>
    </xf>
    <xf numFmtId="0" fontId="104" fillId="73" borderId="0" xfId="0" applyFont="1" applyFill="1" applyProtection="1">
      <protection locked="0"/>
    </xf>
    <xf numFmtId="165" fontId="0" fillId="51" borderId="0" xfId="0" applyNumberFormat="1" applyFont="1" applyFill="1" applyBorder="1"/>
    <xf numFmtId="0" fontId="112" fillId="51" borderId="35" xfId="0" applyFont="1" applyFill="1" applyBorder="1"/>
    <xf numFmtId="0" fontId="112" fillId="51" borderId="15" xfId="0" applyFont="1" applyFill="1" applyBorder="1"/>
    <xf numFmtId="165" fontId="112" fillId="51" borderId="15" xfId="0" applyNumberFormat="1" applyFont="1" applyFill="1" applyBorder="1"/>
    <xf numFmtId="3" fontId="112" fillId="51" borderId="15" xfId="0" applyNumberFormat="1" applyFont="1" applyFill="1" applyBorder="1"/>
    <xf numFmtId="0" fontId="112" fillId="51" borderId="0" xfId="0" applyFont="1" applyFill="1"/>
    <xf numFmtId="0" fontId="113" fillId="65" borderId="32" xfId="0" applyFont="1" applyFill="1" applyBorder="1" applyAlignment="1">
      <alignment horizontal="center" vertical="center" wrapText="1"/>
    </xf>
    <xf numFmtId="2" fontId="112" fillId="51" borderId="15" xfId="0" applyNumberFormat="1" applyFont="1" applyFill="1" applyBorder="1"/>
    <xf numFmtId="185" fontId="112" fillId="51" borderId="15" xfId="0" applyNumberFormat="1" applyFont="1" applyFill="1" applyBorder="1"/>
    <xf numFmtId="2" fontId="112" fillId="51" borderId="0" xfId="0" applyNumberFormat="1" applyFont="1" applyFill="1"/>
    <xf numFmtId="2" fontId="113" fillId="65" borderId="32" xfId="0" applyNumberFormat="1" applyFont="1" applyFill="1" applyBorder="1" applyAlignment="1">
      <alignment horizontal="center" vertical="center" wrapText="1"/>
    </xf>
    <xf numFmtId="3" fontId="0" fillId="51" borderId="35" xfId="0" applyNumberFormat="1" applyFont="1" applyFill="1" applyBorder="1"/>
    <xf numFmtId="0" fontId="0" fillId="92" borderId="15" xfId="0" applyNumberFormat="1" applyFill="1" applyBorder="1" applyAlignment="1">
      <alignment wrapText="1"/>
    </xf>
    <xf numFmtId="0" fontId="75" fillId="0" borderId="15" xfId="0" applyNumberFormat="1" applyFont="1" applyBorder="1" applyAlignment="1" applyProtection="1">
      <alignment wrapText="1"/>
      <protection locked="0"/>
    </xf>
    <xf numFmtId="0" fontId="0" fillId="0" borderId="15" xfId="0" applyNumberFormat="1" applyBorder="1" applyAlignment="1" applyProtection="1">
      <alignment wrapText="1"/>
      <protection locked="0"/>
    </xf>
    <xf numFmtId="0" fontId="0" fillId="0" borderId="15" xfId="0" applyNumberFormat="1" applyBorder="1" applyProtection="1">
      <protection locked="0"/>
    </xf>
    <xf numFmtId="0" fontId="0" fillId="0" borderId="0" xfId="0" applyNumberFormat="1"/>
    <xf numFmtId="0" fontId="0" fillId="51" borderId="0" xfId="0" applyFont="1" applyFill="1"/>
    <xf numFmtId="2" fontId="0" fillId="51" borderId="15" xfId="0" applyNumberFormat="1" applyFont="1" applyFill="1" applyBorder="1"/>
    <xf numFmtId="185" fontId="0" fillId="51" borderId="15" xfId="0" applyNumberFormat="1" applyFont="1" applyFill="1" applyBorder="1"/>
    <xf numFmtId="187" fontId="0" fillId="51" borderId="15" xfId="0" applyNumberFormat="1" applyFont="1" applyFill="1" applyBorder="1"/>
    <xf numFmtId="2" fontId="114" fillId="51" borderId="15" xfId="0" applyNumberFormat="1" applyFont="1" applyFill="1" applyBorder="1"/>
    <xf numFmtId="1" fontId="0" fillId="51" borderId="15" xfId="0" applyNumberFormat="1" applyFont="1" applyFill="1" applyBorder="1"/>
    <xf numFmtId="9" fontId="75" fillId="51" borderId="15" xfId="70" applyNumberFormat="1" applyFont="1" applyFill="1" applyBorder="1" applyAlignment="1">
      <alignment horizontal="center"/>
    </xf>
    <xf numFmtId="3" fontId="0" fillId="53" borderId="15" xfId="0" applyNumberFormat="1" applyFill="1" applyBorder="1" applyAlignment="1" applyProtection="1">
      <alignment horizontal="right"/>
      <protection locked="0"/>
    </xf>
    <xf numFmtId="0" fontId="83" fillId="75" borderId="42" xfId="0" applyFont="1" applyFill="1" applyBorder="1"/>
    <xf numFmtId="0" fontId="12" fillId="53" borderId="15" xfId="0" applyFont="1" applyFill="1" applyBorder="1" applyAlignment="1" applyProtection="1">
      <alignment horizontal="center" vertical="center" wrapText="1"/>
      <protection locked="0"/>
    </xf>
    <xf numFmtId="0" fontId="12" fillId="53" borderId="25" xfId="0" applyFont="1" applyFill="1" applyBorder="1" applyAlignment="1" applyProtection="1">
      <alignment horizontal="center" vertical="center" wrapText="1"/>
      <protection locked="0"/>
    </xf>
    <xf numFmtId="0" fontId="105" fillId="94" borderId="29" xfId="0" applyFont="1" applyFill="1" applyBorder="1" applyAlignment="1">
      <alignment horizontal="center" vertical="center" wrapText="1"/>
    </xf>
    <xf numFmtId="0" fontId="105" fillId="94" borderId="0" xfId="0" applyFont="1" applyFill="1" applyBorder="1" applyAlignment="1">
      <alignment horizontal="center" vertical="center" wrapText="1"/>
    </xf>
    <xf numFmtId="0" fontId="106" fillId="95" borderId="15" xfId="0" applyFont="1" applyFill="1" applyBorder="1" applyAlignment="1">
      <alignment horizontal="center" vertical="center" wrapText="1"/>
    </xf>
    <xf numFmtId="0" fontId="0" fillId="58" borderId="36" xfId="0" applyFill="1" applyBorder="1" applyAlignment="1">
      <alignment horizontal="left" vertical="top" wrapText="1"/>
    </xf>
    <xf numFmtId="0" fontId="0" fillId="58" borderId="0" xfId="0" applyFill="1" applyBorder="1" applyAlignment="1">
      <alignment horizontal="left" vertical="top" wrapText="1"/>
    </xf>
    <xf numFmtId="0" fontId="0" fillId="58" borderId="37" xfId="0" applyFill="1" applyBorder="1" applyAlignment="1">
      <alignment horizontal="left" vertical="top" wrapText="1"/>
    </xf>
    <xf numFmtId="0" fontId="0" fillId="52" borderId="36" xfId="0" applyFill="1" applyBorder="1" applyAlignment="1">
      <alignment horizontal="left" vertical="top" wrapText="1"/>
    </xf>
    <xf numFmtId="0" fontId="0" fillId="52" borderId="0" xfId="0" applyFill="1" applyBorder="1" applyAlignment="1">
      <alignment horizontal="left" vertical="top" wrapText="1"/>
    </xf>
    <xf numFmtId="0" fontId="0" fillId="52" borderId="37" xfId="0" applyFill="1" applyBorder="1" applyAlignment="1">
      <alignment horizontal="left" vertical="top" wrapText="1"/>
    </xf>
    <xf numFmtId="0" fontId="0" fillId="64" borderId="36" xfId="0" applyFill="1" applyBorder="1" applyAlignment="1">
      <alignment horizontal="left" vertical="top" wrapText="1"/>
    </xf>
    <xf numFmtId="0" fontId="0" fillId="64" borderId="0" xfId="0" applyFill="1" applyBorder="1" applyAlignment="1">
      <alignment horizontal="left" vertical="top" wrapText="1"/>
    </xf>
    <xf numFmtId="0" fontId="0" fillId="64" borderId="37" xfId="0" applyFill="1" applyBorder="1" applyAlignment="1">
      <alignment horizontal="left" vertical="top" wrapText="1"/>
    </xf>
    <xf numFmtId="0" fontId="107" fillId="96" borderId="47" xfId="0" applyFont="1" applyFill="1" applyBorder="1" applyAlignment="1">
      <alignment horizontal="center" vertical="center"/>
    </xf>
    <xf numFmtId="0" fontId="107" fillId="96" borderId="48" xfId="0" applyFont="1" applyFill="1" applyBorder="1" applyAlignment="1">
      <alignment horizontal="center" vertical="center"/>
    </xf>
    <xf numFmtId="0" fontId="107" fillId="96" borderId="49" xfId="0" applyFont="1" applyFill="1" applyBorder="1" applyAlignment="1">
      <alignment horizontal="center" vertical="center"/>
    </xf>
    <xf numFmtId="0" fontId="73" fillId="74" borderId="64" xfId="0" applyFont="1" applyFill="1" applyBorder="1" applyAlignment="1">
      <alignment horizontal="center" vertical="center" wrapText="1"/>
    </xf>
    <xf numFmtId="0" fontId="73" fillId="74" borderId="65" xfId="0" applyFont="1" applyFill="1" applyBorder="1" applyAlignment="1">
      <alignment horizontal="center" vertical="center" wrapText="1"/>
    </xf>
    <xf numFmtId="0" fontId="73" fillId="74" borderId="66" xfId="0" applyFont="1" applyFill="1" applyBorder="1" applyAlignment="1">
      <alignment horizontal="center" vertical="center" wrapText="1"/>
    </xf>
    <xf numFmtId="0" fontId="0" fillId="54" borderId="64" xfId="0" applyFill="1" applyBorder="1" applyAlignment="1">
      <alignment horizontal="center" vertical="center" wrapText="1"/>
    </xf>
    <xf numFmtId="0" fontId="0" fillId="54" borderId="65" xfId="0" applyFill="1" applyBorder="1" applyAlignment="1">
      <alignment horizontal="center" vertical="center" wrapText="1"/>
    </xf>
    <xf numFmtId="0" fontId="0" fillId="54" borderId="66" xfId="0" applyFill="1" applyBorder="1" applyAlignment="1">
      <alignment horizontal="center" vertical="center" wrapText="1"/>
    </xf>
    <xf numFmtId="0" fontId="0" fillId="51" borderId="64" xfId="0" applyFill="1" applyBorder="1" applyAlignment="1">
      <alignment horizontal="center" vertical="center" wrapText="1"/>
    </xf>
    <xf numFmtId="0" fontId="0" fillId="51" borderId="65" xfId="0" applyFill="1" applyBorder="1" applyAlignment="1">
      <alignment horizontal="center" vertical="center" wrapText="1"/>
    </xf>
    <xf numFmtId="0" fontId="0" fillId="51" borderId="66" xfId="0" applyFill="1" applyBorder="1" applyAlignment="1">
      <alignment horizontal="center" vertical="center" wrapText="1"/>
    </xf>
    <xf numFmtId="0" fontId="0" fillId="55" borderId="64" xfId="0" applyFill="1" applyBorder="1" applyAlignment="1">
      <alignment horizontal="center" vertical="center" wrapText="1"/>
    </xf>
    <xf numFmtId="0" fontId="0" fillId="55" borderId="65" xfId="0" applyFill="1" applyBorder="1" applyAlignment="1">
      <alignment horizontal="center" vertical="center" wrapText="1"/>
    </xf>
    <xf numFmtId="0" fontId="0" fillId="55" borderId="66" xfId="0" applyFill="1" applyBorder="1" applyAlignment="1">
      <alignment horizontal="center" vertical="center" wrapText="1"/>
    </xf>
    <xf numFmtId="0" fontId="0" fillId="63" borderId="64" xfId="0" applyFill="1" applyBorder="1" applyAlignment="1">
      <alignment horizontal="center" vertical="center" wrapText="1"/>
    </xf>
    <xf numFmtId="0" fontId="0" fillId="63" borderId="65" xfId="0" applyFill="1" applyBorder="1" applyAlignment="1">
      <alignment horizontal="center" vertical="center" wrapText="1"/>
    </xf>
    <xf numFmtId="0" fontId="0" fillId="63" borderId="66" xfId="0" applyFill="1" applyBorder="1" applyAlignment="1">
      <alignment horizontal="center" vertical="center" wrapText="1"/>
    </xf>
    <xf numFmtId="3" fontId="0" fillId="53" borderId="15" xfId="0" applyNumberFormat="1" applyFill="1" applyBorder="1" applyAlignment="1" applyProtection="1">
      <alignment horizontal="right"/>
      <protection locked="0"/>
    </xf>
    <xf numFmtId="0" fontId="73" fillId="74" borderId="0" xfId="0" applyFont="1" applyFill="1" applyAlignment="1">
      <alignment horizontal="left" vertical="top" wrapText="1"/>
    </xf>
    <xf numFmtId="0" fontId="0" fillId="0" borderId="26" xfId="0" applyBorder="1" applyAlignment="1" applyProtection="1">
      <alignment horizontal="left" vertical="top" wrapText="1"/>
      <protection locked="0"/>
    </xf>
    <xf numFmtId="0" fontId="0" fillId="0" borderId="27" xfId="0" applyBorder="1" applyAlignment="1" applyProtection="1">
      <alignment horizontal="left" vertical="top" wrapText="1"/>
      <protection locked="0"/>
    </xf>
    <xf numFmtId="0" fontId="0" fillId="0" borderId="28" xfId="0" applyBorder="1" applyAlignment="1" applyProtection="1">
      <alignment horizontal="left" vertical="top" wrapText="1"/>
      <protection locked="0"/>
    </xf>
    <xf numFmtId="0" fontId="0" fillId="0" borderId="29" xfId="0"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30" xfId="0" applyBorder="1" applyAlignment="1" applyProtection="1">
      <alignment horizontal="left" vertical="top" wrapText="1"/>
      <protection locked="0"/>
    </xf>
    <xf numFmtId="0" fontId="0" fillId="0" borderId="31" xfId="0" applyBorder="1"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0" fillId="0" borderId="33" xfId="0" applyBorder="1" applyAlignment="1" applyProtection="1">
      <alignment horizontal="left" vertical="top" wrapText="1"/>
      <protection locked="0"/>
    </xf>
    <xf numFmtId="0" fontId="0" fillId="76" borderId="0" xfId="0" applyFill="1" applyAlignment="1">
      <alignment horizontal="center" vertical="center" textRotation="90"/>
    </xf>
    <xf numFmtId="0" fontId="68" fillId="53" borderId="0" xfId="0" applyFont="1" applyFill="1" applyAlignment="1">
      <alignment horizontal="left" vertical="top" wrapText="1"/>
    </xf>
    <xf numFmtId="3" fontId="77" fillId="62" borderId="48" xfId="0" applyNumberFormat="1" applyFont="1" applyFill="1" applyBorder="1" applyAlignment="1">
      <alignment horizontal="center" vertical="center"/>
    </xf>
    <xf numFmtId="0" fontId="0" fillId="51" borderId="19" xfId="0" applyFill="1" applyBorder="1" applyAlignment="1">
      <alignment horizontal="center" vertical="center" wrapText="1" shrinkToFit="1"/>
    </xf>
    <xf numFmtId="0" fontId="0" fillId="51" borderId="35" xfId="0" applyFill="1" applyBorder="1" applyAlignment="1">
      <alignment horizontal="center" vertical="center" wrapText="1" shrinkToFit="1"/>
    </xf>
    <xf numFmtId="0" fontId="102" fillId="56" borderId="15" xfId="0" applyFont="1" applyFill="1" applyBorder="1" applyAlignment="1">
      <alignment horizontal="center" vertical="center" wrapText="1"/>
    </xf>
    <xf numFmtId="3" fontId="0" fillId="80" borderId="24" xfId="0" applyNumberFormat="1" applyFill="1" applyBorder="1" applyAlignment="1" applyProtection="1">
      <alignment horizontal="right"/>
      <protection locked="0"/>
    </xf>
    <xf numFmtId="3" fontId="0" fillId="80" borderId="34" xfId="0" applyNumberFormat="1" applyFill="1" applyBorder="1" applyAlignment="1" applyProtection="1">
      <alignment horizontal="right"/>
      <protection locked="0"/>
    </xf>
    <xf numFmtId="3" fontId="0" fillId="80" borderId="25" xfId="0" applyNumberFormat="1" applyFill="1" applyBorder="1" applyAlignment="1" applyProtection="1">
      <alignment horizontal="right"/>
      <protection locked="0"/>
    </xf>
    <xf numFmtId="0" fontId="74" fillId="53" borderId="24" xfId="0" applyFont="1" applyFill="1" applyBorder="1" applyAlignment="1">
      <alignment horizontal="center"/>
    </xf>
    <xf numFmtId="0" fontId="74" fillId="53" borderId="25" xfId="0" applyFont="1" applyFill="1" applyBorder="1" applyAlignment="1">
      <alignment horizontal="center"/>
    </xf>
    <xf numFmtId="0" fontId="74" fillId="53" borderId="55" xfId="0" applyFont="1" applyFill="1" applyBorder="1" applyAlignment="1" applyProtection="1">
      <alignment horizontal="center"/>
      <protection locked="0"/>
    </xf>
    <xf numFmtId="0" fontId="74" fillId="53" borderId="49" xfId="0" applyFont="1" applyFill="1" applyBorder="1" applyAlignment="1" applyProtection="1">
      <alignment horizontal="center"/>
      <protection locked="0"/>
    </xf>
    <xf numFmtId="0" fontId="83" fillId="0" borderId="26" xfId="0" applyFont="1" applyBorder="1" applyAlignment="1" applyProtection="1">
      <alignment horizontal="left" vertical="top" wrapText="1"/>
      <protection locked="0"/>
    </xf>
    <xf numFmtId="0" fontId="83" fillId="0" borderId="27" xfId="0" applyFont="1" applyBorder="1" applyAlignment="1" applyProtection="1">
      <alignment horizontal="left" vertical="top" wrapText="1"/>
      <protection locked="0"/>
    </xf>
    <xf numFmtId="0" fontId="83" fillId="0" borderId="67" xfId="0" applyFont="1" applyBorder="1" applyAlignment="1" applyProtection="1">
      <alignment horizontal="left" vertical="top" wrapText="1"/>
      <protection locked="0"/>
    </xf>
    <xf numFmtId="0" fontId="83" fillId="0" borderId="29" xfId="0" applyFont="1" applyBorder="1" applyAlignment="1" applyProtection="1">
      <alignment horizontal="left" vertical="top" wrapText="1"/>
      <protection locked="0"/>
    </xf>
    <xf numFmtId="0" fontId="83" fillId="0" borderId="0" xfId="0" applyFont="1" applyBorder="1" applyAlignment="1" applyProtection="1">
      <alignment horizontal="left" vertical="top" wrapText="1"/>
      <protection locked="0"/>
    </xf>
    <xf numFmtId="0" fontId="83" fillId="0" borderId="68" xfId="0" applyFont="1" applyBorder="1" applyAlignment="1" applyProtection="1">
      <alignment horizontal="left" vertical="top" wrapText="1"/>
      <protection locked="0"/>
    </xf>
    <xf numFmtId="0" fontId="83" fillId="0" borderId="69" xfId="0" applyFont="1" applyBorder="1" applyAlignment="1" applyProtection="1">
      <alignment horizontal="left" vertical="top" wrapText="1"/>
      <protection locked="0"/>
    </xf>
    <xf numFmtId="0" fontId="83" fillId="0" borderId="70" xfId="0" applyFont="1" applyBorder="1" applyAlignment="1" applyProtection="1">
      <alignment horizontal="left" vertical="top" wrapText="1"/>
      <protection locked="0"/>
    </xf>
    <xf numFmtId="0" fontId="83" fillId="0" borderId="71" xfId="0" applyFont="1" applyBorder="1" applyAlignment="1" applyProtection="1">
      <alignment horizontal="left" vertical="top" wrapText="1"/>
      <protection locked="0"/>
    </xf>
    <xf numFmtId="0" fontId="0" fillId="64" borderId="19" xfId="0" applyFill="1" applyBorder="1" applyAlignment="1">
      <alignment horizontal="center" vertical="center" wrapText="1"/>
    </xf>
    <xf numFmtId="0" fontId="0" fillId="64" borderId="44" xfId="0" applyFill="1" applyBorder="1" applyAlignment="1">
      <alignment horizontal="center" vertical="center" wrapText="1"/>
    </xf>
    <xf numFmtId="0" fontId="0" fillId="64" borderId="35" xfId="0" applyFill="1" applyBorder="1" applyAlignment="1">
      <alignment horizontal="center" vertical="center" wrapText="1"/>
    </xf>
    <xf numFmtId="0" fontId="82" fillId="74" borderId="36" xfId="0" applyFont="1" applyFill="1" applyBorder="1" applyAlignment="1">
      <alignment horizontal="center" vertical="center"/>
    </xf>
    <xf numFmtId="0" fontId="82" fillId="74" borderId="0" xfId="0" applyFont="1" applyFill="1" applyBorder="1" applyAlignment="1">
      <alignment horizontal="center" vertical="center"/>
    </xf>
    <xf numFmtId="0" fontId="82" fillId="74" borderId="37" xfId="0" applyFont="1" applyFill="1" applyBorder="1" applyAlignment="1">
      <alignment horizontal="center" vertical="center"/>
    </xf>
    <xf numFmtId="0" fontId="72" fillId="53" borderId="26" xfId="0" applyFont="1" applyFill="1" applyBorder="1" applyAlignment="1">
      <alignment horizontal="center" wrapText="1"/>
    </xf>
    <xf numFmtId="0" fontId="72" fillId="53" borderId="28" xfId="0" applyFont="1" applyFill="1" applyBorder="1" applyAlignment="1">
      <alignment horizontal="center" wrapText="1"/>
    </xf>
    <xf numFmtId="0" fontId="0" fillId="53" borderId="29" xfId="0" applyFill="1" applyBorder="1" applyAlignment="1">
      <alignment horizontal="center" vertical="center" wrapText="1"/>
    </xf>
    <xf numFmtId="0" fontId="0" fillId="53" borderId="30" xfId="0" applyFill="1" applyBorder="1" applyAlignment="1">
      <alignment horizontal="center" vertical="center" wrapText="1"/>
    </xf>
    <xf numFmtId="0" fontId="0" fillId="53" borderId="31" xfId="0" applyFill="1" applyBorder="1" applyAlignment="1">
      <alignment horizontal="center" vertical="center" wrapText="1"/>
    </xf>
    <xf numFmtId="0" fontId="0" fillId="53" borderId="33" xfId="0" applyFill="1" applyBorder="1" applyAlignment="1">
      <alignment horizontal="center" vertical="center" wrapText="1"/>
    </xf>
    <xf numFmtId="0" fontId="0" fillId="53" borderId="24" xfId="0" applyFill="1" applyBorder="1" applyAlignment="1" applyProtection="1">
      <alignment horizontal="left" vertical="top" wrapText="1"/>
      <protection locked="0"/>
    </xf>
    <xf numFmtId="0" fontId="0" fillId="53" borderId="34" xfId="0" applyFill="1" applyBorder="1" applyAlignment="1" applyProtection="1">
      <alignment horizontal="left" vertical="top" wrapText="1"/>
      <protection locked="0"/>
    </xf>
    <xf numFmtId="0" fontId="0" fillId="53" borderId="25" xfId="0" applyFill="1" applyBorder="1" applyAlignment="1" applyProtection="1">
      <alignment horizontal="left" vertical="top" wrapText="1"/>
      <protection locked="0"/>
    </xf>
    <xf numFmtId="0" fontId="72" fillId="64" borderId="0" xfId="0" applyFont="1" applyFill="1" applyAlignment="1">
      <alignment horizontal="center" wrapText="1"/>
    </xf>
    <xf numFmtId="0" fontId="72" fillId="64" borderId="37" xfId="0" applyFont="1" applyFill="1" applyBorder="1" applyAlignment="1">
      <alignment horizontal="center" wrapText="1"/>
    </xf>
    <xf numFmtId="0" fontId="83" fillId="75" borderId="42" xfId="0" applyFont="1" applyFill="1" applyBorder="1"/>
    <xf numFmtId="0" fontId="83" fillId="75" borderId="0" xfId="0" applyFont="1" applyFill="1"/>
    <xf numFmtId="0" fontId="76" fillId="51" borderId="15" xfId="0" applyFont="1" applyFill="1" applyBorder="1" applyAlignment="1">
      <alignment horizontal="center"/>
    </xf>
    <xf numFmtId="0" fontId="108" fillId="51" borderId="0" xfId="0" applyFont="1" applyFill="1" applyBorder="1" applyAlignment="1">
      <alignment horizontal="center" vertical="center" wrapText="1"/>
    </xf>
    <xf numFmtId="0" fontId="76" fillId="51" borderId="24" xfId="0" applyFont="1" applyFill="1" applyBorder="1" applyAlignment="1">
      <alignment horizontal="center"/>
    </xf>
    <xf numFmtId="0" fontId="76" fillId="51" borderId="34" xfId="0" applyFont="1" applyFill="1" applyBorder="1" applyAlignment="1">
      <alignment horizontal="center"/>
    </xf>
    <xf numFmtId="0" fontId="89" fillId="91" borderId="24" xfId="0" applyFont="1" applyFill="1" applyBorder="1" applyAlignment="1">
      <alignment horizontal="center"/>
    </xf>
    <xf numFmtId="0" fontId="89" fillId="91" borderId="34" xfId="0" applyFont="1" applyFill="1" applyBorder="1" applyAlignment="1">
      <alignment horizontal="center"/>
    </xf>
    <xf numFmtId="0" fontId="89" fillId="91" borderId="25" xfId="0" applyFont="1" applyFill="1" applyBorder="1" applyAlignment="1">
      <alignment horizontal="center"/>
    </xf>
    <xf numFmtId="0" fontId="11" fillId="64" borderId="39" xfId="59" applyFont="1" applyFill="1" applyBorder="1" applyAlignment="1">
      <alignment horizontal="center"/>
    </xf>
    <xf numFmtId="0" fontId="95" fillId="64" borderId="0" xfId="0" applyFont="1" applyFill="1" applyAlignment="1">
      <alignment horizontal="left" vertical="center" wrapText="1"/>
    </xf>
    <xf numFmtId="0" fontId="109" fillId="97" borderId="56" xfId="0" applyFont="1" applyFill="1" applyBorder="1" applyAlignment="1">
      <alignment horizontal="center" vertical="center"/>
    </xf>
    <xf numFmtId="0" fontId="109" fillId="97" borderId="57" xfId="0" applyFont="1" applyFill="1" applyBorder="1" applyAlignment="1">
      <alignment horizontal="center" vertical="center"/>
    </xf>
    <xf numFmtId="0" fontId="109" fillId="97" borderId="58" xfId="0" applyFont="1" applyFill="1" applyBorder="1" applyAlignment="1">
      <alignment horizontal="center" vertical="center"/>
    </xf>
    <xf numFmtId="0" fontId="109" fillId="97" borderId="59" xfId="0" applyFont="1" applyFill="1" applyBorder="1" applyAlignment="1">
      <alignment horizontal="center" vertical="center"/>
    </xf>
    <xf numFmtId="0" fontId="110" fillId="97" borderId="60" xfId="0" applyFont="1" applyFill="1" applyBorder="1" applyAlignment="1">
      <alignment horizontal="center" vertical="center"/>
    </xf>
    <xf numFmtId="0" fontId="110" fillId="97" borderId="61" xfId="0" applyFont="1" applyFill="1" applyBorder="1" applyAlignment="1">
      <alignment horizontal="center" vertical="center"/>
    </xf>
  </cellXfs>
  <cellStyles count="167">
    <cellStyle name="_x0013_" xfId="1" xr:uid="{00000000-0005-0000-0000-000000000000}"/>
    <cellStyle name="€ : (converti en EURO)" xfId="2" xr:uid="{00000000-0005-0000-0000-000001000000}"/>
    <cellStyle name="€ : (formule ECRASEE)" xfId="3" xr:uid="{00000000-0005-0000-0000-000002000000}"/>
    <cellStyle name="€ : (NON converti)" xfId="4" xr:uid="{00000000-0005-0000-0000-000003000000}"/>
    <cellStyle name="€ : (passage a l'EURO)" xfId="5" xr:uid="{00000000-0005-0000-0000-000004000000}"/>
    <cellStyle name="Besuchter Hyperlink" xfId="165" builtinId="9" hidden="1"/>
    <cellStyle name="Besuchter Hyperlink" xfId="166" builtinId="9" hidden="1"/>
    <cellStyle name="classeur | commentaire" xfId="6" xr:uid="{00000000-0005-0000-0000-000005000000}"/>
    <cellStyle name="classeur | extraction | series | particulier" xfId="7" xr:uid="{00000000-0005-0000-0000-000006000000}"/>
    <cellStyle name="classeur | extraction | series | quinquenal" xfId="8" xr:uid="{00000000-0005-0000-0000-000007000000}"/>
    <cellStyle name="classeur | extraction | series | sept dernieres" xfId="9" xr:uid="{00000000-0005-0000-0000-000008000000}"/>
    <cellStyle name="classeur | extraction | structure | dernier" xfId="10" xr:uid="{00000000-0005-0000-0000-000009000000}"/>
    <cellStyle name="classeur | extraction | structure | deux derniers" xfId="11" xr:uid="{00000000-0005-0000-0000-00000A000000}"/>
    <cellStyle name="classeur | extraction | structure | particulier" xfId="12" xr:uid="{00000000-0005-0000-0000-00000B000000}"/>
    <cellStyle name="classeur | historique" xfId="13" xr:uid="{00000000-0005-0000-0000-00000C000000}"/>
    <cellStyle name="classeur | note | numero" xfId="14" xr:uid="{00000000-0005-0000-0000-00000D000000}"/>
    <cellStyle name="classeur | note | texte" xfId="15" xr:uid="{00000000-0005-0000-0000-00000E000000}"/>
    <cellStyle name="classeur | periodicite | annee scolaire" xfId="16" xr:uid="{00000000-0005-0000-0000-00000F000000}"/>
    <cellStyle name="classeur | periodicite | annuelle" xfId="17" xr:uid="{00000000-0005-0000-0000-000010000000}"/>
    <cellStyle name="classeur | periodicite | autre" xfId="18" xr:uid="{00000000-0005-0000-0000-000011000000}"/>
    <cellStyle name="classeur | periodicite | bimestrielle" xfId="19" xr:uid="{00000000-0005-0000-0000-000012000000}"/>
    <cellStyle name="classeur | periodicite | mensuelle" xfId="20" xr:uid="{00000000-0005-0000-0000-000013000000}"/>
    <cellStyle name="classeur | periodicite | semestrielle" xfId="21" xr:uid="{00000000-0005-0000-0000-000014000000}"/>
    <cellStyle name="classeur | periodicite | trimestrielle" xfId="22" xr:uid="{00000000-0005-0000-0000-000015000000}"/>
    <cellStyle name="classeur | reference | aucune" xfId="23" xr:uid="{00000000-0005-0000-0000-000016000000}"/>
    <cellStyle name="classeur | reference | tabl-series compose" xfId="24" xr:uid="{00000000-0005-0000-0000-000017000000}"/>
    <cellStyle name="classeur | reference | tabl-series simple (particulier)" xfId="25" xr:uid="{00000000-0005-0000-0000-000018000000}"/>
    <cellStyle name="classeur | reference | tabl-series simple (standard)" xfId="26" xr:uid="{00000000-0005-0000-0000-000019000000}"/>
    <cellStyle name="classeur | reference | tabl-structure (particulier)" xfId="27" xr:uid="{00000000-0005-0000-0000-00001A000000}"/>
    <cellStyle name="classeur | reference | tabl-structure (standard)" xfId="28" xr:uid="{00000000-0005-0000-0000-00001B000000}"/>
    <cellStyle name="classeur | theme | intitule" xfId="29" xr:uid="{00000000-0005-0000-0000-00001C000000}"/>
    <cellStyle name="classeur | theme | notice explicative" xfId="30" xr:uid="{00000000-0005-0000-0000-00001D000000}"/>
    <cellStyle name="classeur | titre | niveau 1" xfId="31" xr:uid="{00000000-0005-0000-0000-00001E000000}"/>
    <cellStyle name="classeur | titre | niveau 2" xfId="32" xr:uid="{00000000-0005-0000-0000-00001F000000}"/>
    <cellStyle name="classeur | titre | niveau 3" xfId="33" xr:uid="{00000000-0005-0000-0000-000020000000}"/>
    <cellStyle name="classeur | titre | niveau 4" xfId="34" xr:uid="{00000000-0005-0000-0000-000021000000}"/>
    <cellStyle name="classeur | titre | niveau 5" xfId="35" xr:uid="{00000000-0005-0000-0000-000022000000}"/>
    <cellStyle name="Comma 2" xfId="36" xr:uid="{00000000-0005-0000-0000-000023000000}"/>
    <cellStyle name="Comma 3" xfId="37" xr:uid="{00000000-0005-0000-0000-000024000000}"/>
    <cellStyle name="Commentaire" xfId="38" xr:uid="{00000000-0005-0000-0000-000025000000}"/>
    <cellStyle name="Date" xfId="39" xr:uid="{00000000-0005-0000-0000-000026000000}"/>
    <cellStyle name="En-tête 1" xfId="40" xr:uid="{00000000-0005-0000-0000-000027000000}"/>
    <cellStyle name="En-tête 2" xfId="41" xr:uid="{00000000-0005-0000-0000-000028000000}"/>
    <cellStyle name="Euro" xfId="42" xr:uid="{00000000-0005-0000-0000-000029000000}"/>
    <cellStyle name="Financier" xfId="43" xr:uid="{00000000-0005-0000-0000-00002A000000}"/>
    <cellStyle name="Financier0" xfId="44" xr:uid="{00000000-0005-0000-0000-00002B000000}"/>
    <cellStyle name="Hyperlink 2" xfId="45" xr:uid="{00000000-0005-0000-0000-00002C000000}"/>
    <cellStyle name="Lien hypertexte 2" xfId="47" xr:uid="{00000000-0005-0000-0000-00002E000000}"/>
    <cellStyle name="Ligne détail" xfId="48" xr:uid="{00000000-0005-0000-0000-000031000000}"/>
    <cellStyle name="Link" xfId="46" builtinId="8"/>
    <cellStyle name="MEV1" xfId="49" xr:uid="{00000000-0005-0000-0000-000032000000}"/>
    <cellStyle name="MEV2" xfId="50" xr:uid="{00000000-0005-0000-0000-000033000000}"/>
    <cellStyle name="MEV3" xfId="51" xr:uid="{00000000-0005-0000-0000-000034000000}"/>
    <cellStyle name="Migliaia_CF_CALCIN" xfId="52" xr:uid="{00000000-0005-0000-0000-000035000000}"/>
    <cellStyle name="Milliers 2" xfId="53" xr:uid="{00000000-0005-0000-0000-000036000000}"/>
    <cellStyle name="Milliers 3" xfId="54" xr:uid="{00000000-0005-0000-0000-000037000000}"/>
    <cellStyle name="Milliers 3 2" xfId="55" xr:uid="{00000000-0005-0000-0000-000038000000}"/>
    <cellStyle name="Monétaire0" xfId="56" xr:uid="{00000000-0005-0000-0000-000039000000}"/>
    <cellStyle name="Normal 11 2" xfId="57" xr:uid="{00000000-0005-0000-0000-00003B000000}"/>
    <cellStyle name="Normal 2" xfId="58" xr:uid="{00000000-0005-0000-0000-00003C000000}"/>
    <cellStyle name="Normal 3" xfId="59" xr:uid="{00000000-0005-0000-0000-00003D000000}"/>
    <cellStyle name="Normal 3 2" xfId="60" xr:uid="{00000000-0005-0000-0000-00003E000000}"/>
    <cellStyle name="Normal 4" xfId="61" xr:uid="{00000000-0005-0000-0000-00003F000000}"/>
    <cellStyle name="Normal 5" xfId="62" xr:uid="{00000000-0005-0000-0000-000040000000}"/>
    <cellStyle name="Normal 6" xfId="63" xr:uid="{00000000-0005-0000-0000-000041000000}"/>
    <cellStyle name="Normal 7" xfId="64" xr:uid="{00000000-0005-0000-0000-000042000000}"/>
    <cellStyle name="Normal 7 2" xfId="65" xr:uid="{00000000-0005-0000-0000-000043000000}"/>
    <cellStyle name="Normal 7_2012-04-13 VOE complet 2003" xfId="66" xr:uid="{00000000-0005-0000-0000-000044000000}"/>
    <cellStyle name="Normal_Hoja1" xfId="67" xr:uid="{00000000-0005-0000-0000-000045000000}"/>
    <cellStyle name="Percent 2" xfId="68" xr:uid="{00000000-0005-0000-0000-000046000000}"/>
    <cellStyle name="Percent 2 2" xfId="69" xr:uid="{00000000-0005-0000-0000-000047000000}"/>
    <cellStyle name="Pourcentage 2" xfId="71" xr:uid="{00000000-0005-0000-0000-000049000000}"/>
    <cellStyle name="Pourcentage 3" xfId="72" xr:uid="{00000000-0005-0000-0000-00004A000000}"/>
    <cellStyle name="Pourcentage 3 2" xfId="73" xr:uid="{00000000-0005-0000-0000-00004B000000}"/>
    <cellStyle name="Prozent" xfId="70" builtinId="5"/>
    <cellStyle name="Standard" xfId="0" builtinId="0"/>
    <cellStyle name="tableau | cellule | (normal) | decimal 1" xfId="74" xr:uid="{00000000-0005-0000-0000-00004C000000}"/>
    <cellStyle name="tableau | cellule | (normal) | decimal 2" xfId="75" xr:uid="{00000000-0005-0000-0000-00004D000000}"/>
    <cellStyle name="tableau | cellule | (normal) | decimal 3" xfId="76" xr:uid="{00000000-0005-0000-0000-00004E000000}"/>
    <cellStyle name="tableau | cellule | (normal) | decimal 4" xfId="77" xr:uid="{00000000-0005-0000-0000-00004F000000}"/>
    <cellStyle name="tableau | cellule | (normal) | entier" xfId="78" xr:uid="{00000000-0005-0000-0000-000050000000}"/>
    <cellStyle name="tableau | cellule | (normal) | euro | decimal 1" xfId="79" xr:uid="{00000000-0005-0000-0000-000051000000}"/>
    <cellStyle name="tableau | cellule | (normal) | euro | decimal 2" xfId="80" xr:uid="{00000000-0005-0000-0000-000052000000}"/>
    <cellStyle name="tableau | cellule | (normal) | euro | entier" xfId="81" xr:uid="{00000000-0005-0000-0000-000053000000}"/>
    <cellStyle name="tableau | cellule | (normal) | franc | decimal 1" xfId="82" xr:uid="{00000000-0005-0000-0000-000054000000}"/>
    <cellStyle name="tableau | cellule | (normal) | franc | decimal 2" xfId="83" xr:uid="{00000000-0005-0000-0000-000055000000}"/>
    <cellStyle name="tableau | cellule | (normal) | franc | entier" xfId="84" xr:uid="{00000000-0005-0000-0000-000056000000}"/>
    <cellStyle name="tableau | cellule | (normal) | pourcentage | decimal 1" xfId="85" xr:uid="{00000000-0005-0000-0000-000057000000}"/>
    <cellStyle name="tableau | cellule | (normal) | pourcentage | decimal 2" xfId="86" xr:uid="{00000000-0005-0000-0000-000058000000}"/>
    <cellStyle name="tableau | cellule | (normal) | pourcentage | entier" xfId="87" xr:uid="{00000000-0005-0000-0000-000059000000}"/>
    <cellStyle name="tableau | cellule | (normal) | standard" xfId="88" xr:uid="{00000000-0005-0000-0000-00005A000000}"/>
    <cellStyle name="tableau | cellule | (normal) | texte" xfId="89" xr:uid="{00000000-0005-0000-0000-00005B000000}"/>
    <cellStyle name="tableau | cellule | (total) | decimal 1" xfId="90" xr:uid="{00000000-0005-0000-0000-00005C000000}"/>
    <cellStyle name="tableau | cellule | (total) | decimal 2" xfId="91" xr:uid="{00000000-0005-0000-0000-00005D000000}"/>
    <cellStyle name="tableau | cellule | (total) | decimal 3" xfId="92" xr:uid="{00000000-0005-0000-0000-00005E000000}"/>
    <cellStyle name="tableau | cellule | (total) | decimal 4" xfId="93" xr:uid="{00000000-0005-0000-0000-00005F000000}"/>
    <cellStyle name="tableau | cellule | (total) | entier" xfId="94" xr:uid="{00000000-0005-0000-0000-000060000000}"/>
    <cellStyle name="tableau | cellule | (total) | euro | decimal 1" xfId="95" xr:uid="{00000000-0005-0000-0000-000061000000}"/>
    <cellStyle name="tableau | cellule | (total) | euro | decimal 2" xfId="96" xr:uid="{00000000-0005-0000-0000-000062000000}"/>
    <cellStyle name="tableau | cellule | (total) | euro | entier" xfId="97" xr:uid="{00000000-0005-0000-0000-000063000000}"/>
    <cellStyle name="tableau | cellule | (total) | franc | decimal 1" xfId="98" xr:uid="{00000000-0005-0000-0000-000064000000}"/>
    <cellStyle name="tableau | cellule | (total) | franc | decimal 2" xfId="99" xr:uid="{00000000-0005-0000-0000-000065000000}"/>
    <cellStyle name="tableau | cellule | (total) | franc | entier" xfId="100" xr:uid="{00000000-0005-0000-0000-000066000000}"/>
    <cellStyle name="tableau | cellule | (total) | pourcentage | decimal 1" xfId="101" xr:uid="{00000000-0005-0000-0000-000067000000}"/>
    <cellStyle name="tableau | cellule | (total) | pourcentage | decimal 2" xfId="102" xr:uid="{00000000-0005-0000-0000-000068000000}"/>
    <cellStyle name="tableau | cellule | (total) | pourcentage | entier" xfId="103" xr:uid="{00000000-0005-0000-0000-000069000000}"/>
    <cellStyle name="tableau | cellule | (total) | standard" xfId="104" xr:uid="{00000000-0005-0000-0000-00006A000000}"/>
    <cellStyle name="tableau | cellule | (total) | texte" xfId="105" xr:uid="{00000000-0005-0000-0000-00006B000000}"/>
    <cellStyle name="tableau | cellule | normal | decimal 1" xfId="106" xr:uid="{00000000-0005-0000-0000-00006C000000}"/>
    <cellStyle name="tableau | cellule | normal | decimal 2" xfId="107" xr:uid="{00000000-0005-0000-0000-00006D000000}"/>
    <cellStyle name="tableau | cellule | normal | decimal 3" xfId="108" xr:uid="{00000000-0005-0000-0000-00006E000000}"/>
    <cellStyle name="tableau | cellule | normal | decimal 4" xfId="109" xr:uid="{00000000-0005-0000-0000-00006F000000}"/>
    <cellStyle name="tableau | cellule | normal | entier" xfId="110" xr:uid="{00000000-0005-0000-0000-000070000000}"/>
    <cellStyle name="tableau | cellule | normal | euro | decimal 1" xfId="111" xr:uid="{00000000-0005-0000-0000-000071000000}"/>
    <cellStyle name="tableau | cellule | normal | euro | decimal 2" xfId="112" xr:uid="{00000000-0005-0000-0000-000072000000}"/>
    <cellStyle name="tableau | cellule | normal | euro | entier" xfId="113" xr:uid="{00000000-0005-0000-0000-000073000000}"/>
    <cellStyle name="tableau | cellule | normal | franc | decimal 1" xfId="114" xr:uid="{00000000-0005-0000-0000-000074000000}"/>
    <cellStyle name="tableau | cellule | normal | franc | decimal 2" xfId="115" xr:uid="{00000000-0005-0000-0000-000075000000}"/>
    <cellStyle name="tableau | cellule | normal | franc | entier" xfId="116" xr:uid="{00000000-0005-0000-0000-000076000000}"/>
    <cellStyle name="tableau | cellule | normal | pourcentage | decimal 1" xfId="117" xr:uid="{00000000-0005-0000-0000-000077000000}"/>
    <cellStyle name="tableau | cellule | normal | pourcentage | decimal 2" xfId="118" xr:uid="{00000000-0005-0000-0000-000078000000}"/>
    <cellStyle name="tableau | cellule | normal | pourcentage | entier" xfId="119" xr:uid="{00000000-0005-0000-0000-000079000000}"/>
    <cellStyle name="tableau | cellule | normal | standard" xfId="120" xr:uid="{00000000-0005-0000-0000-00007A000000}"/>
    <cellStyle name="tableau | cellule | normal | texte" xfId="121" xr:uid="{00000000-0005-0000-0000-00007B000000}"/>
    <cellStyle name="tableau | cellule | total | decimal 1" xfId="122" xr:uid="{00000000-0005-0000-0000-00007C000000}"/>
    <cellStyle name="tableau | cellule | total | decimal 2" xfId="123" xr:uid="{00000000-0005-0000-0000-00007D000000}"/>
    <cellStyle name="tableau | cellule | total | decimal 3" xfId="124" xr:uid="{00000000-0005-0000-0000-00007E000000}"/>
    <cellStyle name="tableau | cellule | total | decimal 4" xfId="125" xr:uid="{00000000-0005-0000-0000-00007F000000}"/>
    <cellStyle name="tableau | cellule | total | entier" xfId="126" xr:uid="{00000000-0005-0000-0000-000080000000}"/>
    <cellStyle name="tableau | cellule | total | euro | decimal 1" xfId="127" xr:uid="{00000000-0005-0000-0000-000081000000}"/>
    <cellStyle name="tableau | cellule | total | euro | decimal 2" xfId="128" xr:uid="{00000000-0005-0000-0000-000082000000}"/>
    <cellStyle name="tableau | cellule | total | euro | entier" xfId="129" xr:uid="{00000000-0005-0000-0000-000083000000}"/>
    <cellStyle name="tableau | cellule | total | franc | decimal 1" xfId="130" xr:uid="{00000000-0005-0000-0000-000084000000}"/>
    <cellStyle name="tableau | cellule | total | franc | decimal 2" xfId="131" xr:uid="{00000000-0005-0000-0000-000085000000}"/>
    <cellStyle name="tableau | cellule | total | franc | entier" xfId="132" xr:uid="{00000000-0005-0000-0000-000086000000}"/>
    <cellStyle name="tableau | cellule | total | pourcentage | decimal 1" xfId="133" xr:uid="{00000000-0005-0000-0000-000087000000}"/>
    <cellStyle name="tableau | cellule | total | pourcentage | decimal 2" xfId="134" xr:uid="{00000000-0005-0000-0000-000088000000}"/>
    <cellStyle name="tableau | cellule | total | pourcentage | entier" xfId="135" xr:uid="{00000000-0005-0000-0000-000089000000}"/>
    <cellStyle name="tableau | cellule | total | standard" xfId="136" xr:uid="{00000000-0005-0000-0000-00008A000000}"/>
    <cellStyle name="tableau | cellule | total | texte" xfId="137" xr:uid="{00000000-0005-0000-0000-00008B000000}"/>
    <cellStyle name="tableau | coin superieur gauche" xfId="138" xr:uid="{00000000-0005-0000-0000-00008C000000}"/>
    <cellStyle name="tableau | entete-colonne | series" xfId="139" xr:uid="{00000000-0005-0000-0000-00008D000000}"/>
    <cellStyle name="tableau | entete-colonne | structure | normal" xfId="140" xr:uid="{00000000-0005-0000-0000-00008E000000}"/>
    <cellStyle name="tableau | entete-colonne | structure | total" xfId="141" xr:uid="{00000000-0005-0000-0000-00008F000000}"/>
    <cellStyle name="tableau | entete-ligne | normal" xfId="142" xr:uid="{00000000-0005-0000-0000-000090000000}"/>
    <cellStyle name="tableau | entete-ligne | total" xfId="143" xr:uid="{00000000-0005-0000-0000-000091000000}"/>
    <cellStyle name="tableau | indice | plage de cellules" xfId="144" xr:uid="{00000000-0005-0000-0000-000092000000}"/>
    <cellStyle name="tableau | indice | texte" xfId="145" xr:uid="{00000000-0005-0000-0000-000093000000}"/>
    <cellStyle name="tableau | ligne de cesure" xfId="146" xr:uid="{00000000-0005-0000-0000-000094000000}"/>
    <cellStyle name="tableau | ligne-titre | niveau1" xfId="147" xr:uid="{00000000-0005-0000-0000-000095000000}"/>
    <cellStyle name="tableau | ligne-titre | niveau2" xfId="148" xr:uid="{00000000-0005-0000-0000-000096000000}"/>
    <cellStyle name="tableau | ligne-titre | niveau3" xfId="149" xr:uid="{00000000-0005-0000-0000-000097000000}"/>
    <cellStyle name="tableau | ligne-titre | niveau4" xfId="150" xr:uid="{00000000-0005-0000-0000-000098000000}"/>
    <cellStyle name="tableau | ligne-titre | niveau5" xfId="151" xr:uid="{00000000-0005-0000-0000-000099000000}"/>
    <cellStyle name="tableau | source | plage de cellules" xfId="152" xr:uid="{00000000-0005-0000-0000-00009A000000}"/>
    <cellStyle name="tableau | source | texte" xfId="153" xr:uid="{00000000-0005-0000-0000-00009B000000}"/>
    <cellStyle name="tableau | unite | plage de cellules" xfId="154" xr:uid="{00000000-0005-0000-0000-00009C000000}"/>
    <cellStyle name="tableau | unite | texte" xfId="155" xr:uid="{00000000-0005-0000-0000-00009D000000}"/>
    <cellStyle name="Titre" xfId="156" xr:uid="{00000000-0005-0000-0000-00009E000000}"/>
    <cellStyle name="Titre colonnes" xfId="157" xr:uid="{00000000-0005-0000-0000-00009F000000}"/>
    <cellStyle name="Titre général" xfId="158" xr:uid="{00000000-0005-0000-0000-0000A0000000}"/>
    <cellStyle name="Titre lignes" xfId="159" xr:uid="{00000000-0005-0000-0000-0000A1000000}"/>
    <cellStyle name="Titre page" xfId="160" xr:uid="{00000000-0005-0000-0000-0000A2000000}"/>
    <cellStyle name="Valuta (0)_CF_CALCIN" xfId="161" xr:uid="{00000000-0005-0000-0000-0000A3000000}"/>
    <cellStyle name="Valuta_CF_CALCIN" xfId="162" xr:uid="{00000000-0005-0000-0000-0000A4000000}"/>
    <cellStyle name="Vérification" xfId="163" xr:uid="{00000000-0005-0000-0000-0000A5000000}"/>
    <cellStyle name="Virgule fixe" xfId="164" xr:uid="{00000000-0005-0000-0000-0000A6000000}"/>
  </cellStyles>
  <dxfs count="657">
    <dxf>
      <font>
        <color rgb="FF9C0006"/>
      </font>
      <fill>
        <patternFill patternType="solid">
          <fgColor indexed="64"/>
          <bgColor rgb="FFFF0000"/>
        </patternFill>
      </fill>
    </dxf>
    <dxf>
      <fill>
        <patternFill>
          <fgColor indexed="64"/>
          <bgColor indexed="65"/>
        </patternFill>
      </fill>
      <border>
        <left/>
        <right/>
        <top/>
      </border>
    </dxf>
    <dxf>
      <fill>
        <patternFill patternType="solid">
          <fgColor indexed="64"/>
          <bgColor theme="2"/>
        </patternFill>
      </fill>
    </dxf>
    <dxf>
      <fill>
        <patternFill patternType="solid">
          <fgColor indexed="64"/>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bgColor rgb="FFFFC7CE"/>
        </patternFill>
      </fill>
    </dxf>
    <dxf>
      <font>
        <color rgb="FFFF0000"/>
      </font>
      <fill>
        <patternFill>
          <fgColor indexed="64"/>
          <bgColor indexed="65"/>
        </patternFill>
      </fill>
    </dxf>
    <dxf>
      <font>
        <color rgb="FFFF0000"/>
      </font>
      <fill>
        <patternFill>
          <fgColor indexed="64"/>
          <bgColor indexed="65"/>
        </patternFill>
      </fill>
    </dxf>
    <dxf>
      <font>
        <color rgb="FFFF0000"/>
      </font>
      <fill>
        <patternFill>
          <fgColor indexed="64"/>
          <bgColor indexed="65"/>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FF0000"/>
      </font>
      <fill>
        <patternFill>
          <fgColor indexed="64"/>
          <bgColor indexed="65"/>
        </patternFill>
      </fill>
    </dxf>
    <dxf>
      <font>
        <color rgb="FFFF0000"/>
      </font>
      <fill>
        <patternFill>
          <fgColor indexed="64"/>
          <bgColor indexed="65"/>
        </patternFill>
      </fill>
    </dxf>
    <dxf>
      <font>
        <color rgb="FFFF0000"/>
      </font>
      <fill>
        <patternFill>
          <fgColor indexed="64"/>
          <bgColor indexed="65"/>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theme="0"/>
      </font>
      <fill>
        <patternFill patternType="solid">
          <fgColor indexed="64"/>
          <bgColor rgb="FFFF0000"/>
        </patternFill>
      </fill>
    </dxf>
    <dxf>
      <font>
        <color rgb="FF9C0006"/>
      </font>
      <fill>
        <patternFill patternType="solid">
          <fgColor indexed="64"/>
          <bgColor rgb="FFFF0000"/>
        </patternFill>
      </fill>
    </dxf>
    <dxf>
      <fill>
        <patternFill>
          <fgColor indexed="64"/>
          <bgColor indexed="65"/>
        </patternFill>
      </fill>
      <border>
        <left/>
        <right/>
        <top/>
      </border>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FF0000"/>
      </font>
      <fill>
        <patternFill>
          <fgColor indexed="64"/>
          <bgColor indexed="65"/>
        </patternFill>
      </fill>
    </dxf>
    <dxf>
      <font>
        <color rgb="FFFF0000"/>
      </font>
      <fill>
        <patternFill>
          <fgColor indexed="64"/>
          <bgColor indexed="65"/>
        </patternFill>
      </fill>
    </dxf>
    <dxf>
      <font>
        <color rgb="FFFF0000"/>
      </font>
      <fill>
        <patternFill>
          <fgColor indexed="64"/>
          <bgColor indexed="65"/>
        </patternFill>
      </fill>
    </dxf>
    <dxf>
      <font>
        <color rgb="FFFF0000"/>
      </font>
      <fill>
        <patternFill>
          <fgColor indexed="64"/>
          <bgColor indexed="65"/>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theme="2"/>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FF0000"/>
      </font>
      <fill>
        <patternFill>
          <fgColor indexed="64"/>
          <bgColor indexed="65"/>
        </patternFill>
      </fill>
    </dxf>
    <dxf>
      <font>
        <color rgb="FFFF0000"/>
      </font>
      <fill>
        <patternFill>
          <fgColor indexed="64"/>
          <bgColor indexed="65"/>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theme="0"/>
      </font>
      <fill>
        <patternFill patternType="solid">
          <fgColor indexed="64"/>
          <bgColor rgb="FFFF0000"/>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FF0000"/>
      </font>
      <fill>
        <patternFill>
          <fgColor indexed="64"/>
          <bgColor indexed="65"/>
        </patternFill>
      </fill>
    </dxf>
    <dxf>
      <font>
        <color rgb="FFFF0000"/>
      </font>
      <fill>
        <patternFill>
          <fgColor indexed="64"/>
          <bgColor indexed="65"/>
        </patternFill>
      </fill>
    </dxf>
    <dxf>
      <font>
        <color rgb="FFFF0000"/>
      </font>
      <fill>
        <patternFill>
          <fgColor indexed="64"/>
          <bgColor indexed="65"/>
        </patternFill>
      </fill>
    </dxf>
    <dxf>
      <font>
        <color rgb="FFFF0000"/>
      </font>
      <fill>
        <patternFill>
          <fgColor indexed="64"/>
          <bgColor indexed="65"/>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FF0000"/>
      </font>
      <fill>
        <patternFill>
          <fgColor indexed="64"/>
          <bgColor indexed="65"/>
        </patternFill>
      </fill>
    </dxf>
    <dxf>
      <font>
        <color rgb="FFFF0000"/>
      </font>
      <fill>
        <patternFill>
          <fgColor indexed="64"/>
          <bgColor indexed="65"/>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theme="0"/>
      </font>
      <fill>
        <patternFill patternType="solid">
          <fgColor indexed="64"/>
          <bgColor rgb="FFFF0000"/>
        </patternFill>
      </fill>
    </dxf>
    <dxf>
      <fill>
        <patternFill patternType="solid">
          <fgColor indexed="64"/>
          <bgColor theme="2"/>
        </patternFill>
      </fill>
    </dxf>
    <dxf>
      <fill>
        <patternFill patternType="solid">
          <fgColor indexed="64"/>
          <bgColor theme="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bgColor rgb="FFFFC7CE"/>
        </patternFill>
      </fill>
    </dxf>
    <dxf>
      <font>
        <color rgb="FFFF0000"/>
      </font>
      <fill>
        <patternFill>
          <fgColor indexed="64"/>
          <bgColor indexed="65"/>
        </patternFill>
      </fill>
    </dxf>
    <dxf>
      <font>
        <color rgb="FFFF0000"/>
      </font>
      <fill>
        <patternFill>
          <fgColor indexed="64"/>
          <bgColor indexed="65"/>
        </patternFill>
      </fill>
    </dxf>
    <dxf>
      <font>
        <color rgb="FFFF0000"/>
      </font>
      <fill>
        <patternFill>
          <fgColor indexed="64"/>
          <bgColor indexed="65"/>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FF0000"/>
      </font>
      <fill>
        <patternFill>
          <fgColor indexed="64"/>
          <bgColor indexed="65"/>
        </patternFill>
      </fill>
    </dxf>
    <dxf>
      <font>
        <color rgb="FFFF0000"/>
      </font>
      <fill>
        <patternFill>
          <fgColor indexed="64"/>
          <bgColor indexed="65"/>
        </patternFill>
      </fill>
    </dxf>
    <dxf>
      <font>
        <color rgb="FFFF0000"/>
      </font>
      <fill>
        <patternFill>
          <fgColor indexed="64"/>
          <bgColor indexed="65"/>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rgb="FF9C0006"/>
      </font>
      <fill>
        <patternFill patternType="solid">
          <fgColor indexed="64"/>
          <bgColor theme="2"/>
        </patternFill>
      </fill>
    </dxf>
    <dxf>
      <font>
        <color theme="0"/>
      </font>
      <fill>
        <patternFill patternType="solid">
          <fgColor indexed="64"/>
          <bgColor rgb="FFFF0000"/>
        </patternFill>
      </fill>
    </dxf>
    <dxf>
      <fill>
        <patternFill patternType="solid">
          <fgColor indexed="64"/>
          <bgColor theme="1" tint="0.79998168889431442"/>
        </patternFill>
      </fill>
      <border>
        <left style="thin">
          <color indexed="64"/>
        </left>
        <right style="thin">
          <color indexed="64"/>
        </right>
        <top style="thin">
          <color indexed="64"/>
        </top>
        <bottom style="thin">
          <color indexed="64"/>
        </bottom>
      </border>
    </dxf>
    <dxf>
      <fill>
        <patternFill patternType="solid">
          <fgColor indexed="64"/>
          <bgColor theme="6" tint="0.39997558519241921"/>
        </patternFill>
      </fill>
      <border>
        <left style="thin">
          <color indexed="64"/>
        </left>
        <right style="thin">
          <color indexed="64"/>
        </right>
        <top style="thin">
          <color indexed="64"/>
        </top>
        <bottom style="thin">
          <color indexed="64"/>
        </bottom>
      </border>
    </dxf>
    <dxf>
      <fill>
        <patternFill patternType="solid">
          <fgColor indexed="64"/>
          <bgColor theme="4" tint="0.39997558519241921"/>
        </patternFill>
      </fill>
      <border>
        <left style="thin">
          <color indexed="64"/>
        </left>
        <right style="thin">
          <color indexed="64"/>
        </right>
        <top style="thin">
          <color indexed="64"/>
        </top>
        <bottom style="thin">
          <color indexed="64"/>
        </bottom>
      </border>
    </dxf>
    <dxf>
      <fill>
        <patternFill patternType="solid">
          <fgColor indexed="64"/>
          <bgColor theme="5" tint="0.39997558519241921"/>
        </patternFill>
      </fill>
      <border>
        <left style="thin">
          <color indexed="64"/>
        </left>
        <right style="thin">
          <color indexed="64"/>
        </right>
        <top style="thin">
          <color indexed="64"/>
        </top>
        <bottom style="thin">
          <color indexed="64"/>
        </bottom>
      </border>
    </dxf>
    <dxf>
      <fill>
        <patternFill patternType="solid">
          <fgColor indexed="64"/>
          <bgColor theme="1" tint="0.79998168889431442"/>
        </patternFill>
      </fill>
      <border>
        <left style="thin">
          <color indexed="64"/>
        </left>
        <right style="thin">
          <color indexed="64"/>
        </right>
        <top style="thin">
          <color indexed="64"/>
        </top>
        <bottom style="thin">
          <color indexed="64"/>
        </bottom>
      </border>
    </dxf>
    <dxf>
      <fill>
        <patternFill patternType="solid">
          <fgColor indexed="64"/>
          <bgColor theme="6" tint="0.39997558519241921"/>
        </patternFill>
      </fill>
      <border>
        <left style="thin">
          <color indexed="64"/>
        </left>
        <right style="thin">
          <color indexed="64"/>
        </right>
        <top style="thin">
          <color indexed="64"/>
        </top>
        <bottom style="thin">
          <color indexed="64"/>
        </bottom>
      </border>
    </dxf>
    <dxf>
      <fill>
        <patternFill patternType="solid">
          <fgColor indexed="64"/>
          <bgColor theme="4" tint="0.39997558519241921"/>
        </patternFill>
      </fill>
      <border>
        <left style="thin">
          <color indexed="64"/>
        </left>
        <right style="thin">
          <color indexed="64"/>
        </right>
        <top style="thin">
          <color indexed="64"/>
        </top>
        <bottom style="thin">
          <color indexed="64"/>
        </bottom>
      </border>
    </dxf>
    <dxf>
      <fill>
        <patternFill patternType="solid">
          <fgColor indexed="64"/>
          <bgColor theme="5" tint="0.39997558519241921"/>
        </patternFill>
      </fill>
      <border>
        <left style="thin">
          <color indexed="64"/>
        </left>
        <right style="thin">
          <color indexed="64"/>
        </right>
        <top style="thin">
          <color indexed="64"/>
        </top>
        <bottom style="thin">
          <color indexed="64"/>
        </bottom>
      </border>
    </dxf>
    <dxf>
      <fill>
        <patternFill patternType="solid">
          <fgColor indexed="64"/>
          <bgColor theme="1" tint="0.79998168889431442"/>
        </patternFill>
      </fill>
      <border>
        <left style="thin">
          <color indexed="64"/>
        </left>
        <right style="thin">
          <color indexed="64"/>
        </right>
        <top style="thin">
          <color indexed="64"/>
        </top>
        <bottom style="thin">
          <color indexed="64"/>
        </bottom>
      </border>
    </dxf>
    <dxf>
      <fill>
        <patternFill patternType="solid">
          <fgColor indexed="64"/>
          <bgColor theme="6" tint="0.39997558519241921"/>
        </patternFill>
      </fill>
      <border>
        <left style="thin">
          <color indexed="64"/>
        </left>
        <right style="thin">
          <color indexed="64"/>
        </right>
        <top style="thin">
          <color indexed="64"/>
        </top>
        <bottom style="thin">
          <color indexed="64"/>
        </bottom>
      </border>
    </dxf>
    <dxf>
      <fill>
        <patternFill patternType="solid">
          <fgColor indexed="64"/>
          <bgColor theme="4" tint="0.39997558519241921"/>
        </patternFill>
      </fill>
      <border>
        <left style="thin">
          <color indexed="64"/>
        </left>
        <right style="thin">
          <color indexed="64"/>
        </right>
        <top style="thin">
          <color indexed="64"/>
        </top>
        <bottom style="thin">
          <color indexed="64"/>
        </bottom>
      </border>
    </dxf>
    <dxf>
      <fill>
        <patternFill patternType="solid">
          <fgColor indexed="64"/>
          <bgColor theme="5" tint="0.39997558519241921"/>
        </patternFill>
      </fill>
      <border>
        <left style="thin">
          <color indexed="64"/>
        </left>
        <right style="thin">
          <color indexed="64"/>
        </right>
        <top style="thin">
          <color indexed="64"/>
        </top>
        <bottom style="thin">
          <color indexed="64"/>
        </bottom>
      </border>
    </dxf>
    <dxf>
      <font>
        <color theme="2"/>
      </font>
      <fill>
        <patternFill patternType="solid">
          <fgColor indexed="64"/>
          <bgColor theme="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0"/>
    <c:plotArea>
      <c:layout>
        <c:manualLayout>
          <c:layoutTarget val="inner"/>
          <c:xMode val="edge"/>
          <c:yMode val="edge"/>
          <c:x val="0.19820418475727899"/>
          <c:y val="2.7522935779816501E-2"/>
          <c:w val="0.76129737287511901"/>
          <c:h val="0.48771870259336902"/>
        </c:manualLayout>
      </c:layout>
      <c:barChart>
        <c:barDir val="col"/>
        <c:grouping val="stacked"/>
        <c:varyColors val="0"/>
        <c:ser>
          <c:idx val="0"/>
          <c:order val="0"/>
          <c:tx>
            <c:strRef>
              <c:f>Subprojectzero1!$AJ$1</c:f>
              <c:strCache>
                <c:ptCount val="1"/>
                <c:pt idx="0">
                  <c:v>Concrete / Slurry / Grout mix</c:v>
                </c:pt>
              </c:strCache>
            </c:strRef>
          </c:tx>
          <c:spPr>
            <a:solidFill>
              <a:srgbClr val="9A5A10"/>
            </a:solidFill>
            <a:ln w="3175">
              <a:solidFill>
                <a:srgbClr val="333399"/>
              </a:solidFill>
              <a:prstDash val="solid"/>
            </a:ln>
          </c:spPr>
          <c:invertIfNegative val="0"/>
          <c:cat>
            <c:strRef>
              <c:f>Subprojectzero1!$H$7:$H$13</c:f>
              <c:strCache>
                <c:ptCount val="7"/>
                <c:pt idx="0">
                  <c:v>Materials</c:v>
                </c:pt>
                <c:pt idx="1">
                  <c:v>Energy</c:v>
                </c:pt>
                <c:pt idx="2">
                  <c:v>Freight</c:v>
                </c:pt>
                <c:pt idx="3">
                  <c:v>Mob/demob</c:v>
                </c:pt>
                <c:pt idx="4">
                  <c:v>People's transportation</c:v>
                </c:pt>
                <c:pt idx="5">
                  <c:v>Assets</c:v>
                </c:pt>
                <c:pt idx="6">
                  <c:v>Waste</c:v>
                </c:pt>
              </c:strCache>
            </c:strRef>
          </c:cat>
          <c:val>
            <c:numRef>
              <c:f>Subprojectzero1!$L$7:$L$13</c:f>
              <c:numCache>
                <c:formatCode>General</c:formatCode>
                <c:ptCount val="7"/>
                <c:pt idx="0" formatCode="#,##0">
                  <c:v>0</c:v>
                </c:pt>
              </c:numCache>
            </c:numRef>
          </c:val>
          <c:extLst>
            <c:ext xmlns:c16="http://schemas.microsoft.com/office/drawing/2014/chart" uri="{C3380CC4-5D6E-409C-BE32-E72D297353CC}">
              <c16:uniqueId val="{00000000-9963-2143-9958-59FBC8084AA0}"/>
            </c:ext>
          </c:extLst>
        </c:ser>
        <c:ser>
          <c:idx val="1"/>
          <c:order val="1"/>
          <c:tx>
            <c:strRef>
              <c:f>Subprojectzero1!$AK$1</c:f>
              <c:strCache>
                <c:ptCount val="1"/>
                <c:pt idx="0">
                  <c:v>Steel</c:v>
                </c:pt>
              </c:strCache>
            </c:strRef>
          </c:tx>
          <c:spPr>
            <a:solidFill>
              <a:srgbClr val="EFAF66"/>
            </a:solidFill>
            <a:ln w="3175">
              <a:solidFill>
                <a:srgbClr val="333399"/>
              </a:solidFill>
              <a:prstDash val="solid"/>
            </a:ln>
          </c:spPr>
          <c:invertIfNegative val="0"/>
          <c:cat>
            <c:strRef>
              <c:f>Subprojectzero1!$H$7:$H$13</c:f>
              <c:strCache>
                <c:ptCount val="7"/>
                <c:pt idx="0">
                  <c:v>Materials</c:v>
                </c:pt>
                <c:pt idx="1">
                  <c:v>Energy</c:v>
                </c:pt>
                <c:pt idx="2">
                  <c:v>Freight</c:v>
                </c:pt>
                <c:pt idx="3">
                  <c:v>Mob/demob</c:v>
                </c:pt>
                <c:pt idx="4">
                  <c:v>People's transportation</c:v>
                </c:pt>
                <c:pt idx="5">
                  <c:v>Assets</c:v>
                </c:pt>
                <c:pt idx="6">
                  <c:v>Waste</c:v>
                </c:pt>
              </c:strCache>
            </c:strRef>
          </c:cat>
          <c:val>
            <c:numRef>
              <c:f>Subprojectzero1!$M$7:$M$13</c:f>
              <c:numCache>
                <c:formatCode>General</c:formatCode>
                <c:ptCount val="7"/>
                <c:pt idx="0" formatCode="#,##0">
                  <c:v>0</c:v>
                </c:pt>
              </c:numCache>
            </c:numRef>
          </c:val>
          <c:extLst>
            <c:ext xmlns:c16="http://schemas.microsoft.com/office/drawing/2014/chart" uri="{C3380CC4-5D6E-409C-BE32-E72D297353CC}">
              <c16:uniqueId val="{00000001-9963-2143-9958-59FBC8084AA0}"/>
            </c:ext>
          </c:extLst>
        </c:ser>
        <c:ser>
          <c:idx val="2"/>
          <c:order val="2"/>
          <c:tx>
            <c:strRef>
              <c:f>Subprojectzero1!$AL$1</c:f>
              <c:strCache>
                <c:ptCount val="1"/>
                <c:pt idx="0">
                  <c:v>Other</c:v>
                </c:pt>
              </c:strCache>
            </c:strRef>
          </c:tx>
          <c:spPr>
            <a:solidFill>
              <a:srgbClr val="F9DFC2"/>
            </a:solidFill>
            <a:ln w="3175">
              <a:solidFill>
                <a:srgbClr val="333399"/>
              </a:solidFill>
              <a:prstDash val="solid"/>
            </a:ln>
          </c:spPr>
          <c:invertIfNegative val="0"/>
          <c:cat>
            <c:strRef>
              <c:f>Subprojectzero1!$H$7:$H$13</c:f>
              <c:strCache>
                <c:ptCount val="7"/>
                <c:pt idx="0">
                  <c:v>Materials</c:v>
                </c:pt>
                <c:pt idx="1">
                  <c:v>Energy</c:v>
                </c:pt>
                <c:pt idx="2">
                  <c:v>Freight</c:v>
                </c:pt>
                <c:pt idx="3">
                  <c:v>Mob/demob</c:v>
                </c:pt>
                <c:pt idx="4">
                  <c:v>People's transportation</c:v>
                </c:pt>
                <c:pt idx="5">
                  <c:v>Assets</c:v>
                </c:pt>
                <c:pt idx="6">
                  <c:v>Waste</c:v>
                </c:pt>
              </c:strCache>
            </c:strRef>
          </c:cat>
          <c:val>
            <c:numRef>
              <c:f>Subprojectzero1!$N$7:$N$13</c:f>
              <c:numCache>
                <c:formatCode>General</c:formatCode>
                <c:ptCount val="7"/>
                <c:pt idx="0" formatCode="#,##0">
                  <c:v>0</c:v>
                </c:pt>
              </c:numCache>
            </c:numRef>
          </c:val>
          <c:extLst>
            <c:ext xmlns:c16="http://schemas.microsoft.com/office/drawing/2014/chart" uri="{C3380CC4-5D6E-409C-BE32-E72D297353CC}">
              <c16:uniqueId val="{00000002-9963-2143-9958-59FBC8084AA0}"/>
            </c:ext>
          </c:extLst>
        </c:ser>
        <c:ser>
          <c:idx val="3"/>
          <c:order val="3"/>
          <c:spPr>
            <a:solidFill>
              <a:srgbClr val="18509E"/>
            </a:solidFill>
            <a:ln w="3175">
              <a:solidFill>
                <a:srgbClr val="333399"/>
              </a:solidFill>
              <a:prstDash val="solid"/>
            </a:ln>
          </c:spPr>
          <c:invertIfNegative val="0"/>
          <c:cat>
            <c:strRef>
              <c:f>Subprojectzero1!$H$7:$H$13</c:f>
              <c:strCache>
                <c:ptCount val="7"/>
                <c:pt idx="0">
                  <c:v>Materials</c:v>
                </c:pt>
                <c:pt idx="1">
                  <c:v>Energy</c:v>
                </c:pt>
                <c:pt idx="2">
                  <c:v>Freight</c:v>
                </c:pt>
                <c:pt idx="3">
                  <c:v>Mob/demob</c:v>
                </c:pt>
                <c:pt idx="4">
                  <c:v>People's transportation</c:v>
                </c:pt>
                <c:pt idx="5">
                  <c:v>Assets</c:v>
                </c:pt>
                <c:pt idx="6">
                  <c:v>Waste</c:v>
                </c:pt>
              </c:strCache>
            </c:strRef>
          </c:cat>
          <c:val>
            <c:numRef>
              <c:f>Subprojectzero1!$O$7:$O$13</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9963-2143-9958-59FBC8084AA0}"/>
            </c:ext>
          </c:extLst>
        </c:ser>
        <c:dLbls>
          <c:showLegendKey val="0"/>
          <c:showVal val="0"/>
          <c:showCatName val="0"/>
          <c:showSerName val="0"/>
          <c:showPercent val="0"/>
          <c:showBubbleSize val="0"/>
        </c:dLbls>
        <c:gapWidth val="150"/>
        <c:overlap val="100"/>
        <c:axId val="1992737688"/>
        <c:axId val="1992740536"/>
      </c:barChart>
      <c:lineChart>
        <c:grouping val="standard"/>
        <c:varyColors val="0"/>
        <c:ser>
          <c:idx val="4"/>
          <c:order val="4"/>
          <c:spPr>
            <a:ln w="47625">
              <a:noFill/>
            </a:ln>
          </c:spPr>
          <c:marker>
            <c:symbol val="none"/>
          </c:marker>
          <c:dLbls>
            <c:spPr>
              <a:noFill/>
              <a:ln w="25400">
                <a:noFill/>
              </a:ln>
            </c:spPr>
            <c:txPr>
              <a:bodyPr wrap="square" lIns="38100" tIns="19050" rIns="38100" bIns="19050" anchor="ctr">
                <a:spAutoFit/>
              </a:bodyPr>
              <a:lstStyle/>
              <a:p>
                <a:pPr>
                  <a:defRPr sz="1000" b="1" i="0" u="none" strike="noStrike" baseline="0">
                    <a:solidFill>
                      <a:srgbClr val="333399"/>
                    </a:solidFill>
                    <a:latin typeface="Arial"/>
                    <a:ea typeface="Arial"/>
                    <a:cs typeface="Arial"/>
                  </a:defRPr>
                </a:pPr>
                <a:endParaRPr lang="de-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Subprojectzero1!$BE$7:$BE$13</c:f>
              <c:numCache>
                <c:formatCode>#,##0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9963-2143-9958-59FBC8084AA0}"/>
            </c:ext>
          </c:extLst>
        </c:ser>
        <c:dLbls>
          <c:showLegendKey val="0"/>
          <c:showVal val="0"/>
          <c:showCatName val="0"/>
          <c:showSerName val="0"/>
          <c:showPercent val="0"/>
          <c:showBubbleSize val="0"/>
        </c:dLbls>
        <c:marker val="1"/>
        <c:smooth val="0"/>
        <c:axId val="1992737688"/>
        <c:axId val="1992740536"/>
      </c:lineChart>
      <c:catAx>
        <c:axId val="1992737688"/>
        <c:scaling>
          <c:orientation val="minMax"/>
        </c:scaling>
        <c:delete val="0"/>
        <c:axPos val="b"/>
        <c:numFmt formatCode="General" sourceLinked="1"/>
        <c:majorTickMark val="out"/>
        <c:minorTickMark val="none"/>
        <c:tickLblPos val="nextTo"/>
        <c:spPr>
          <a:ln w="3175">
            <a:solidFill>
              <a:srgbClr val="666699"/>
            </a:solidFill>
            <a:prstDash val="solid"/>
          </a:ln>
        </c:spPr>
        <c:txPr>
          <a:bodyPr rot="-2700000" vert="horz"/>
          <a:lstStyle/>
          <a:p>
            <a:pPr>
              <a:defRPr sz="1000" b="0" i="0" u="none" strike="noStrike" baseline="0">
                <a:solidFill>
                  <a:srgbClr val="333399"/>
                </a:solidFill>
                <a:latin typeface="Arial"/>
                <a:ea typeface="Arial"/>
                <a:cs typeface="Arial"/>
              </a:defRPr>
            </a:pPr>
            <a:endParaRPr lang="de-DE"/>
          </a:p>
        </c:txPr>
        <c:crossAx val="1992740536"/>
        <c:crosses val="autoZero"/>
        <c:auto val="1"/>
        <c:lblAlgn val="ctr"/>
        <c:lblOffset val="100"/>
        <c:noMultiLvlLbl val="0"/>
      </c:catAx>
      <c:valAx>
        <c:axId val="1992740536"/>
        <c:scaling>
          <c:orientation val="minMax"/>
        </c:scaling>
        <c:delete val="0"/>
        <c:axPos val="l"/>
        <c:majorGridlines>
          <c:spPr>
            <a:ln w="3175">
              <a:solidFill>
                <a:srgbClr val="333399"/>
              </a:solidFill>
              <a:prstDash val="solid"/>
            </a:ln>
          </c:spPr>
        </c:majorGridlines>
        <c:title>
          <c:tx>
            <c:strRef>
              <c:f>Subprojectzero1!$Y$12</c:f>
              <c:strCache>
                <c:ptCount val="1"/>
                <c:pt idx="0">
                  <c:v>tCO2e</c:v>
                </c:pt>
              </c:strCache>
            </c:strRef>
          </c:tx>
          <c:overlay val="0"/>
          <c:spPr>
            <a:noFill/>
            <a:ln w="25400">
              <a:noFill/>
            </a:ln>
          </c:spPr>
          <c:txPr>
            <a:bodyPr/>
            <a:lstStyle/>
            <a:p>
              <a:pPr>
                <a:defRPr sz="1000" b="1" i="0" u="none" strike="noStrike" baseline="0">
                  <a:solidFill>
                    <a:srgbClr val="333399"/>
                  </a:solidFill>
                  <a:latin typeface="Arial"/>
                  <a:ea typeface="Arial"/>
                  <a:cs typeface="Arial"/>
                </a:defRPr>
              </a:pPr>
              <a:endParaRPr lang="de-DE"/>
            </a:p>
          </c:txPr>
        </c:title>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2737688"/>
        <c:crosses val="autoZero"/>
        <c:crossBetween val="between"/>
      </c:valAx>
      <c:spPr>
        <a:noFill/>
        <a:ln w="25400">
          <a:noFill/>
        </a:ln>
      </c:spPr>
    </c:plotArea>
    <c:legend>
      <c:legendPos val="b"/>
      <c:legendEntry>
        <c:idx val="3"/>
        <c:delete val="1"/>
      </c:legendEntry>
      <c:legendEntry>
        <c:idx val="4"/>
        <c:delete val="1"/>
      </c:legendEntry>
      <c:layout>
        <c:manualLayout>
          <c:xMode val="edge"/>
          <c:yMode val="edge"/>
          <c:x val="3.2508864023576001E-2"/>
          <c:y val="0.90583724448237102"/>
          <c:w val="0.719842980153796"/>
          <c:h val="9.3858655599084503E-2"/>
        </c:manualLayout>
      </c:layout>
      <c:overlay val="0"/>
      <c:txPr>
        <a:bodyPr/>
        <a:lstStyle/>
        <a:p>
          <a:pPr>
            <a:defRPr sz="1000"/>
          </a:pPr>
          <a:endParaRPr lang="de-DE"/>
        </a:p>
      </c:txPr>
    </c:legend>
    <c:plotVisOnly val="1"/>
    <c:dispBlanksAs val="gap"/>
    <c:showDLblsOverMax val="0"/>
  </c:chart>
  <c:spPr>
    <a:solidFill>
      <a:srgbClr val="FFFFFF"/>
    </a:solid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0"/>
    <c:plotArea>
      <c:layout/>
      <c:barChart>
        <c:barDir val="col"/>
        <c:grouping val="stacked"/>
        <c:varyColors val="0"/>
        <c:ser>
          <c:idx val="0"/>
          <c:order val="0"/>
          <c:spPr>
            <a:solidFill>
              <a:srgbClr val="18509E"/>
            </a:solidFill>
            <a:ln w="9525">
              <a:noFill/>
            </a:ln>
          </c:spPr>
          <c:invertIfNegative val="0"/>
          <c:dPt>
            <c:idx val="1"/>
            <c:invertIfNegative val="0"/>
            <c:bubble3D val="0"/>
            <c:spPr>
              <a:noFill/>
              <a:ln w="9525">
                <a:noFill/>
              </a:ln>
            </c:spPr>
            <c:extLst>
              <c:ext xmlns:c16="http://schemas.microsoft.com/office/drawing/2014/chart" uri="{C3380CC4-5D6E-409C-BE32-E72D297353CC}">
                <c16:uniqueId val="{00000001-A580-C140-BFFF-EB7F8577CAD6}"/>
              </c:ext>
            </c:extLst>
          </c:dPt>
          <c:cat>
            <c:strRef>
              <c:f>Subprojectzero1!$BA$5:$BA$7</c:f>
              <c:strCache>
                <c:ptCount val="3"/>
                <c:pt idx="0">
                  <c:v>Primary emission sources</c:v>
                </c:pt>
                <c:pt idx="1">
                  <c:v>Secondary emission sources</c:v>
                </c:pt>
                <c:pt idx="2">
                  <c:v>Total</c:v>
                </c:pt>
              </c:strCache>
            </c:strRef>
          </c:cat>
          <c:val>
            <c:numRef>
              <c:f>Subprojectzero1!$BB$5:$BB$7</c:f>
              <c:numCache>
                <c:formatCode>#,##0</c:formatCode>
                <c:ptCount val="3"/>
                <c:pt idx="0">
                  <c:v>0</c:v>
                </c:pt>
                <c:pt idx="1">
                  <c:v>0</c:v>
                </c:pt>
                <c:pt idx="2">
                  <c:v>0</c:v>
                </c:pt>
              </c:numCache>
            </c:numRef>
          </c:val>
          <c:extLst>
            <c:ext xmlns:c16="http://schemas.microsoft.com/office/drawing/2014/chart" uri="{C3380CC4-5D6E-409C-BE32-E72D297353CC}">
              <c16:uniqueId val="{00000002-A580-C140-BFFF-EB7F8577CAD6}"/>
            </c:ext>
          </c:extLst>
        </c:ser>
        <c:ser>
          <c:idx val="1"/>
          <c:order val="1"/>
          <c:spPr>
            <a:noFill/>
            <a:ln w="9525">
              <a:noFill/>
            </a:ln>
          </c:spPr>
          <c:invertIfNegative val="0"/>
          <c:dPt>
            <c:idx val="1"/>
            <c:invertIfNegative val="0"/>
            <c:bubble3D val="0"/>
            <c:spPr>
              <a:solidFill>
                <a:srgbClr val="5491E5"/>
              </a:solidFill>
              <a:ln w="9525">
                <a:noFill/>
              </a:ln>
            </c:spPr>
            <c:extLst>
              <c:ext xmlns:c16="http://schemas.microsoft.com/office/drawing/2014/chart" uri="{C3380CC4-5D6E-409C-BE32-E72D297353CC}">
                <c16:uniqueId val="{00000004-A580-C140-BFFF-EB7F8577CAD6}"/>
              </c:ext>
            </c:extLst>
          </c:dPt>
          <c:dPt>
            <c:idx val="2"/>
            <c:invertIfNegative val="0"/>
            <c:bubble3D val="0"/>
            <c:spPr>
              <a:solidFill>
                <a:srgbClr val="5491E5"/>
              </a:solidFill>
              <a:ln w="9525">
                <a:noFill/>
              </a:ln>
            </c:spPr>
            <c:extLst>
              <c:ext xmlns:c16="http://schemas.microsoft.com/office/drawing/2014/chart" uri="{C3380CC4-5D6E-409C-BE32-E72D297353CC}">
                <c16:uniqueId val="{00000006-A580-C140-BFFF-EB7F8577CAD6}"/>
              </c:ext>
            </c:extLst>
          </c:dPt>
          <c:errBars>
            <c:errBarType val="both"/>
            <c:errValType val="cust"/>
            <c:noEndCap val="0"/>
            <c:plus>
              <c:numRef>
                <c:f>Subprojectzero1!$BD$5:$BD$7</c:f>
                <c:numCache>
                  <c:formatCode>General</c:formatCode>
                  <c:ptCount val="3"/>
                  <c:pt idx="0">
                    <c:v>0</c:v>
                  </c:pt>
                  <c:pt idx="1">
                    <c:v>0</c:v>
                  </c:pt>
                  <c:pt idx="2">
                    <c:v>0</c:v>
                  </c:pt>
                </c:numCache>
              </c:numRef>
            </c:plus>
            <c:minus>
              <c:numRef>
                <c:f>Subprojectzero1!$BD$5:$BD$7</c:f>
                <c:numCache>
                  <c:formatCode>General</c:formatCode>
                  <c:ptCount val="3"/>
                  <c:pt idx="0">
                    <c:v>0</c:v>
                  </c:pt>
                  <c:pt idx="1">
                    <c:v>0</c:v>
                  </c:pt>
                  <c:pt idx="2">
                    <c:v>0</c:v>
                  </c:pt>
                </c:numCache>
              </c:numRef>
            </c:minus>
            <c:spPr>
              <a:ln w="3175">
                <a:solidFill>
                  <a:srgbClr val="FF9900"/>
                </a:solidFill>
                <a:prstDash val="solid"/>
              </a:ln>
            </c:spPr>
          </c:errBars>
          <c:cat>
            <c:strRef>
              <c:f>Subprojectzero1!$BA$5:$BA$7</c:f>
              <c:strCache>
                <c:ptCount val="3"/>
                <c:pt idx="0">
                  <c:v>Primary emission sources</c:v>
                </c:pt>
                <c:pt idx="1">
                  <c:v>Secondary emission sources</c:v>
                </c:pt>
                <c:pt idx="2">
                  <c:v>Total</c:v>
                </c:pt>
              </c:strCache>
            </c:strRef>
          </c:cat>
          <c:val>
            <c:numRef>
              <c:f>Subprojectzero1!$BC$5:$BC$7</c:f>
              <c:numCache>
                <c:formatCode>#,##0</c:formatCode>
                <c:ptCount val="3"/>
                <c:pt idx="0">
                  <c:v>0</c:v>
                </c:pt>
                <c:pt idx="1">
                  <c:v>0</c:v>
                </c:pt>
                <c:pt idx="2">
                  <c:v>0</c:v>
                </c:pt>
              </c:numCache>
            </c:numRef>
          </c:val>
          <c:extLst>
            <c:ext xmlns:c16="http://schemas.microsoft.com/office/drawing/2014/chart" uri="{C3380CC4-5D6E-409C-BE32-E72D297353CC}">
              <c16:uniqueId val="{00000007-A580-C140-BFFF-EB7F8577CAD6}"/>
            </c:ext>
          </c:extLst>
        </c:ser>
        <c:dLbls>
          <c:showLegendKey val="0"/>
          <c:showVal val="0"/>
          <c:showCatName val="0"/>
          <c:showSerName val="0"/>
          <c:showPercent val="0"/>
          <c:showBubbleSize val="0"/>
        </c:dLbls>
        <c:gapWidth val="150"/>
        <c:overlap val="100"/>
        <c:axId val="1992718264"/>
        <c:axId val="1992711288"/>
      </c:barChart>
      <c:catAx>
        <c:axId val="1992718264"/>
        <c:scaling>
          <c:orientation val="minMax"/>
        </c:scaling>
        <c:delete val="0"/>
        <c:axPos val="b"/>
        <c:numFmt formatCode="General"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2711288"/>
        <c:crosses val="autoZero"/>
        <c:auto val="1"/>
        <c:lblAlgn val="ctr"/>
        <c:lblOffset val="100"/>
        <c:noMultiLvlLbl val="0"/>
      </c:catAx>
      <c:valAx>
        <c:axId val="1992711288"/>
        <c:scaling>
          <c:orientation val="minMax"/>
          <c:min val="0"/>
        </c:scaling>
        <c:delete val="0"/>
        <c:axPos val="l"/>
        <c:majorGridlines>
          <c:spPr>
            <a:ln w="3175">
              <a:solidFill>
                <a:srgbClr val="666699"/>
              </a:solidFill>
              <a:prstDash val="solid"/>
            </a:ln>
          </c:spPr>
        </c:majorGridlines>
        <c:title>
          <c:tx>
            <c:strRef>
              <c:f>Subprojectzero1!$Y$12</c:f>
              <c:strCache>
                <c:ptCount val="1"/>
                <c:pt idx="0">
                  <c:v>tCO2e</c:v>
                </c:pt>
              </c:strCache>
            </c:strRef>
          </c:tx>
          <c:overlay val="0"/>
          <c:spPr>
            <a:noFill/>
            <a:ln w="25400">
              <a:noFill/>
            </a:ln>
          </c:spPr>
          <c:txPr>
            <a:bodyPr/>
            <a:lstStyle/>
            <a:p>
              <a:pPr>
                <a:defRPr sz="1000" b="1" i="0" u="none" strike="noStrike" baseline="0">
                  <a:solidFill>
                    <a:srgbClr val="333399"/>
                  </a:solidFill>
                  <a:latin typeface="Arial"/>
                  <a:ea typeface="Arial"/>
                  <a:cs typeface="Arial"/>
                </a:defRPr>
              </a:pPr>
              <a:endParaRPr lang="de-DE"/>
            </a:p>
          </c:txPr>
        </c:title>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2718264"/>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0"/>
    <c:plotArea>
      <c:layout>
        <c:manualLayout>
          <c:layoutTarget val="inner"/>
          <c:xMode val="edge"/>
          <c:yMode val="edge"/>
          <c:x val="0.19820418475727899"/>
          <c:y val="2.7522935779816501E-2"/>
          <c:w val="0.76129737287511901"/>
          <c:h val="0.48771870259336902"/>
        </c:manualLayout>
      </c:layout>
      <c:barChart>
        <c:barDir val="col"/>
        <c:grouping val="stacked"/>
        <c:varyColors val="0"/>
        <c:ser>
          <c:idx val="0"/>
          <c:order val="0"/>
          <c:tx>
            <c:strRef>
              <c:f>Subprojectzero2!$AJ$1</c:f>
              <c:strCache>
                <c:ptCount val="1"/>
                <c:pt idx="0">
                  <c:v>Concrete / Slurry / Grout mix</c:v>
                </c:pt>
              </c:strCache>
            </c:strRef>
          </c:tx>
          <c:spPr>
            <a:solidFill>
              <a:srgbClr val="9A5A10"/>
            </a:solidFill>
            <a:ln w="3175">
              <a:solidFill>
                <a:srgbClr val="333399"/>
              </a:solidFill>
              <a:prstDash val="solid"/>
            </a:ln>
          </c:spPr>
          <c:invertIfNegative val="0"/>
          <c:cat>
            <c:strRef>
              <c:f>Subprojectzero2!$H$7:$H$13</c:f>
              <c:strCache>
                <c:ptCount val="7"/>
                <c:pt idx="0">
                  <c:v>Materials</c:v>
                </c:pt>
                <c:pt idx="1">
                  <c:v>Energy</c:v>
                </c:pt>
                <c:pt idx="2">
                  <c:v>Freight</c:v>
                </c:pt>
                <c:pt idx="3">
                  <c:v>Mob/demob</c:v>
                </c:pt>
                <c:pt idx="4">
                  <c:v>People's transportation</c:v>
                </c:pt>
                <c:pt idx="5">
                  <c:v>Assets</c:v>
                </c:pt>
                <c:pt idx="6">
                  <c:v>Waste</c:v>
                </c:pt>
              </c:strCache>
            </c:strRef>
          </c:cat>
          <c:val>
            <c:numRef>
              <c:f>Subprojectzero2!$L$7:$L$13</c:f>
              <c:numCache>
                <c:formatCode>General</c:formatCode>
                <c:ptCount val="7"/>
                <c:pt idx="0" formatCode="#,##0">
                  <c:v>0</c:v>
                </c:pt>
              </c:numCache>
            </c:numRef>
          </c:val>
          <c:extLst>
            <c:ext xmlns:c16="http://schemas.microsoft.com/office/drawing/2014/chart" uri="{C3380CC4-5D6E-409C-BE32-E72D297353CC}">
              <c16:uniqueId val="{00000000-F9DF-164E-86B4-C6CC423DEDF9}"/>
            </c:ext>
          </c:extLst>
        </c:ser>
        <c:ser>
          <c:idx val="1"/>
          <c:order val="1"/>
          <c:tx>
            <c:strRef>
              <c:f>Subprojectzero2!$AK$1</c:f>
              <c:strCache>
                <c:ptCount val="1"/>
                <c:pt idx="0">
                  <c:v>Steel</c:v>
                </c:pt>
              </c:strCache>
            </c:strRef>
          </c:tx>
          <c:spPr>
            <a:solidFill>
              <a:srgbClr val="EFAF66"/>
            </a:solidFill>
            <a:ln w="3175">
              <a:solidFill>
                <a:srgbClr val="333399"/>
              </a:solidFill>
              <a:prstDash val="solid"/>
            </a:ln>
          </c:spPr>
          <c:invertIfNegative val="0"/>
          <c:cat>
            <c:strRef>
              <c:f>Subprojectzero2!$H$7:$H$13</c:f>
              <c:strCache>
                <c:ptCount val="7"/>
                <c:pt idx="0">
                  <c:v>Materials</c:v>
                </c:pt>
                <c:pt idx="1">
                  <c:v>Energy</c:v>
                </c:pt>
                <c:pt idx="2">
                  <c:v>Freight</c:v>
                </c:pt>
                <c:pt idx="3">
                  <c:v>Mob/demob</c:v>
                </c:pt>
                <c:pt idx="4">
                  <c:v>People's transportation</c:v>
                </c:pt>
                <c:pt idx="5">
                  <c:v>Assets</c:v>
                </c:pt>
                <c:pt idx="6">
                  <c:v>Waste</c:v>
                </c:pt>
              </c:strCache>
            </c:strRef>
          </c:cat>
          <c:val>
            <c:numRef>
              <c:f>Subprojectzero2!$M$7:$M$13</c:f>
              <c:numCache>
                <c:formatCode>General</c:formatCode>
                <c:ptCount val="7"/>
                <c:pt idx="0" formatCode="#,##0">
                  <c:v>0</c:v>
                </c:pt>
              </c:numCache>
            </c:numRef>
          </c:val>
          <c:extLst>
            <c:ext xmlns:c16="http://schemas.microsoft.com/office/drawing/2014/chart" uri="{C3380CC4-5D6E-409C-BE32-E72D297353CC}">
              <c16:uniqueId val="{00000001-F9DF-164E-86B4-C6CC423DEDF9}"/>
            </c:ext>
          </c:extLst>
        </c:ser>
        <c:ser>
          <c:idx val="2"/>
          <c:order val="2"/>
          <c:tx>
            <c:strRef>
              <c:f>Subprojectzero2!$AL$1</c:f>
              <c:strCache>
                <c:ptCount val="1"/>
                <c:pt idx="0">
                  <c:v>Other</c:v>
                </c:pt>
              </c:strCache>
            </c:strRef>
          </c:tx>
          <c:spPr>
            <a:solidFill>
              <a:srgbClr val="F9DFC2"/>
            </a:solidFill>
            <a:ln w="3175">
              <a:solidFill>
                <a:srgbClr val="333399"/>
              </a:solidFill>
              <a:prstDash val="solid"/>
            </a:ln>
          </c:spPr>
          <c:invertIfNegative val="0"/>
          <c:cat>
            <c:strRef>
              <c:f>Subprojectzero2!$H$7:$H$13</c:f>
              <c:strCache>
                <c:ptCount val="7"/>
                <c:pt idx="0">
                  <c:v>Materials</c:v>
                </c:pt>
                <c:pt idx="1">
                  <c:v>Energy</c:v>
                </c:pt>
                <c:pt idx="2">
                  <c:v>Freight</c:v>
                </c:pt>
                <c:pt idx="3">
                  <c:v>Mob/demob</c:v>
                </c:pt>
                <c:pt idx="4">
                  <c:v>People's transportation</c:v>
                </c:pt>
                <c:pt idx="5">
                  <c:v>Assets</c:v>
                </c:pt>
                <c:pt idx="6">
                  <c:v>Waste</c:v>
                </c:pt>
              </c:strCache>
            </c:strRef>
          </c:cat>
          <c:val>
            <c:numRef>
              <c:f>Subprojectzero2!$N$7:$N$13</c:f>
              <c:numCache>
                <c:formatCode>General</c:formatCode>
                <c:ptCount val="7"/>
                <c:pt idx="0" formatCode="#,##0">
                  <c:v>0</c:v>
                </c:pt>
              </c:numCache>
            </c:numRef>
          </c:val>
          <c:extLst>
            <c:ext xmlns:c16="http://schemas.microsoft.com/office/drawing/2014/chart" uri="{C3380CC4-5D6E-409C-BE32-E72D297353CC}">
              <c16:uniqueId val="{00000002-F9DF-164E-86B4-C6CC423DEDF9}"/>
            </c:ext>
          </c:extLst>
        </c:ser>
        <c:ser>
          <c:idx val="3"/>
          <c:order val="3"/>
          <c:spPr>
            <a:solidFill>
              <a:srgbClr val="18509E"/>
            </a:solidFill>
            <a:ln w="3175">
              <a:solidFill>
                <a:srgbClr val="333399"/>
              </a:solidFill>
              <a:prstDash val="solid"/>
            </a:ln>
          </c:spPr>
          <c:invertIfNegative val="0"/>
          <c:cat>
            <c:strRef>
              <c:f>Subprojectzero2!$H$7:$H$13</c:f>
              <c:strCache>
                <c:ptCount val="7"/>
                <c:pt idx="0">
                  <c:v>Materials</c:v>
                </c:pt>
                <c:pt idx="1">
                  <c:v>Energy</c:v>
                </c:pt>
                <c:pt idx="2">
                  <c:v>Freight</c:v>
                </c:pt>
                <c:pt idx="3">
                  <c:v>Mob/demob</c:v>
                </c:pt>
                <c:pt idx="4">
                  <c:v>People's transportation</c:v>
                </c:pt>
                <c:pt idx="5">
                  <c:v>Assets</c:v>
                </c:pt>
                <c:pt idx="6">
                  <c:v>Waste</c:v>
                </c:pt>
              </c:strCache>
            </c:strRef>
          </c:cat>
          <c:val>
            <c:numRef>
              <c:f>Subprojectzero2!$O$7:$O$13</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F9DF-164E-86B4-C6CC423DEDF9}"/>
            </c:ext>
          </c:extLst>
        </c:ser>
        <c:dLbls>
          <c:showLegendKey val="0"/>
          <c:showVal val="0"/>
          <c:showCatName val="0"/>
          <c:showSerName val="0"/>
          <c:showPercent val="0"/>
          <c:showBubbleSize val="0"/>
        </c:dLbls>
        <c:gapWidth val="150"/>
        <c:overlap val="100"/>
        <c:axId val="1992999720"/>
        <c:axId val="1993002936"/>
      </c:barChart>
      <c:lineChart>
        <c:grouping val="standard"/>
        <c:varyColors val="0"/>
        <c:ser>
          <c:idx val="4"/>
          <c:order val="4"/>
          <c:spPr>
            <a:ln w="47625">
              <a:noFill/>
            </a:ln>
          </c:spPr>
          <c:marker>
            <c:symbol val="none"/>
          </c:marker>
          <c:dLbls>
            <c:spPr>
              <a:noFill/>
              <a:ln w="25400">
                <a:noFill/>
              </a:ln>
            </c:spPr>
            <c:txPr>
              <a:bodyPr wrap="square" lIns="38100" tIns="19050" rIns="38100" bIns="19050" anchor="ctr">
                <a:spAutoFit/>
              </a:bodyPr>
              <a:lstStyle/>
              <a:p>
                <a:pPr>
                  <a:defRPr sz="1000" b="1" i="0" u="none" strike="noStrike" baseline="0">
                    <a:solidFill>
                      <a:srgbClr val="333399"/>
                    </a:solidFill>
                    <a:latin typeface="Arial"/>
                    <a:ea typeface="Arial"/>
                    <a:cs typeface="Arial"/>
                  </a:defRPr>
                </a:pPr>
                <a:endParaRPr lang="de-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Subprojectzero2!$BE$7:$BE$13</c:f>
              <c:numCache>
                <c:formatCode>#,##0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F9DF-164E-86B4-C6CC423DEDF9}"/>
            </c:ext>
          </c:extLst>
        </c:ser>
        <c:dLbls>
          <c:showLegendKey val="0"/>
          <c:showVal val="0"/>
          <c:showCatName val="0"/>
          <c:showSerName val="0"/>
          <c:showPercent val="0"/>
          <c:showBubbleSize val="0"/>
        </c:dLbls>
        <c:marker val="1"/>
        <c:smooth val="0"/>
        <c:axId val="1992999720"/>
        <c:axId val="1993002936"/>
      </c:lineChart>
      <c:catAx>
        <c:axId val="1992999720"/>
        <c:scaling>
          <c:orientation val="minMax"/>
        </c:scaling>
        <c:delete val="0"/>
        <c:axPos val="b"/>
        <c:numFmt formatCode="General" sourceLinked="1"/>
        <c:majorTickMark val="out"/>
        <c:minorTickMark val="none"/>
        <c:tickLblPos val="nextTo"/>
        <c:spPr>
          <a:ln w="3175">
            <a:solidFill>
              <a:srgbClr val="666699"/>
            </a:solidFill>
            <a:prstDash val="solid"/>
          </a:ln>
        </c:spPr>
        <c:txPr>
          <a:bodyPr rot="-2700000" vert="horz"/>
          <a:lstStyle/>
          <a:p>
            <a:pPr>
              <a:defRPr sz="1000" b="0" i="0" u="none" strike="noStrike" baseline="0">
                <a:solidFill>
                  <a:srgbClr val="333399"/>
                </a:solidFill>
                <a:latin typeface="Arial"/>
                <a:ea typeface="Arial"/>
                <a:cs typeface="Arial"/>
              </a:defRPr>
            </a:pPr>
            <a:endParaRPr lang="de-DE"/>
          </a:p>
        </c:txPr>
        <c:crossAx val="1993002936"/>
        <c:crosses val="autoZero"/>
        <c:auto val="1"/>
        <c:lblAlgn val="ctr"/>
        <c:lblOffset val="100"/>
        <c:noMultiLvlLbl val="0"/>
      </c:catAx>
      <c:valAx>
        <c:axId val="1993002936"/>
        <c:scaling>
          <c:orientation val="minMax"/>
          <c:min val="0"/>
        </c:scaling>
        <c:delete val="0"/>
        <c:axPos val="l"/>
        <c:majorGridlines>
          <c:spPr>
            <a:ln w="3175">
              <a:solidFill>
                <a:srgbClr val="333399"/>
              </a:solidFill>
              <a:prstDash val="solid"/>
            </a:ln>
          </c:spPr>
        </c:majorGridlines>
        <c:title>
          <c:tx>
            <c:strRef>
              <c:f>Subprojectzero2!$Y$12</c:f>
              <c:strCache>
                <c:ptCount val="1"/>
                <c:pt idx="0">
                  <c:v>tCO2e</c:v>
                </c:pt>
              </c:strCache>
            </c:strRef>
          </c:tx>
          <c:overlay val="0"/>
          <c:spPr>
            <a:noFill/>
            <a:ln w="25400">
              <a:noFill/>
            </a:ln>
          </c:spPr>
          <c:txPr>
            <a:bodyPr/>
            <a:lstStyle/>
            <a:p>
              <a:pPr>
                <a:defRPr sz="1000" b="1" i="0" u="none" strike="noStrike" baseline="0">
                  <a:solidFill>
                    <a:srgbClr val="333399"/>
                  </a:solidFill>
                  <a:latin typeface="Arial"/>
                  <a:ea typeface="Arial"/>
                  <a:cs typeface="Arial"/>
                </a:defRPr>
              </a:pPr>
              <a:endParaRPr lang="de-DE"/>
            </a:p>
          </c:txPr>
        </c:title>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2999720"/>
        <c:crosses val="autoZero"/>
        <c:crossBetween val="between"/>
      </c:valAx>
      <c:spPr>
        <a:noFill/>
        <a:ln w="25400">
          <a:noFill/>
        </a:ln>
      </c:spPr>
    </c:plotArea>
    <c:legend>
      <c:legendPos val="b"/>
      <c:legendEntry>
        <c:idx val="3"/>
        <c:delete val="1"/>
      </c:legendEntry>
      <c:legendEntry>
        <c:idx val="4"/>
        <c:delete val="1"/>
      </c:legendEntry>
      <c:layout>
        <c:manualLayout>
          <c:xMode val="edge"/>
          <c:yMode val="edge"/>
          <c:x val="5.1802699662542202E-2"/>
          <c:y val="0.90637213451766796"/>
          <c:w val="0.70338942632170998"/>
          <c:h val="9.3627865482331901E-2"/>
        </c:manualLayout>
      </c:layout>
      <c:overlay val="0"/>
    </c:legend>
    <c:plotVisOnly val="1"/>
    <c:dispBlanksAs val="gap"/>
    <c:showDLblsOverMax val="0"/>
  </c:chart>
  <c:spPr>
    <a:solidFill>
      <a:srgbClr val="FFFFFF"/>
    </a:solid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0"/>
    <c:plotArea>
      <c:layout/>
      <c:barChart>
        <c:barDir val="col"/>
        <c:grouping val="stacked"/>
        <c:varyColors val="0"/>
        <c:ser>
          <c:idx val="0"/>
          <c:order val="0"/>
          <c:spPr>
            <a:solidFill>
              <a:srgbClr val="18509E"/>
            </a:solidFill>
            <a:ln w="9525">
              <a:noFill/>
            </a:ln>
          </c:spPr>
          <c:invertIfNegative val="0"/>
          <c:dPt>
            <c:idx val="1"/>
            <c:invertIfNegative val="0"/>
            <c:bubble3D val="0"/>
            <c:spPr>
              <a:noFill/>
              <a:ln w="9525">
                <a:noFill/>
              </a:ln>
            </c:spPr>
            <c:extLst>
              <c:ext xmlns:c16="http://schemas.microsoft.com/office/drawing/2014/chart" uri="{C3380CC4-5D6E-409C-BE32-E72D297353CC}">
                <c16:uniqueId val="{00000001-F720-B041-A2B6-7A2FEFF51229}"/>
              </c:ext>
            </c:extLst>
          </c:dPt>
          <c:cat>
            <c:strRef>
              <c:f>Subprojectzero2!$BA$5:$BA$7</c:f>
              <c:strCache>
                <c:ptCount val="3"/>
                <c:pt idx="0">
                  <c:v>Primary emission sources</c:v>
                </c:pt>
                <c:pt idx="1">
                  <c:v>Secondary emission sources</c:v>
                </c:pt>
                <c:pt idx="2">
                  <c:v>Total</c:v>
                </c:pt>
              </c:strCache>
            </c:strRef>
          </c:cat>
          <c:val>
            <c:numRef>
              <c:f>Subprojectzero2!$BB$5:$BB$7</c:f>
              <c:numCache>
                <c:formatCode>#,##0</c:formatCode>
                <c:ptCount val="3"/>
                <c:pt idx="0">
                  <c:v>0</c:v>
                </c:pt>
                <c:pt idx="1">
                  <c:v>0</c:v>
                </c:pt>
                <c:pt idx="2">
                  <c:v>0</c:v>
                </c:pt>
              </c:numCache>
            </c:numRef>
          </c:val>
          <c:extLst>
            <c:ext xmlns:c16="http://schemas.microsoft.com/office/drawing/2014/chart" uri="{C3380CC4-5D6E-409C-BE32-E72D297353CC}">
              <c16:uniqueId val="{00000002-F720-B041-A2B6-7A2FEFF51229}"/>
            </c:ext>
          </c:extLst>
        </c:ser>
        <c:ser>
          <c:idx val="1"/>
          <c:order val="1"/>
          <c:spPr>
            <a:noFill/>
            <a:ln w="9525">
              <a:noFill/>
            </a:ln>
          </c:spPr>
          <c:invertIfNegative val="0"/>
          <c:dPt>
            <c:idx val="1"/>
            <c:invertIfNegative val="0"/>
            <c:bubble3D val="0"/>
            <c:spPr>
              <a:solidFill>
                <a:srgbClr val="5491E5"/>
              </a:solidFill>
              <a:ln w="9525">
                <a:noFill/>
              </a:ln>
            </c:spPr>
            <c:extLst>
              <c:ext xmlns:c16="http://schemas.microsoft.com/office/drawing/2014/chart" uri="{C3380CC4-5D6E-409C-BE32-E72D297353CC}">
                <c16:uniqueId val="{00000004-F720-B041-A2B6-7A2FEFF51229}"/>
              </c:ext>
            </c:extLst>
          </c:dPt>
          <c:dPt>
            <c:idx val="2"/>
            <c:invertIfNegative val="0"/>
            <c:bubble3D val="0"/>
            <c:spPr>
              <a:solidFill>
                <a:srgbClr val="5491E5"/>
              </a:solidFill>
              <a:ln w="9525">
                <a:noFill/>
              </a:ln>
            </c:spPr>
            <c:extLst>
              <c:ext xmlns:c16="http://schemas.microsoft.com/office/drawing/2014/chart" uri="{C3380CC4-5D6E-409C-BE32-E72D297353CC}">
                <c16:uniqueId val="{00000006-F720-B041-A2B6-7A2FEFF51229}"/>
              </c:ext>
            </c:extLst>
          </c:dPt>
          <c:errBars>
            <c:errBarType val="both"/>
            <c:errValType val="cust"/>
            <c:noEndCap val="0"/>
            <c:plus>
              <c:numRef>
                <c:f>Subprojectzero2!$BD$5:$BD$7</c:f>
                <c:numCache>
                  <c:formatCode>General</c:formatCode>
                  <c:ptCount val="3"/>
                  <c:pt idx="0">
                    <c:v>0</c:v>
                  </c:pt>
                  <c:pt idx="1">
                    <c:v>0</c:v>
                  </c:pt>
                  <c:pt idx="2">
                    <c:v>0</c:v>
                  </c:pt>
                </c:numCache>
              </c:numRef>
            </c:plus>
            <c:minus>
              <c:numRef>
                <c:f>Subprojectzero2!$BD$5:$BD$7</c:f>
                <c:numCache>
                  <c:formatCode>General</c:formatCode>
                  <c:ptCount val="3"/>
                  <c:pt idx="0">
                    <c:v>0</c:v>
                  </c:pt>
                  <c:pt idx="1">
                    <c:v>0</c:v>
                  </c:pt>
                  <c:pt idx="2">
                    <c:v>0</c:v>
                  </c:pt>
                </c:numCache>
              </c:numRef>
            </c:minus>
            <c:spPr>
              <a:ln w="3175">
                <a:solidFill>
                  <a:srgbClr val="FF9900"/>
                </a:solidFill>
                <a:prstDash val="solid"/>
              </a:ln>
            </c:spPr>
          </c:errBars>
          <c:cat>
            <c:strRef>
              <c:f>Subprojectzero2!$BA$5:$BA$7</c:f>
              <c:strCache>
                <c:ptCount val="3"/>
                <c:pt idx="0">
                  <c:v>Primary emission sources</c:v>
                </c:pt>
                <c:pt idx="1">
                  <c:v>Secondary emission sources</c:v>
                </c:pt>
                <c:pt idx="2">
                  <c:v>Total</c:v>
                </c:pt>
              </c:strCache>
            </c:strRef>
          </c:cat>
          <c:val>
            <c:numRef>
              <c:f>Subprojectzero2!$BC$5:$BC$7</c:f>
              <c:numCache>
                <c:formatCode>#,##0</c:formatCode>
                <c:ptCount val="3"/>
                <c:pt idx="0">
                  <c:v>0</c:v>
                </c:pt>
                <c:pt idx="1">
                  <c:v>0</c:v>
                </c:pt>
                <c:pt idx="2">
                  <c:v>0</c:v>
                </c:pt>
              </c:numCache>
            </c:numRef>
          </c:val>
          <c:extLst>
            <c:ext xmlns:c16="http://schemas.microsoft.com/office/drawing/2014/chart" uri="{C3380CC4-5D6E-409C-BE32-E72D297353CC}">
              <c16:uniqueId val="{00000007-F720-B041-A2B6-7A2FEFF51229}"/>
            </c:ext>
          </c:extLst>
        </c:ser>
        <c:dLbls>
          <c:showLegendKey val="0"/>
          <c:showVal val="0"/>
          <c:showCatName val="0"/>
          <c:showSerName val="0"/>
          <c:showPercent val="0"/>
          <c:showBubbleSize val="0"/>
        </c:dLbls>
        <c:gapWidth val="150"/>
        <c:overlap val="100"/>
        <c:axId val="1993047608"/>
        <c:axId val="1993051000"/>
      </c:barChart>
      <c:catAx>
        <c:axId val="1993047608"/>
        <c:scaling>
          <c:orientation val="minMax"/>
        </c:scaling>
        <c:delete val="0"/>
        <c:axPos val="b"/>
        <c:numFmt formatCode="General"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3051000"/>
        <c:crosses val="autoZero"/>
        <c:auto val="1"/>
        <c:lblAlgn val="ctr"/>
        <c:lblOffset val="100"/>
        <c:noMultiLvlLbl val="0"/>
      </c:catAx>
      <c:valAx>
        <c:axId val="1993051000"/>
        <c:scaling>
          <c:orientation val="minMax"/>
        </c:scaling>
        <c:delete val="0"/>
        <c:axPos val="l"/>
        <c:majorGridlines>
          <c:spPr>
            <a:ln w="3175">
              <a:solidFill>
                <a:srgbClr val="666699"/>
              </a:solidFill>
              <a:prstDash val="solid"/>
            </a:ln>
          </c:spPr>
        </c:majorGridlines>
        <c:title>
          <c:tx>
            <c:strRef>
              <c:f>Subprojectzero2!$Y$12</c:f>
              <c:strCache>
                <c:ptCount val="1"/>
                <c:pt idx="0">
                  <c:v>tCO2e</c:v>
                </c:pt>
              </c:strCache>
            </c:strRef>
          </c:tx>
          <c:overlay val="0"/>
          <c:spPr>
            <a:noFill/>
            <a:ln w="25400">
              <a:noFill/>
            </a:ln>
          </c:spPr>
          <c:txPr>
            <a:bodyPr/>
            <a:lstStyle/>
            <a:p>
              <a:pPr>
                <a:defRPr sz="1000" b="1" i="0" u="none" strike="noStrike" baseline="0">
                  <a:solidFill>
                    <a:srgbClr val="333399"/>
                  </a:solidFill>
                  <a:latin typeface="Arial"/>
                  <a:ea typeface="Arial"/>
                  <a:cs typeface="Arial"/>
                </a:defRPr>
              </a:pPr>
              <a:endParaRPr lang="de-DE"/>
            </a:p>
          </c:txPr>
        </c:title>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3047608"/>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0"/>
    <c:plotArea>
      <c:layout>
        <c:manualLayout>
          <c:layoutTarget val="inner"/>
          <c:xMode val="edge"/>
          <c:yMode val="edge"/>
          <c:x val="0.19820418475727899"/>
          <c:y val="2.7522935779816501E-2"/>
          <c:w val="0.76129737287511901"/>
          <c:h val="0.48771870259336902"/>
        </c:manualLayout>
      </c:layout>
      <c:barChart>
        <c:barDir val="col"/>
        <c:grouping val="stacked"/>
        <c:varyColors val="0"/>
        <c:ser>
          <c:idx val="0"/>
          <c:order val="0"/>
          <c:tx>
            <c:strRef>
              <c:f>Subprojectzero3!$AJ$1</c:f>
              <c:strCache>
                <c:ptCount val="1"/>
                <c:pt idx="0">
                  <c:v>Concrete / Slurry / Grout mix</c:v>
                </c:pt>
              </c:strCache>
            </c:strRef>
          </c:tx>
          <c:spPr>
            <a:solidFill>
              <a:srgbClr val="9A5A10"/>
            </a:solidFill>
            <a:ln w="3175">
              <a:solidFill>
                <a:srgbClr val="333399"/>
              </a:solidFill>
              <a:prstDash val="solid"/>
            </a:ln>
          </c:spPr>
          <c:invertIfNegative val="0"/>
          <c:cat>
            <c:strRef>
              <c:f>Subprojectzero3!$H$7:$H$13</c:f>
              <c:strCache>
                <c:ptCount val="7"/>
                <c:pt idx="0">
                  <c:v>Materials</c:v>
                </c:pt>
                <c:pt idx="1">
                  <c:v>Energy</c:v>
                </c:pt>
                <c:pt idx="2">
                  <c:v>Freight</c:v>
                </c:pt>
                <c:pt idx="3">
                  <c:v>Mob/demob</c:v>
                </c:pt>
                <c:pt idx="4">
                  <c:v>People's transportation</c:v>
                </c:pt>
                <c:pt idx="5">
                  <c:v>Assets</c:v>
                </c:pt>
                <c:pt idx="6">
                  <c:v>Waste</c:v>
                </c:pt>
              </c:strCache>
            </c:strRef>
          </c:cat>
          <c:val>
            <c:numRef>
              <c:f>Subprojectzero3!$L$7:$L$13</c:f>
              <c:numCache>
                <c:formatCode>General</c:formatCode>
                <c:ptCount val="7"/>
                <c:pt idx="0" formatCode="#,##0">
                  <c:v>0</c:v>
                </c:pt>
              </c:numCache>
            </c:numRef>
          </c:val>
          <c:extLst>
            <c:ext xmlns:c16="http://schemas.microsoft.com/office/drawing/2014/chart" uri="{C3380CC4-5D6E-409C-BE32-E72D297353CC}">
              <c16:uniqueId val="{00000000-6EC6-0147-A973-FF1EA77E16BA}"/>
            </c:ext>
          </c:extLst>
        </c:ser>
        <c:ser>
          <c:idx val="1"/>
          <c:order val="1"/>
          <c:tx>
            <c:strRef>
              <c:f>Subprojectzero3!$AK$1</c:f>
              <c:strCache>
                <c:ptCount val="1"/>
                <c:pt idx="0">
                  <c:v>Steel</c:v>
                </c:pt>
              </c:strCache>
            </c:strRef>
          </c:tx>
          <c:spPr>
            <a:solidFill>
              <a:srgbClr val="EFAF66"/>
            </a:solidFill>
            <a:ln w="3175">
              <a:solidFill>
                <a:srgbClr val="333399"/>
              </a:solidFill>
              <a:prstDash val="solid"/>
            </a:ln>
          </c:spPr>
          <c:invertIfNegative val="0"/>
          <c:cat>
            <c:strRef>
              <c:f>Subprojectzero3!$H$7:$H$13</c:f>
              <c:strCache>
                <c:ptCount val="7"/>
                <c:pt idx="0">
                  <c:v>Materials</c:v>
                </c:pt>
                <c:pt idx="1">
                  <c:v>Energy</c:v>
                </c:pt>
                <c:pt idx="2">
                  <c:v>Freight</c:v>
                </c:pt>
                <c:pt idx="3">
                  <c:v>Mob/demob</c:v>
                </c:pt>
                <c:pt idx="4">
                  <c:v>People's transportation</c:v>
                </c:pt>
                <c:pt idx="5">
                  <c:v>Assets</c:v>
                </c:pt>
                <c:pt idx="6">
                  <c:v>Waste</c:v>
                </c:pt>
              </c:strCache>
            </c:strRef>
          </c:cat>
          <c:val>
            <c:numRef>
              <c:f>Subprojectzero3!$M$7:$M$13</c:f>
              <c:numCache>
                <c:formatCode>General</c:formatCode>
                <c:ptCount val="7"/>
                <c:pt idx="0" formatCode="#,##0">
                  <c:v>0</c:v>
                </c:pt>
              </c:numCache>
            </c:numRef>
          </c:val>
          <c:extLst>
            <c:ext xmlns:c16="http://schemas.microsoft.com/office/drawing/2014/chart" uri="{C3380CC4-5D6E-409C-BE32-E72D297353CC}">
              <c16:uniqueId val="{00000001-6EC6-0147-A973-FF1EA77E16BA}"/>
            </c:ext>
          </c:extLst>
        </c:ser>
        <c:ser>
          <c:idx val="2"/>
          <c:order val="2"/>
          <c:tx>
            <c:strRef>
              <c:f>Subprojectzero3!$AL$1</c:f>
              <c:strCache>
                <c:ptCount val="1"/>
                <c:pt idx="0">
                  <c:v>Other</c:v>
                </c:pt>
              </c:strCache>
            </c:strRef>
          </c:tx>
          <c:spPr>
            <a:solidFill>
              <a:srgbClr val="F9DFC2"/>
            </a:solidFill>
            <a:ln w="3175">
              <a:solidFill>
                <a:srgbClr val="333399"/>
              </a:solidFill>
              <a:prstDash val="solid"/>
            </a:ln>
          </c:spPr>
          <c:invertIfNegative val="0"/>
          <c:cat>
            <c:strRef>
              <c:f>Subprojectzero3!$H$7:$H$13</c:f>
              <c:strCache>
                <c:ptCount val="7"/>
                <c:pt idx="0">
                  <c:v>Materials</c:v>
                </c:pt>
                <c:pt idx="1">
                  <c:v>Energy</c:v>
                </c:pt>
                <c:pt idx="2">
                  <c:v>Freight</c:v>
                </c:pt>
                <c:pt idx="3">
                  <c:v>Mob/demob</c:v>
                </c:pt>
                <c:pt idx="4">
                  <c:v>People's transportation</c:v>
                </c:pt>
                <c:pt idx="5">
                  <c:v>Assets</c:v>
                </c:pt>
                <c:pt idx="6">
                  <c:v>Waste</c:v>
                </c:pt>
              </c:strCache>
            </c:strRef>
          </c:cat>
          <c:val>
            <c:numRef>
              <c:f>Subprojectzero3!$N$7:$N$13</c:f>
              <c:numCache>
                <c:formatCode>General</c:formatCode>
                <c:ptCount val="7"/>
                <c:pt idx="0" formatCode="#,##0">
                  <c:v>0</c:v>
                </c:pt>
              </c:numCache>
            </c:numRef>
          </c:val>
          <c:extLst>
            <c:ext xmlns:c16="http://schemas.microsoft.com/office/drawing/2014/chart" uri="{C3380CC4-5D6E-409C-BE32-E72D297353CC}">
              <c16:uniqueId val="{00000002-6EC6-0147-A973-FF1EA77E16BA}"/>
            </c:ext>
          </c:extLst>
        </c:ser>
        <c:ser>
          <c:idx val="3"/>
          <c:order val="3"/>
          <c:spPr>
            <a:solidFill>
              <a:srgbClr val="18509E"/>
            </a:solidFill>
            <a:ln w="3175">
              <a:solidFill>
                <a:srgbClr val="333399"/>
              </a:solidFill>
              <a:prstDash val="solid"/>
            </a:ln>
          </c:spPr>
          <c:invertIfNegative val="0"/>
          <c:cat>
            <c:strRef>
              <c:f>Subprojectzero3!$H$7:$H$13</c:f>
              <c:strCache>
                <c:ptCount val="7"/>
                <c:pt idx="0">
                  <c:v>Materials</c:v>
                </c:pt>
                <c:pt idx="1">
                  <c:v>Energy</c:v>
                </c:pt>
                <c:pt idx="2">
                  <c:v>Freight</c:v>
                </c:pt>
                <c:pt idx="3">
                  <c:v>Mob/demob</c:v>
                </c:pt>
                <c:pt idx="4">
                  <c:v>People's transportation</c:v>
                </c:pt>
                <c:pt idx="5">
                  <c:v>Assets</c:v>
                </c:pt>
                <c:pt idx="6">
                  <c:v>Waste</c:v>
                </c:pt>
              </c:strCache>
            </c:strRef>
          </c:cat>
          <c:val>
            <c:numRef>
              <c:f>Subprojectzero3!$O$7:$O$13</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6EC6-0147-A973-FF1EA77E16BA}"/>
            </c:ext>
          </c:extLst>
        </c:ser>
        <c:dLbls>
          <c:showLegendKey val="0"/>
          <c:showVal val="0"/>
          <c:showCatName val="0"/>
          <c:showSerName val="0"/>
          <c:showPercent val="0"/>
          <c:showBubbleSize val="0"/>
        </c:dLbls>
        <c:gapWidth val="150"/>
        <c:overlap val="100"/>
        <c:axId val="1993532120"/>
        <c:axId val="1993535336"/>
      </c:barChart>
      <c:lineChart>
        <c:grouping val="standard"/>
        <c:varyColors val="0"/>
        <c:ser>
          <c:idx val="4"/>
          <c:order val="4"/>
          <c:spPr>
            <a:ln w="47625">
              <a:noFill/>
            </a:ln>
          </c:spPr>
          <c:marker>
            <c:symbol val="none"/>
          </c:marker>
          <c:dLbls>
            <c:spPr>
              <a:noFill/>
              <a:ln w="25400">
                <a:noFill/>
              </a:ln>
            </c:spPr>
            <c:txPr>
              <a:bodyPr wrap="square" lIns="38100" tIns="19050" rIns="38100" bIns="19050" anchor="ctr">
                <a:spAutoFit/>
              </a:bodyPr>
              <a:lstStyle/>
              <a:p>
                <a:pPr>
                  <a:defRPr sz="1000" b="1" i="0" u="none" strike="noStrike" baseline="0">
                    <a:solidFill>
                      <a:srgbClr val="333399"/>
                    </a:solidFill>
                    <a:latin typeface="Arial"/>
                    <a:ea typeface="Arial"/>
                    <a:cs typeface="Arial"/>
                  </a:defRPr>
                </a:pPr>
                <a:endParaRPr lang="de-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Subprojectzero3!$BE$7:$BE$13</c:f>
              <c:numCache>
                <c:formatCode>#,##0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6EC6-0147-A973-FF1EA77E16BA}"/>
            </c:ext>
          </c:extLst>
        </c:ser>
        <c:dLbls>
          <c:showLegendKey val="0"/>
          <c:showVal val="0"/>
          <c:showCatName val="0"/>
          <c:showSerName val="0"/>
          <c:showPercent val="0"/>
          <c:showBubbleSize val="0"/>
        </c:dLbls>
        <c:marker val="1"/>
        <c:smooth val="0"/>
        <c:axId val="1993532120"/>
        <c:axId val="1993535336"/>
      </c:lineChart>
      <c:catAx>
        <c:axId val="1993532120"/>
        <c:scaling>
          <c:orientation val="minMax"/>
        </c:scaling>
        <c:delete val="0"/>
        <c:axPos val="b"/>
        <c:numFmt formatCode="General" sourceLinked="1"/>
        <c:majorTickMark val="out"/>
        <c:minorTickMark val="none"/>
        <c:tickLblPos val="nextTo"/>
        <c:spPr>
          <a:ln w="3175">
            <a:solidFill>
              <a:srgbClr val="666699"/>
            </a:solidFill>
            <a:prstDash val="solid"/>
          </a:ln>
        </c:spPr>
        <c:txPr>
          <a:bodyPr rot="-2700000" vert="horz"/>
          <a:lstStyle/>
          <a:p>
            <a:pPr>
              <a:defRPr sz="1000" b="0" i="0" u="none" strike="noStrike" baseline="0">
                <a:solidFill>
                  <a:srgbClr val="333399"/>
                </a:solidFill>
                <a:latin typeface="Arial"/>
                <a:ea typeface="Arial"/>
                <a:cs typeface="Arial"/>
              </a:defRPr>
            </a:pPr>
            <a:endParaRPr lang="de-DE"/>
          </a:p>
        </c:txPr>
        <c:crossAx val="1993535336"/>
        <c:crosses val="autoZero"/>
        <c:auto val="1"/>
        <c:lblAlgn val="ctr"/>
        <c:lblOffset val="100"/>
        <c:noMultiLvlLbl val="0"/>
      </c:catAx>
      <c:valAx>
        <c:axId val="1993535336"/>
        <c:scaling>
          <c:orientation val="minMax"/>
          <c:min val="0"/>
        </c:scaling>
        <c:delete val="0"/>
        <c:axPos val="l"/>
        <c:majorGridlines>
          <c:spPr>
            <a:ln w="3175">
              <a:solidFill>
                <a:srgbClr val="333399"/>
              </a:solidFill>
              <a:prstDash val="solid"/>
            </a:ln>
          </c:spPr>
        </c:majorGridlines>
        <c:title>
          <c:tx>
            <c:strRef>
              <c:f>Subprojectzero3!$Y$12</c:f>
              <c:strCache>
                <c:ptCount val="1"/>
                <c:pt idx="0">
                  <c:v>tCO2e</c:v>
                </c:pt>
              </c:strCache>
            </c:strRef>
          </c:tx>
          <c:overlay val="0"/>
          <c:spPr>
            <a:noFill/>
            <a:ln w="25400">
              <a:noFill/>
            </a:ln>
          </c:spPr>
          <c:txPr>
            <a:bodyPr/>
            <a:lstStyle/>
            <a:p>
              <a:pPr>
                <a:defRPr sz="1000" b="1" i="0" u="none" strike="noStrike" baseline="0">
                  <a:solidFill>
                    <a:srgbClr val="333399"/>
                  </a:solidFill>
                  <a:latin typeface="Arial"/>
                  <a:ea typeface="Arial"/>
                  <a:cs typeface="Arial"/>
                </a:defRPr>
              </a:pPr>
              <a:endParaRPr lang="de-DE"/>
            </a:p>
          </c:txPr>
        </c:title>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3532120"/>
        <c:crosses val="autoZero"/>
        <c:crossBetween val="between"/>
      </c:valAx>
      <c:spPr>
        <a:noFill/>
        <a:ln w="25400">
          <a:noFill/>
        </a:ln>
      </c:spPr>
    </c:plotArea>
    <c:legend>
      <c:legendPos val="b"/>
      <c:legendEntry>
        <c:idx val="3"/>
        <c:delete val="1"/>
      </c:legendEntry>
      <c:legendEntry>
        <c:idx val="4"/>
        <c:delete val="1"/>
      </c:legendEntry>
      <c:layout>
        <c:manualLayout>
          <c:xMode val="edge"/>
          <c:yMode val="edge"/>
          <c:x val="5.6261000463177398E-2"/>
          <c:y val="0.90145805050230798"/>
          <c:w val="0.724077350625289"/>
          <c:h val="9.3858655599084503E-2"/>
        </c:manualLayout>
      </c:layout>
      <c:overlay val="0"/>
    </c:legend>
    <c:plotVisOnly val="1"/>
    <c:dispBlanksAs val="gap"/>
    <c:showDLblsOverMax val="0"/>
  </c:chart>
  <c:spPr>
    <a:solidFill>
      <a:srgbClr val="FFFFFF"/>
    </a:solid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0"/>
    <c:plotArea>
      <c:layout/>
      <c:barChart>
        <c:barDir val="col"/>
        <c:grouping val="stacked"/>
        <c:varyColors val="0"/>
        <c:ser>
          <c:idx val="0"/>
          <c:order val="0"/>
          <c:spPr>
            <a:solidFill>
              <a:srgbClr val="18509E"/>
            </a:solidFill>
            <a:ln w="9525">
              <a:noFill/>
            </a:ln>
          </c:spPr>
          <c:invertIfNegative val="0"/>
          <c:dPt>
            <c:idx val="1"/>
            <c:invertIfNegative val="0"/>
            <c:bubble3D val="0"/>
            <c:spPr>
              <a:noFill/>
              <a:ln w="9525">
                <a:noFill/>
              </a:ln>
            </c:spPr>
            <c:extLst>
              <c:ext xmlns:c16="http://schemas.microsoft.com/office/drawing/2014/chart" uri="{C3380CC4-5D6E-409C-BE32-E72D297353CC}">
                <c16:uniqueId val="{00000001-8122-1D45-A827-32226D1B23A3}"/>
              </c:ext>
            </c:extLst>
          </c:dPt>
          <c:cat>
            <c:strRef>
              <c:f>Subprojectzero3!$BA$5:$BA$7</c:f>
              <c:strCache>
                <c:ptCount val="3"/>
                <c:pt idx="0">
                  <c:v>Primary emission sources</c:v>
                </c:pt>
                <c:pt idx="1">
                  <c:v>Secondary emission sources</c:v>
                </c:pt>
                <c:pt idx="2">
                  <c:v>Total</c:v>
                </c:pt>
              </c:strCache>
            </c:strRef>
          </c:cat>
          <c:val>
            <c:numRef>
              <c:f>Subprojectzero3!$BB$5:$BB$7</c:f>
              <c:numCache>
                <c:formatCode>#,##0</c:formatCode>
                <c:ptCount val="3"/>
                <c:pt idx="0">
                  <c:v>0</c:v>
                </c:pt>
                <c:pt idx="1">
                  <c:v>0</c:v>
                </c:pt>
                <c:pt idx="2">
                  <c:v>0</c:v>
                </c:pt>
              </c:numCache>
            </c:numRef>
          </c:val>
          <c:extLst>
            <c:ext xmlns:c16="http://schemas.microsoft.com/office/drawing/2014/chart" uri="{C3380CC4-5D6E-409C-BE32-E72D297353CC}">
              <c16:uniqueId val="{00000002-8122-1D45-A827-32226D1B23A3}"/>
            </c:ext>
          </c:extLst>
        </c:ser>
        <c:ser>
          <c:idx val="1"/>
          <c:order val="1"/>
          <c:spPr>
            <a:noFill/>
            <a:ln w="9525">
              <a:noFill/>
            </a:ln>
          </c:spPr>
          <c:invertIfNegative val="0"/>
          <c:dPt>
            <c:idx val="1"/>
            <c:invertIfNegative val="0"/>
            <c:bubble3D val="0"/>
            <c:spPr>
              <a:solidFill>
                <a:srgbClr val="5491E5"/>
              </a:solidFill>
              <a:ln w="9525">
                <a:noFill/>
              </a:ln>
            </c:spPr>
            <c:extLst>
              <c:ext xmlns:c16="http://schemas.microsoft.com/office/drawing/2014/chart" uri="{C3380CC4-5D6E-409C-BE32-E72D297353CC}">
                <c16:uniqueId val="{00000004-8122-1D45-A827-32226D1B23A3}"/>
              </c:ext>
            </c:extLst>
          </c:dPt>
          <c:dPt>
            <c:idx val="2"/>
            <c:invertIfNegative val="0"/>
            <c:bubble3D val="0"/>
            <c:spPr>
              <a:solidFill>
                <a:srgbClr val="5491E5"/>
              </a:solidFill>
              <a:ln w="9525">
                <a:noFill/>
              </a:ln>
            </c:spPr>
            <c:extLst>
              <c:ext xmlns:c16="http://schemas.microsoft.com/office/drawing/2014/chart" uri="{C3380CC4-5D6E-409C-BE32-E72D297353CC}">
                <c16:uniqueId val="{00000006-8122-1D45-A827-32226D1B23A3}"/>
              </c:ext>
            </c:extLst>
          </c:dPt>
          <c:errBars>
            <c:errBarType val="both"/>
            <c:errValType val="cust"/>
            <c:noEndCap val="0"/>
            <c:plus>
              <c:numRef>
                <c:f>Subprojectzero3!$BD$5:$BD$7</c:f>
                <c:numCache>
                  <c:formatCode>General</c:formatCode>
                  <c:ptCount val="3"/>
                  <c:pt idx="0">
                    <c:v>0</c:v>
                  </c:pt>
                  <c:pt idx="1">
                    <c:v>0</c:v>
                  </c:pt>
                  <c:pt idx="2">
                    <c:v>0</c:v>
                  </c:pt>
                </c:numCache>
              </c:numRef>
            </c:plus>
            <c:minus>
              <c:numRef>
                <c:f>Subprojectzero3!$BD$5:$BD$7</c:f>
                <c:numCache>
                  <c:formatCode>General</c:formatCode>
                  <c:ptCount val="3"/>
                  <c:pt idx="0">
                    <c:v>0</c:v>
                  </c:pt>
                  <c:pt idx="1">
                    <c:v>0</c:v>
                  </c:pt>
                  <c:pt idx="2">
                    <c:v>0</c:v>
                  </c:pt>
                </c:numCache>
              </c:numRef>
            </c:minus>
            <c:spPr>
              <a:ln w="3175">
                <a:solidFill>
                  <a:srgbClr val="FF9900"/>
                </a:solidFill>
                <a:prstDash val="solid"/>
              </a:ln>
            </c:spPr>
          </c:errBars>
          <c:cat>
            <c:strRef>
              <c:f>Subprojectzero3!$BA$5:$BA$7</c:f>
              <c:strCache>
                <c:ptCount val="3"/>
                <c:pt idx="0">
                  <c:v>Primary emission sources</c:v>
                </c:pt>
                <c:pt idx="1">
                  <c:v>Secondary emission sources</c:v>
                </c:pt>
                <c:pt idx="2">
                  <c:v>Total</c:v>
                </c:pt>
              </c:strCache>
            </c:strRef>
          </c:cat>
          <c:val>
            <c:numRef>
              <c:f>Subprojectzero3!$BC$5:$BC$7</c:f>
              <c:numCache>
                <c:formatCode>#,##0</c:formatCode>
                <c:ptCount val="3"/>
                <c:pt idx="0">
                  <c:v>0</c:v>
                </c:pt>
                <c:pt idx="1">
                  <c:v>0</c:v>
                </c:pt>
                <c:pt idx="2">
                  <c:v>0</c:v>
                </c:pt>
              </c:numCache>
            </c:numRef>
          </c:val>
          <c:extLst>
            <c:ext xmlns:c16="http://schemas.microsoft.com/office/drawing/2014/chart" uri="{C3380CC4-5D6E-409C-BE32-E72D297353CC}">
              <c16:uniqueId val="{00000007-8122-1D45-A827-32226D1B23A3}"/>
            </c:ext>
          </c:extLst>
        </c:ser>
        <c:dLbls>
          <c:showLegendKey val="0"/>
          <c:showVal val="0"/>
          <c:showCatName val="0"/>
          <c:showSerName val="0"/>
          <c:showPercent val="0"/>
          <c:showBubbleSize val="0"/>
        </c:dLbls>
        <c:gapWidth val="150"/>
        <c:overlap val="100"/>
        <c:axId val="-2029489608"/>
        <c:axId val="-2029182040"/>
      </c:barChart>
      <c:catAx>
        <c:axId val="-2029489608"/>
        <c:scaling>
          <c:orientation val="minMax"/>
        </c:scaling>
        <c:delete val="0"/>
        <c:axPos val="b"/>
        <c:numFmt formatCode="General"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2029182040"/>
        <c:crosses val="autoZero"/>
        <c:auto val="1"/>
        <c:lblAlgn val="ctr"/>
        <c:lblOffset val="100"/>
        <c:noMultiLvlLbl val="0"/>
      </c:catAx>
      <c:valAx>
        <c:axId val="-2029182040"/>
        <c:scaling>
          <c:orientation val="minMax"/>
        </c:scaling>
        <c:delete val="0"/>
        <c:axPos val="l"/>
        <c:majorGridlines>
          <c:spPr>
            <a:ln w="3175">
              <a:solidFill>
                <a:srgbClr val="666699"/>
              </a:solidFill>
              <a:prstDash val="solid"/>
            </a:ln>
          </c:spPr>
        </c:majorGridlines>
        <c:title>
          <c:tx>
            <c:strRef>
              <c:f>Subprojectzero3!$Y$12</c:f>
              <c:strCache>
                <c:ptCount val="1"/>
                <c:pt idx="0">
                  <c:v>tCO2e</c:v>
                </c:pt>
              </c:strCache>
            </c:strRef>
          </c:tx>
          <c:overlay val="0"/>
          <c:spPr>
            <a:noFill/>
            <a:ln w="25400">
              <a:noFill/>
            </a:ln>
          </c:spPr>
          <c:txPr>
            <a:bodyPr/>
            <a:lstStyle/>
            <a:p>
              <a:pPr>
                <a:defRPr sz="1000" b="1" i="0" u="none" strike="noStrike" baseline="0">
                  <a:solidFill>
                    <a:srgbClr val="333399"/>
                  </a:solidFill>
                  <a:latin typeface="Arial"/>
                  <a:ea typeface="Arial"/>
                  <a:cs typeface="Arial"/>
                </a:defRPr>
              </a:pPr>
              <a:endParaRPr lang="de-DE"/>
            </a:p>
          </c:txPr>
        </c:title>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2029489608"/>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3"/>
    </mc:Choice>
    <mc:Fallback>
      <c:style val="33"/>
    </mc:Fallback>
  </mc:AlternateContent>
  <c:chart>
    <c:autoTitleDeleted val="0"/>
    <c:plotArea>
      <c:layout/>
      <c:pieChart>
        <c:varyColors val="1"/>
        <c:ser>
          <c:idx val="0"/>
          <c:order val="0"/>
          <c:spPr>
            <a:solidFill>
              <a:srgbClr val="6479AE"/>
            </a:solidFill>
            <a:ln w="3175">
              <a:solidFill>
                <a:srgbClr val="666699"/>
              </a:solidFill>
              <a:prstDash val="solid"/>
            </a:ln>
          </c:spPr>
          <c:dPt>
            <c:idx val="0"/>
            <c:bubble3D val="0"/>
            <c:spPr>
              <a:solidFill>
                <a:srgbClr val="586A99"/>
              </a:solidFill>
              <a:ln w="3175">
                <a:solidFill>
                  <a:srgbClr val="666699"/>
                </a:solidFill>
                <a:prstDash val="solid"/>
              </a:ln>
            </c:spPr>
            <c:extLst>
              <c:ext xmlns:c16="http://schemas.microsoft.com/office/drawing/2014/chart" uri="{C3380CC4-5D6E-409C-BE32-E72D297353CC}">
                <c16:uniqueId val="{00000001-4D14-7F47-839C-DC97901D8CE4}"/>
              </c:ext>
            </c:extLst>
          </c:dPt>
          <c:dPt>
            <c:idx val="1"/>
            <c:bubble3D val="0"/>
            <c:spPr>
              <a:solidFill>
                <a:srgbClr val="9FA5B9"/>
              </a:solidFill>
              <a:ln w="3175">
                <a:solidFill>
                  <a:srgbClr val="666699"/>
                </a:solidFill>
                <a:prstDash val="solid"/>
              </a:ln>
            </c:spPr>
            <c:extLst>
              <c:ext xmlns:c16="http://schemas.microsoft.com/office/drawing/2014/chart" uri="{C3380CC4-5D6E-409C-BE32-E72D297353CC}">
                <c16:uniqueId val="{00000003-4D14-7F47-839C-DC97901D8CE4}"/>
              </c:ext>
            </c:extLst>
          </c:dPt>
          <c:dPt>
            <c:idx val="2"/>
            <c:bubble3D val="0"/>
            <c:spPr>
              <a:solidFill>
                <a:srgbClr val="7380A4"/>
              </a:solidFill>
              <a:ln w="3175">
                <a:solidFill>
                  <a:srgbClr val="666699"/>
                </a:solidFill>
                <a:prstDash val="solid"/>
              </a:ln>
            </c:spPr>
            <c:extLst>
              <c:ext xmlns:c16="http://schemas.microsoft.com/office/drawing/2014/chart" uri="{C3380CC4-5D6E-409C-BE32-E72D297353CC}">
                <c16:uniqueId val="{00000005-4D14-7F47-839C-DC97901D8CE4}"/>
              </c:ext>
            </c:extLst>
          </c:dPt>
          <c:dPt>
            <c:idx val="3"/>
            <c:bubble3D val="0"/>
            <c:spPr>
              <a:solidFill>
                <a:srgbClr val="496095"/>
              </a:solidFill>
              <a:ln w="3175">
                <a:solidFill>
                  <a:srgbClr val="666699"/>
                </a:solidFill>
                <a:prstDash val="solid"/>
              </a:ln>
            </c:spPr>
            <c:extLst>
              <c:ext xmlns:c16="http://schemas.microsoft.com/office/drawing/2014/chart" uri="{C3380CC4-5D6E-409C-BE32-E72D297353CC}">
                <c16:uniqueId val="{00000007-4D14-7F47-839C-DC97901D8CE4}"/>
              </c:ext>
            </c:extLst>
          </c:dPt>
          <c:dPt>
            <c:idx val="4"/>
            <c:bubble3D val="0"/>
            <c:spPr>
              <a:solidFill>
                <a:srgbClr val="858EAC"/>
              </a:solidFill>
              <a:ln w="3175">
                <a:solidFill>
                  <a:srgbClr val="666699"/>
                </a:solidFill>
                <a:prstDash val="solid"/>
              </a:ln>
            </c:spPr>
            <c:extLst>
              <c:ext xmlns:c16="http://schemas.microsoft.com/office/drawing/2014/chart" uri="{C3380CC4-5D6E-409C-BE32-E72D297353CC}">
                <c16:uniqueId val="{00000009-4D14-7F47-839C-DC97901D8CE4}"/>
              </c:ext>
            </c:extLst>
          </c:dPt>
          <c:dPt>
            <c:idx val="5"/>
            <c:bubble3D val="0"/>
            <c:spPr>
              <a:solidFill>
                <a:srgbClr val="C1C4CD"/>
              </a:solidFill>
              <a:ln w="3175">
                <a:solidFill>
                  <a:srgbClr val="666699"/>
                </a:solidFill>
                <a:prstDash val="solid"/>
              </a:ln>
            </c:spPr>
            <c:extLst>
              <c:ext xmlns:c16="http://schemas.microsoft.com/office/drawing/2014/chart" uri="{C3380CC4-5D6E-409C-BE32-E72D297353CC}">
                <c16:uniqueId val="{0000000B-4D14-7F47-839C-DC97901D8CE4}"/>
              </c:ext>
            </c:extLst>
          </c:dPt>
          <c:dLbls>
            <c:spPr>
              <a:noFill/>
              <a:ln w="25400">
                <a:noFill/>
              </a:ln>
            </c:spPr>
            <c:txPr>
              <a:bodyPr wrap="square" lIns="38100" tIns="19050" rIns="38100" bIns="19050" anchor="ctr">
                <a:spAutoFit/>
              </a:bodyPr>
              <a:lstStyle/>
              <a:p>
                <a:pPr>
                  <a:defRPr sz="1000" b="0" i="0" u="none" strike="noStrike" baseline="0">
                    <a:solidFill>
                      <a:srgbClr val="333399"/>
                    </a:solidFill>
                    <a:latin typeface="Arial"/>
                    <a:ea typeface="Arial"/>
                    <a:cs typeface="Arial"/>
                  </a:defRPr>
                </a:pPr>
                <a:endParaRPr lang="de-DE"/>
              </a:p>
            </c:txPr>
            <c:showLegendKey val="0"/>
            <c:showVal val="0"/>
            <c:showCatName val="1"/>
            <c:showSerName val="0"/>
            <c:showPercent val="1"/>
            <c:showBubbleSize val="0"/>
            <c:showLeaderLines val="1"/>
            <c:extLst>
              <c:ext xmlns:c15="http://schemas.microsoft.com/office/drawing/2012/chart" uri="{CE6537A1-D6FC-4f65-9D91-7224C49458BB}"/>
            </c:extLst>
          </c:dLbls>
          <c:cat>
            <c:numRef>
              <c:f>Projectzero!$AA$21:$AF$21</c:f>
              <c:numCache>
                <c:formatCode>General</c:formatCode>
                <c:ptCount val="6"/>
              </c:numCache>
            </c:numRef>
          </c:cat>
          <c:val>
            <c:numRef>
              <c:f>Projectzero!$AA$31:$AF$31</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C-4D14-7F47-839C-DC97901D8CE4}"/>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no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0"/>
    <c:plotArea>
      <c:layout>
        <c:manualLayout>
          <c:layoutTarget val="inner"/>
          <c:xMode val="edge"/>
          <c:yMode val="edge"/>
          <c:x val="0.144162115764809"/>
          <c:y val="3.7441493060609898E-2"/>
          <c:w val="0.82638168912991505"/>
          <c:h val="0.53014095469174005"/>
        </c:manualLayout>
      </c:layout>
      <c:barChart>
        <c:barDir val="col"/>
        <c:grouping val="stacked"/>
        <c:varyColors val="0"/>
        <c:ser>
          <c:idx val="0"/>
          <c:order val="0"/>
          <c:spPr>
            <a:solidFill>
              <a:srgbClr val="18509E"/>
            </a:solidFill>
            <a:ln w="3175">
              <a:solidFill>
                <a:srgbClr val="99CCFF"/>
              </a:solidFill>
              <a:prstDash val="solid"/>
            </a:ln>
          </c:spPr>
          <c:invertIfNegative val="0"/>
          <c:cat>
            <c:strRef>
              <c:f>Projectzero!$BC$7:$BC$13</c:f>
              <c:strCache>
                <c:ptCount val="7"/>
                <c:pt idx="0">
                  <c:v>Materials</c:v>
                </c:pt>
                <c:pt idx="1">
                  <c:v>Energy</c:v>
                </c:pt>
                <c:pt idx="2">
                  <c:v>Freight</c:v>
                </c:pt>
                <c:pt idx="3">
                  <c:v>Mob/demob</c:v>
                </c:pt>
                <c:pt idx="4">
                  <c:v>People's transportation</c:v>
                </c:pt>
                <c:pt idx="5">
                  <c:v>Assets</c:v>
                </c:pt>
                <c:pt idx="6">
                  <c:v>Waste</c:v>
                </c:pt>
              </c:strCache>
            </c:strRef>
          </c:cat>
          <c:val>
            <c:numRef>
              <c:f>Projectzero!$BG$7:$BG$13</c:f>
              <c:numCache>
                <c:formatCode>#,##0</c:formatCode>
                <c:ptCount val="7"/>
                <c:pt idx="1">
                  <c:v>0</c:v>
                </c:pt>
                <c:pt idx="2">
                  <c:v>0</c:v>
                </c:pt>
                <c:pt idx="3">
                  <c:v>0</c:v>
                </c:pt>
                <c:pt idx="4">
                  <c:v>0</c:v>
                </c:pt>
                <c:pt idx="5">
                  <c:v>0</c:v>
                </c:pt>
                <c:pt idx="6">
                  <c:v>0</c:v>
                </c:pt>
              </c:numCache>
            </c:numRef>
          </c:val>
          <c:extLst>
            <c:ext xmlns:c16="http://schemas.microsoft.com/office/drawing/2014/chart" uri="{C3380CC4-5D6E-409C-BE32-E72D297353CC}">
              <c16:uniqueId val="{00000000-8912-234A-9C63-64398775D85F}"/>
            </c:ext>
          </c:extLst>
        </c:ser>
        <c:ser>
          <c:idx val="1"/>
          <c:order val="1"/>
          <c:tx>
            <c:strRef>
              <c:f>Projectzero!$Z$41</c:f>
              <c:strCache>
                <c:ptCount val="1"/>
                <c:pt idx="0">
                  <c:v>Concrete / Slurry / Grout mix</c:v>
                </c:pt>
              </c:strCache>
            </c:strRef>
          </c:tx>
          <c:spPr>
            <a:solidFill>
              <a:srgbClr val="E78719"/>
            </a:solidFill>
            <a:ln w="3175">
              <a:solidFill>
                <a:srgbClr val="333399"/>
              </a:solidFill>
              <a:prstDash val="solid"/>
            </a:ln>
          </c:spPr>
          <c:invertIfNegative val="0"/>
          <c:cat>
            <c:strRef>
              <c:f>Projectzero!$BC$7:$BC$13</c:f>
              <c:strCache>
                <c:ptCount val="7"/>
                <c:pt idx="0">
                  <c:v>Materials</c:v>
                </c:pt>
                <c:pt idx="1">
                  <c:v>Energy</c:v>
                </c:pt>
                <c:pt idx="2">
                  <c:v>Freight</c:v>
                </c:pt>
                <c:pt idx="3">
                  <c:v>Mob/demob</c:v>
                </c:pt>
                <c:pt idx="4">
                  <c:v>People's transportation</c:v>
                </c:pt>
                <c:pt idx="5">
                  <c:v>Assets</c:v>
                </c:pt>
                <c:pt idx="6">
                  <c:v>Waste</c:v>
                </c:pt>
              </c:strCache>
            </c:strRef>
          </c:cat>
          <c:val>
            <c:numRef>
              <c:f>Projectzero!$BH$7:$BH$13</c:f>
              <c:numCache>
                <c:formatCode>General</c:formatCode>
                <c:ptCount val="7"/>
                <c:pt idx="0" formatCode="#,##0">
                  <c:v>0</c:v>
                </c:pt>
              </c:numCache>
            </c:numRef>
          </c:val>
          <c:extLst>
            <c:ext xmlns:c16="http://schemas.microsoft.com/office/drawing/2014/chart" uri="{C3380CC4-5D6E-409C-BE32-E72D297353CC}">
              <c16:uniqueId val="{00000001-8912-234A-9C63-64398775D85F}"/>
            </c:ext>
          </c:extLst>
        </c:ser>
        <c:ser>
          <c:idx val="2"/>
          <c:order val="2"/>
          <c:tx>
            <c:strRef>
              <c:f>Projectzero!$Z$42</c:f>
              <c:strCache>
                <c:ptCount val="1"/>
                <c:pt idx="0">
                  <c:v>Steel</c:v>
                </c:pt>
              </c:strCache>
            </c:strRef>
          </c:tx>
          <c:spPr>
            <a:solidFill>
              <a:srgbClr val="EFAF66"/>
            </a:solidFill>
            <a:ln w="3175">
              <a:solidFill>
                <a:srgbClr val="333399"/>
              </a:solidFill>
              <a:prstDash val="solid"/>
            </a:ln>
          </c:spPr>
          <c:invertIfNegative val="0"/>
          <c:cat>
            <c:strRef>
              <c:f>Projectzero!$BC$7:$BC$13</c:f>
              <c:strCache>
                <c:ptCount val="7"/>
                <c:pt idx="0">
                  <c:v>Materials</c:v>
                </c:pt>
                <c:pt idx="1">
                  <c:v>Energy</c:v>
                </c:pt>
                <c:pt idx="2">
                  <c:v>Freight</c:v>
                </c:pt>
                <c:pt idx="3">
                  <c:v>Mob/demob</c:v>
                </c:pt>
                <c:pt idx="4">
                  <c:v>People's transportation</c:v>
                </c:pt>
                <c:pt idx="5">
                  <c:v>Assets</c:v>
                </c:pt>
                <c:pt idx="6">
                  <c:v>Waste</c:v>
                </c:pt>
              </c:strCache>
            </c:strRef>
          </c:cat>
          <c:val>
            <c:numRef>
              <c:f>Projectzero!$BI$7:$BI$13</c:f>
              <c:numCache>
                <c:formatCode>General</c:formatCode>
                <c:ptCount val="7"/>
                <c:pt idx="0" formatCode="#,##0">
                  <c:v>0</c:v>
                </c:pt>
              </c:numCache>
            </c:numRef>
          </c:val>
          <c:extLst>
            <c:ext xmlns:c16="http://schemas.microsoft.com/office/drawing/2014/chart" uri="{C3380CC4-5D6E-409C-BE32-E72D297353CC}">
              <c16:uniqueId val="{00000002-8912-234A-9C63-64398775D85F}"/>
            </c:ext>
          </c:extLst>
        </c:ser>
        <c:ser>
          <c:idx val="3"/>
          <c:order val="3"/>
          <c:tx>
            <c:strRef>
              <c:f>Projectzero!$Z$43</c:f>
              <c:strCache>
                <c:ptCount val="1"/>
                <c:pt idx="0">
                  <c:v>Other</c:v>
                </c:pt>
              </c:strCache>
            </c:strRef>
          </c:tx>
          <c:spPr>
            <a:solidFill>
              <a:srgbClr val="FCEFE0"/>
            </a:solidFill>
            <a:ln w="3175">
              <a:solidFill>
                <a:srgbClr val="333399"/>
              </a:solidFill>
              <a:prstDash val="solid"/>
            </a:ln>
          </c:spPr>
          <c:invertIfNegative val="0"/>
          <c:cat>
            <c:strRef>
              <c:f>Projectzero!$BC$7:$BC$13</c:f>
              <c:strCache>
                <c:ptCount val="7"/>
                <c:pt idx="0">
                  <c:v>Materials</c:v>
                </c:pt>
                <c:pt idx="1">
                  <c:v>Energy</c:v>
                </c:pt>
                <c:pt idx="2">
                  <c:v>Freight</c:v>
                </c:pt>
                <c:pt idx="3">
                  <c:v>Mob/demob</c:v>
                </c:pt>
                <c:pt idx="4">
                  <c:v>People's transportation</c:v>
                </c:pt>
                <c:pt idx="5">
                  <c:v>Assets</c:v>
                </c:pt>
                <c:pt idx="6">
                  <c:v>Waste</c:v>
                </c:pt>
              </c:strCache>
            </c:strRef>
          </c:cat>
          <c:val>
            <c:numRef>
              <c:f>Projectzero!$BJ$7:$BJ$13</c:f>
              <c:numCache>
                <c:formatCode>General</c:formatCode>
                <c:ptCount val="7"/>
                <c:pt idx="0" formatCode="#,##0">
                  <c:v>0</c:v>
                </c:pt>
              </c:numCache>
            </c:numRef>
          </c:val>
          <c:extLst>
            <c:ext xmlns:c16="http://schemas.microsoft.com/office/drawing/2014/chart" uri="{C3380CC4-5D6E-409C-BE32-E72D297353CC}">
              <c16:uniqueId val="{00000003-8912-234A-9C63-64398775D85F}"/>
            </c:ext>
          </c:extLst>
        </c:ser>
        <c:dLbls>
          <c:showLegendKey val="0"/>
          <c:showVal val="0"/>
          <c:showCatName val="0"/>
          <c:showSerName val="0"/>
          <c:showPercent val="0"/>
          <c:showBubbleSize val="0"/>
        </c:dLbls>
        <c:gapWidth val="150"/>
        <c:overlap val="100"/>
        <c:axId val="1989663080"/>
        <c:axId val="1989236424"/>
      </c:barChart>
      <c:lineChart>
        <c:grouping val="standard"/>
        <c:varyColors val="0"/>
        <c:ser>
          <c:idx val="4"/>
          <c:order val="4"/>
          <c:spPr>
            <a:ln w="47625">
              <a:noFill/>
            </a:ln>
          </c:spPr>
          <c:marker>
            <c:symbol val="none"/>
          </c:marker>
          <c:dLbls>
            <c:spPr>
              <a:noFill/>
              <a:ln w="25400">
                <a:noFill/>
              </a:ln>
            </c:spPr>
            <c:txPr>
              <a:bodyPr wrap="square" lIns="38100" tIns="19050" rIns="38100" bIns="19050" anchor="ctr">
                <a:spAutoFit/>
              </a:bodyPr>
              <a:lstStyle/>
              <a:p>
                <a:pPr>
                  <a:defRPr sz="1000" b="0" i="0" u="none" strike="noStrike" baseline="0">
                    <a:solidFill>
                      <a:srgbClr val="333399"/>
                    </a:solidFill>
                    <a:latin typeface="Arial"/>
                    <a:ea typeface="Arial"/>
                    <a:cs typeface="Arial"/>
                  </a:defRPr>
                </a:pPr>
                <a:endParaRPr lang="de-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Projectzero!$BC$7:$BC$13</c:f>
              <c:strCache>
                <c:ptCount val="7"/>
                <c:pt idx="0">
                  <c:v>Materials</c:v>
                </c:pt>
                <c:pt idx="1">
                  <c:v>Energy</c:v>
                </c:pt>
                <c:pt idx="2">
                  <c:v>Freight</c:v>
                </c:pt>
                <c:pt idx="3">
                  <c:v>Mob/demob</c:v>
                </c:pt>
                <c:pt idx="4">
                  <c:v>People's transportation</c:v>
                </c:pt>
                <c:pt idx="5">
                  <c:v>Assets</c:v>
                </c:pt>
                <c:pt idx="6">
                  <c:v>Waste</c:v>
                </c:pt>
              </c:strCache>
            </c:strRef>
          </c:cat>
          <c:val>
            <c:numRef>
              <c:f>Projectzero!$BK$7:$BK$13</c:f>
              <c:numCache>
                <c:formatCode>#,##0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8912-234A-9C63-64398775D85F}"/>
            </c:ext>
          </c:extLst>
        </c:ser>
        <c:dLbls>
          <c:showLegendKey val="0"/>
          <c:showVal val="0"/>
          <c:showCatName val="0"/>
          <c:showSerName val="0"/>
          <c:showPercent val="0"/>
          <c:showBubbleSize val="0"/>
        </c:dLbls>
        <c:marker val="1"/>
        <c:smooth val="0"/>
        <c:axId val="1989663080"/>
        <c:axId val="1989236424"/>
      </c:lineChart>
      <c:catAx>
        <c:axId val="1989663080"/>
        <c:scaling>
          <c:orientation val="minMax"/>
        </c:scaling>
        <c:delete val="0"/>
        <c:axPos val="b"/>
        <c:numFmt formatCode="General" sourceLinked="1"/>
        <c:majorTickMark val="out"/>
        <c:minorTickMark val="none"/>
        <c:tickLblPos val="nextTo"/>
        <c:spPr>
          <a:ln w="3175">
            <a:solidFill>
              <a:srgbClr val="666699"/>
            </a:solidFill>
            <a:prstDash val="solid"/>
          </a:ln>
        </c:spPr>
        <c:txPr>
          <a:bodyPr rot="-2700000" vert="horz"/>
          <a:lstStyle/>
          <a:p>
            <a:pPr>
              <a:defRPr sz="1000" b="0" i="0" u="none" strike="noStrike" baseline="0">
                <a:solidFill>
                  <a:srgbClr val="333399"/>
                </a:solidFill>
                <a:latin typeface="Arial"/>
                <a:ea typeface="Arial"/>
                <a:cs typeface="Arial"/>
              </a:defRPr>
            </a:pPr>
            <a:endParaRPr lang="de-DE"/>
          </a:p>
        </c:txPr>
        <c:crossAx val="1989236424"/>
        <c:crosses val="autoZero"/>
        <c:auto val="1"/>
        <c:lblAlgn val="ctr"/>
        <c:lblOffset val="100"/>
        <c:noMultiLvlLbl val="0"/>
      </c:catAx>
      <c:valAx>
        <c:axId val="1989236424"/>
        <c:scaling>
          <c:orientation val="minMax"/>
        </c:scaling>
        <c:delete val="0"/>
        <c:axPos val="l"/>
        <c:majorGridlines>
          <c:spPr>
            <a:ln w="3175">
              <a:solidFill>
                <a:srgbClr val="666699"/>
              </a:solidFill>
              <a:prstDash val="solid"/>
            </a:ln>
          </c:spPr>
        </c:majorGridlines>
        <c:title>
          <c:tx>
            <c:strRef>
              <c:f>Projectzero!$X$9</c:f>
              <c:strCache>
                <c:ptCount val="1"/>
                <c:pt idx="0">
                  <c:v>tCO2e</c:v>
                </c:pt>
              </c:strCache>
            </c:strRef>
          </c:tx>
          <c:overlay val="0"/>
          <c:spPr>
            <a:noFill/>
            <a:ln w="25400">
              <a:noFill/>
            </a:ln>
          </c:spPr>
          <c:txPr>
            <a:bodyPr/>
            <a:lstStyle/>
            <a:p>
              <a:pPr>
                <a:defRPr sz="1000" b="1" i="0" u="none" strike="noStrike" baseline="0">
                  <a:solidFill>
                    <a:srgbClr val="333399"/>
                  </a:solidFill>
                  <a:latin typeface="Arial"/>
                  <a:ea typeface="Arial"/>
                  <a:cs typeface="Arial"/>
                </a:defRPr>
              </a:pPr>
              <a:endParaRPr lang="de-DE"/>
            </a:p>
          </c:txPr>
        </c:title>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89663080"/>
        <c:crosses val="autoZero"/>
        <c:crossBetween val="between"/>
      </c:valAx>
      <c:spPr>
        <a:noFill/>
        <a:ln w="25400">
          <a:noFill/>
        </a:ln>
      </c:spPr>
    </c:plotArea>
    <c:legend>
      <c:legendPos val="r"/>
      <c:legendEntry>
        <c:idx val="0"/>
        <c:delete val="1"/>
      </c:legendEntry>
      <c:legendEntry>
        <c:idx val="4"/>
        <c:delete val="1"/>
      </c:legendEntry>
      <c:layout>
        <c:manualLayout>
          <c:xMode val="edge"/>
          <c:yMode val="edge"/>
          <c:x val="1.35440180586907E-2"/>
          <c:y val="0.80645342719256896"/>
          <c:w val="0.45598158582321702"/>
          <c:h val="0.18433216009289199"/>
        </c:manualLayout>
      </c:layout>
      <c:overlay val="0"/>
      <c:spPr>
        <a:noFill/>
        <a:ln w="25400">
          <a:noFill/>
        </a:ln>
      </c:spPr>
      <c:txPr>
        <a:bodyPr/>
        <a:lstStyle/>
        <a:p>
          <a:pPr>
            <a:defRPr sz="920" b="0" i="0" u="none" strike="noStrike" baseline="0">
              <a:solidFill>
                <a:srgbClr val="333399"/>
              </a:solidFill>
              <a:latin typeface="Arial"/>
              <a:ea typeface="Arial"/>
              <a:cs typeface="Arial"/>
            </a:defRPr>
          </a:pPr>
          <a:endParaRPr lang="de-DE"/>
        </a:p>
      </c:txPr>
    </c:legend>
    <c:plotVisOnly val="1"/>
    <c:dispBlanksAs val="gap"/>
    <c:showDLblsOverMax val="0"/>
  </c:chart>
  <c:spPr>
    <a:no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0"/>
    <c:plotArea>
      <c:layout>
        <c:manualLayout>
          <c:layoutTarget val="inner"/>
          <c:xMode val="edge"/>
          <c:yMode val="edge"/>
          <c:x val="0.240777538158049"/>
          <c:y val="0.167926265030825"/>
          <c:w val="0.45475065616797899"/>
          <c:h val="0.66414746993835105"/>
        </c:manualLayout>
      </c:layout>
      <c:pieChart>
        <c:varyColors val="1"/>
        <c:ser>
          <c:idx val="0"/>
          <c:order val="0"/>
          <c:spPr>
            <a:solidFill>
              <a:srgbClr val="EFAF66"/>
            </a:solidFill>
            <a:ln w="3175">
              <a:solidFill>
                <a:srgbClr val="90713A"/>
              </a:solidFill>
              <a:prstDash val="solid"/>
            </a:ln>
          </c:spPr>
          <c:dPt>
            <c:idx val="0"/>
            <c:bubble3D val="0"/>
            <c:spPr>
              <a:solidFill>
                <a:srgbClr val="D49B59"/>
              </a:solidFill>
              <a:ln w="3175">
                <a:solidFill>
                  <a:srgbClr val="90713A"/>
                </a:solidFill>
                <a:prstDash val="solid"/>
              </a:ln>
            </c:spPr>
            <c:extLst>
              <c:ext xmlns:c16="http://schemas.microsoft.com/office/drawing/2014/chart" uri="{C3380CC4-5D6E-409C-BE32-E72D297353CC}">
                <c16:uniqueId val="{00000001-4A32-E84B-A148-5B0F483B932A}"/>
              </c:ext>
            </c:extLst>
          </c:dPt>
          <c:dPt>
            <c:idx val="1"/>
            <c:bubble3D val="0"/>
            <c:spPr>
              <a:solidFill>
                <a:srgbClr val="D1D359"/>
              </a:solidFill>
              <a:ln w="3175">
                <a:solidFill>
                  <a:srgbClr val="90713A"/>
                </a:solidFill>
                <a:prstDash val="solid"/>
              </a:ln>
            </c:spPr>
            <c:extLst>
              <c:ext xmlns:c16="http://schemas.microsoft.com/office/drawing/2014/chart" uri="{C3380CC4-5D6E-409C-BE32-E72D297353CC}">
                <c16:uniqueId val="{00000003-4A32-E84B-A148-5B0F483B932A}"/>
              </c:ext>
            </c:extLst>
          </c:dPt>
          <c:dPt>
            <c:idx val="2"/>
            <c:bubble3D val="0"/>
            <c:spPr>
              <a:solidFill>
                <a:srgbClr val="59D49B"/>
              </a:solidFill>
              <a:ln w="3175">
                <a:solidFill>
                  <a:srgbClr val="339966"/>
                </a:solidFill>
                <a:prstDash val="solid"/>
              </a:ln>
            </c:spPr>
            <c:extLst>
              <c:ext xmlns:c16="http://schemas.microsoft.com/office/drawing/2014/chart" uri="{C3380CC4-5D6E-409C-BE32-E72D297353CC}">
                <c16:uniqueId val="{00000005-4A32-E84B-A148-5B0F483B932A}"/>
              </c:ext>
            </c:extLst>
          </c:dPt>
          <c:dPt>
            <c:idx val="3"/>
            <c:bubble3D val="0"/>
            <c:spPr>
              <a:solidFill>
                <a:srgbClr val="6967C7"/>
              </a:solidFill>
              <a:ln w="3175">
                <a:solidFill>
                  <a:srgbClr val="333399"/>
                </a:solidFill>
                <a:prstDash val="solid"/>
              </a:ln>
            </c:spPr>
            <c:extLst>
              <c:ext xmlns:c16="http://schemas.microsoft.com/office/drawing/2014/chart" uri="{C3380CC4-5D6E-409C-BE32-E72D297353CC}">
                <c16:uniqueId val="{00000007-4A32-E84B-A148-5B0F483B932A}"/>
              </c:ext>
            </c:extLst>
          </c:dPt>
          <c:dPt>
            <c:idx val="4"/>
            <c:bubble3D val="0"/>
            <c:spPr>
              <a:solidFill>
                <a:srgbClr val="59D1D4"/>
              </a:solidFill>
              <a:ln w="3175">
                <a:solidFill>
                  <a:srgbClr val="339966"/>
                </a:solidFill>
                <a:prstDash val="solid"/>
              </a:ln>
            </c:spPr>
            <c:extLst>
              <c:ext xmlns:c16="http://schemas.microsoft.com/office/drawing/2014/chart" uri="{C3380CC4-5D6E-409C-BE32-E72D297353CC}">
                <c16:uniqueId val="{00000009-4A32-E84B-A148-5B0F483B932A}"/>
              </c:ext>
            </c:extLst>
          </c:dPt>
          <c:dPt>
            <c:idx val="5"/>
            <c:bubble3D val="0"/>
            <c:spPr>
              <a:solidFill>
                <a:srgbClr val="9B59D4"/>
              </a:solidFill>
              <a:ln w="3175">
                <a:solidFill>
                  <a:srgbClr val="666699"/>
                </a:solidFill>
                <a:prstDash val="solid"/>
              </a:ln>
            </c:spPr>
            <c:extLst>
              <c:ext xmlns:c16="http://schemas.microsoft.com/office/drawing/2014/chart" uri="{C3380CC4-5D6E-409C-BE32-E72D297353CC}">
                <c16:uniqueId val="{0000000B-4A32-E84B-A148-5B0F483B932A}"/>
              </c:ext>
            </c:extLst>
          </c:dPt>
          <c:dPt>
            <c:idx val="6"/>
            <c:bubble3D val="0"/>
            <c:spPr>
              <a:solidFill>
                <a:srgbClr val="F3C59C"/>
              </a:solidFill>
              <a:ln w="3175">
                <a:solidFill>
                  <a:srgbClr val="A2BD90"/>
                </a:solidFill>
                <a:prstDash val="solid"/>
              </a:ln>
            </c:spPr>
            <c:extLst>
              <c:ext xmlns:c16="http://schemas.microsoft.com/office/drawing/2014/chart" uri="{C3380CC4-5D6E-409C-BE32-E72D297353CC}">
                <c16:uniqueId val="{0000000D-4A32-E84B-A148-5B0F483B932A}"/>
              </c:ext>
            </c:extLst>
          </c:dPt>
          <c:dLbls>
            <c:spPr>
              <a:noFill/>
              <a:ln w="25400">
                <a:noFill/>
              </a:ln>
            </c:spPr>
            <c:txPr>
              <a:bodyPr wrap="square" lIns="38100" tIns="19050" rIns="38100" bIns="19050" anchor="ctr">
                <a:spAutoFit/>
              </a:bodyPr>
              <a:lstStyle/>
              <a:p>
                <a:pPr>
                  <a:defRPr sz="1000" b="0" i="0" u="none" strike="noStrike" baseline="0">
                    <a:solidFill>
                      <a:srgbClr val="333399"/>
                    </a:solidFill>
                    <a:latin typeface="Arial"/>
                    <a:ea typeface="Arial"/>
                    <a:cs typeface="Arial"/>
                  </a:defRPr>
                </a:pPr>
                <a:endParaRPr lang="de-DE"/>
              </a:p>
            </c:txPr>
            <c:showLegendKey val="0"/>
            <c:showVal val="0"/>
            <c:showCatName val="1"/>
            <c:showSerName val="0"/>
            <c:showPercent val="1"/>
            <c:showBubbleSize val="0"/>
            <c:showLeaderLines val="1"/>
            <c:extLst>
              <c:ext xmlns:c15="http://schemas.microsoft.com/office/drawing/2012/chart" uri="{CE6537A1-D6FC-4f65-9D91-7224C49458BB}"/>
            </c:extLst>
          </c:dLbls>
          <c:cat>
            <c:strRef>
              <c:f>Projectzero!$Z$24:$Z$30</c:f>
              <c:strCache>
                <c:ptCount val="7"/>
                <c:pt idx="0">
                  <c:v>Materials</c:v>
                </c:pt>
                <c:pt idx="1">
                  <c:v>Energy</c:v>
                </c:pt>
                <c:pt idx="2">
                  <c:v>Freight</c:v>
                </c:pt>
                <c:pt idx="3">
                  <c:v>Mob/demob</c:v>
                </c:pt>
                <c:pt idx="4">
                  <c:v>People's transportation</c:v>
                </c:pt>
                <c:pt idx="5">
                  <c:v>Assets</c:v>
                </c:pt>
                <c:pt idx="6">
                  <c:v>Waste</c:v>
                </c:pt>
              </c:strCache>
            </c:strRef>
          </c:cat>
          <c:val>
            <c:numRef>
              <c:f>Projectzero!$AG$24:$AG$30</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4A32-E84B-A148-5B0F483B932A}"/>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no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0"/>
    <c:plotArea>
      <c:layout/>
      <c:barChart>
        <c:barDir val="col"/>
        <c:grouping val="stacked"/>
        <c:varyColors val="0"/>
        <c:ser>
          <c:idx val="0"/>
          <c:order val="0"/>
          <c:tx>
            <c:strRef>
              <c:f>Projectzero!$AA$21</c:f>
              <c:strCache>
                <c:ptCount val="1"/>
              </c:strCache>
            </c:strRef>
          </c:tx>
          <c:spPr>
            <a:solidFill>
              <a:srgbClr val="D49B59"/>
            </a:solidFill>
            <a:ln w="3175">
              <a:solidFill>
                <a:srgbClr val="90713A"/>
              </a:solidFill>
              <a:prstDash val="solid"/>
            </a:ln>
          </c:spPr>
          <c:invertIfNegative val="0"/>
          <c:cat>
            <c:strRef>
              <c:f>Projectzero!$Z$24:$Z$30</c:f>
              <c:strCache>
                <c:ptCount val="7"/>
                <c:pt idx="0">
                  <c:v>Materials</c:v>
                </c:pt>
                <c:pt idx="1">
                  <c:v>Energy</c:v>
                </c:pt>
                <c:pt idx="2">
                  <c:v>Freight</c:v>
                </c:pt>
                <c:pt idx="3">
                  <c:v>Mob/demob</c:v>
                </c:pt>
                <c:pt idx="4">
                  <c:v>People's transportation</c:v>
                </c:pt>
                <c:pt idx="5">
                  <c:v>Assets</c:v>
                </c:pt>
                <c:pt idx="6">
                  <c:v>Waste</c:v>
                </c:pt>
              </c:strCache>
            </c:strRef>
          </c:cat>
          <c:val>
            <c:numRef>
              <c:f>Projectzero!$AA$24:$AA$30</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BD73-AA4F-9CBC-52BD4B080ECF}"/>
            </c:ext>
          </c:extLst>
        </c:ser>
        <c:ser>
          <c:idx val="1"/>
          <c:order val="1"/>
          <c:tx>
            <c:strRef>
              <c:f>Projectzero!$AB$21</c:f>
              <c:strCache>
                <c:ptCount val="1"/>
              </c:strCache>
            </c:strRef>
          </c:tx>
          <c:spPr>
            <a:solidFill>
              <a:srgbClr val="D1D359"/>
            </a:solidFill>
            <a:ln w="3175">
              <a:solidFill>
                <a:srgbClr val="90713A"/>
              </a:solidFill>
              <a:prstDash val="solid"/>
            </a:ln>
          </c:spPr>
          <c:invertIfNegative val="0"/>
          <c:cat>
            <c:strRef>
              <c:f>Projectzero!$Z$24:$Z$30</c:f>
              <c:strCache>
                <c:ptCount val="7"/>
                <c:pt idx="0">
                  <c:v>Materials</c:v>
                </c:pt>
                <c:pt idx="1">
                  <c:v>Energy</c:v>
                </c:pt>
                <c:pt idx="2">
                  <c:v>Freight</c:v>
                </c:pt>
                <c:pt idx="3">
                  <c:v>Mob/demob</c:v>
                </c:pt>
                <c:pt idx="4">
                  <c:v>People's transportation</c:v>
                </c:pt>
                <c:pt idx="5">
                  <c:v>Assets</c:v>
                </c:pt>
                <c:pt idx="6">
                  <c:v>Waste</c:v>
                </c:pt>
              </c:strCache>
            </c:strRef>
          </c:cat>
          <c:val>
            <c:numRef>
              <c:f>Projectzero!$AB$24:$AB$30</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BD73-AA4F-9CBC-52BD4B080ECF}"/>
            </c:ext>
          </c:extLst>
        </c:ser>
        <c:ser>
          <c:idx val="2"/>
          <c:order val="2"/>
          <c:tx>
            <c:strRef>
              <c:f>Projectzero!$AC$21</c:f>
              <c:strCache>
                <c:ptCount val="1"/>
              </c:strCache>
            </c:strRef>
          </c:tx>
          <c:spPr>
            <a:solidFill>
              <a:srgbClr val="59D49B"/>
            </a:solidFill>
            <a:ln w="3175">
              <a:solidFill>
                <a:srgbClr val="339966"/>
              </a:solidFill>
              <a:prstDash val="solid"/>
            </a:ln>
          </c:spPr>
          <c:invertIfNegative val="0"/>
          <c:cat>
            <c:strRef>
              <c:f>Projectzero!$Z$24:$Z$30</c:f>
              <c:strCache>
                <c:ptCount val="7"/>
                <c:pt idx="0">
                  <c:v>Materials</c:v>
                </c:pt>
                <c:pt idx="1">
                  <c:v>Energy</c:v>
                </c:pt>
                <c:pt idx="2">
                  <c:v>Freight</c:v>
                </c:pt>
                <c:pt idx="3">
                  <c:v>Mob/demob</c:v>
                </c:pt>
                <c:pt idx="4">
                  <c:v>People's transportation</c:v>
                </c:pt>
                <c:pt idx="5">
                  <c:v>Assets</c:v>
                </c:pt>
                <c:pt idx="6">
                  <c:v>Waste</c:v>
                </c:pt>
              </c:strCache>
            </c:strRef>
          </c:cat>
          <c:val>
            <c:numRef>
              <c:f>Projectzero!$AC$24:$AC$30</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BD73-AA4F-9CBC-52BD4B080ECF}"/>
            </c:ext>
          </c:extLst>
        </c:ser>
        <c:ser>
          <c:idx val="3"/>
          <c:order val="3"/>
          <c:tx>
            <c:strRef>
              <c:f>Projectzero!$AD$21</c:f>
              <c:strCache>
                <c:ptCount val="1"/>
              </c:strCache>
            </c:strRef>
          </c:tx>
          <c:spPr>
            <a:solidFill>
              <a:srgbClr val="6967C7"/>
            </a:solidFill>
            <a:ln w="3175">
              <a:solidFill>
                <a:srgbClr val="333399"/>
              </a:solidFill>
              <a:prstDash val="solid"/>
            </a:ln>
          </c:spPr>
          <c:invertIfNegative val="0"/>
          <c:cat>
            <c:strRef>
              <c:f>Projectzero!$Z$24:$Z$30</c:f>
              <c:strCache>
                <c:ptCount val="7"/>
                <c:pt idx="0">
                  <c:v>Materials</c:v>
                </c:pt>
                <c:pt idx="1">
                  <c:v>Energy</c:v>
                </c:pt>
                <c:pt idx="2">
                  <c:v>Freight</c:v>
                </c:pt>
                <c:pt idx="3">
                  <c:v>Mob/demob</c:v>
                </c:pt>
                <c:pt idx="4">
                  <c:v>People's transportation</c:v>
                </c:pt>
                <c:pt idx="5">
                  <c:v>Assets</c:v>
                </c:pt>
                <c:pt idx="6">
                  <c:v>Waste</c:v>
                </c:pt>
              </c:strCache>
            </c:strRef>
          </c:cat>
          <c:val>
            <c:numRef>
              <c:f>Projectzero!$AD$24:$AD$30</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BD73-AA4F-9CBC-52BD4B080ECF}"/>
            </c:ext>
          </c:extLst>
        </c:ser>
        <c:ser>
          <c:idx val="4"/>
          <c:order val="4"/>
          <c:tx>
            <c:strRef>
              <c:f>Projectzero!$AE$21</c:f>
              <c:strCache>
                <c:ptCount val="1"/>
              </c:strCache>
            </c:strRef>
          </c:tx>
          <c:spPr>
            <a:solidFill>
              <a:srgbClr val="59D1D4"/>
            </a:solidFill>
            <a:ln w="3175">
              <a:solidFill>
                <a:srgbClr val="339966"/>
              </a:solidFill>
              <a:prstDash val="solid"/>
            </a:ln>
          </c:spPr>
          <c:invertIfNegative val="0"/>
          <c:cat>
            <c:strRef>
              <c:f>Projectzero!$Z$24:$Z$30</c:f>
              <c:strCache>
                <c:ptCount val="7"/>
                <c:pt idx="0">
                  <c:v>Materials</c:v>
                </c:pt>
                <c:pt idx="1">
                  <c:v>Energy</c:v>
                </c:pt>
                <c:pt idx="2">
                  <c:v>Freight</c:v>
                </c:pt>
                <c:pt idx="3">
                  <c:v>Mob/demob</c:v>
                </c:pt>
                <c:pt idx="4">
                  <c:v>People's transportation</c:v>
                </c:pt>
                <c:pt idx="5">
                  <c:v>Assets</c:v>
                </c:pt>
                <c:pt idx="6">
                  <c:v>Waste</c:v>
                </c:pt>
              </c:strCache>
            </c:strRef>
          </c:cat>
          <c:val>
            <c:numRef>
              <c:f>Projectzero!$AE$24:$AE$30</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BD73-AA4F-9CBC-52BD4B080ECF}"/>
            </c:ext>
          </c:extLst>
        </c:ser>
        <c:ser>
          <c:idx val="5"/>
          <c:order val="5"/>
          <c:tx>
            <c:strRef>
              <c:f>Projectzero!$AF$21</c:f>
              <c:strCache>
                <c:ptCount val="1"/>
              </c:strCache>
            </c:strRef>
          </c:tx>
          <c:spPr>
            <a:solidFill>
              <a:srgbClr val="9B59D4"/>
            </a:solidFill>
            <a:ln w="3175">
              <a:solidFill>
                <a:srgbClr val="666699"/>
              </a:solidFill>
              <a:prstDash val="solid"/>
            </a:ln>
          </c:spPr>
          <c:invertIfNegative val="0"/>
          <c:cat>
            <c:strRef>
              <c:f>Projectzero!$Z$24:$Z$30</c:f>
              <c:strCache>
                <c:ptCount val="7"/>
                <c:pt idx="0">
                  <c:v>Materials</c:v>
                </c:pt>
                <c:pt idx="1">
                  <c:v>Energy</c:v>
                </c:pt>
                <c:pt idx="2">
                  <c:v>Freight</c:v>
                </c:pt>
                <c:pt idx="3">
                  <c:v>Mob/demob</c:v>
                </c:pt>
                <c:pt idx="4">
                  <c:v>People's transportation</c:v>
                </c:pt>
                <c:pt idx="5">
                  <c:v>Assets</c:v>
                </c:pt>
                <c:pt idx="6">
                  <c:v>Waste</c:v>
                </c:pt>
              </c:strCache>
            </c:strRef>
          </c:cat>
          <c:val>
            <c:numRef>
              <c:f>Projectzero!$AF$24:$AF$30</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BD73-AA4F-9CBC-52BD4B080ECF}"/>
            </c:ext>
          </c:extLst>
        </c:ser>
        <c:dLbls>
          <c:showLegendKey val="0"/>
          <c:showVal val="0"/>
          <c:showCatName val="0"/>
          <c:showSerName val="0"/>
          <c:showPercent val="0"/>
          <c:showBubbleSize val="0"/>
        </c:dLbls>
        <c:gapWidth val="150"/>
        <c:overlap val="100"/>
        <c:axId val="1975540984"/>
        <c:axId val="1975536776"/>
      </c:barChart>
      <c:catAx>
        <c:axId val="1975540984"/>
        <c:scaling>
          <c:orientation val="minMax"/>
        </c:scaling>
        <c:delete val="0"/>
        <c:axPos val="b"/>
        <c:numFmt formatCode="General" sourceLinked="1"/>
        <c:majorTickMark val="out"/>
        <c:minorTickMark val="none"/>
        <c:tickLblPos val="nextTo"/>
        <c:spPr>
          <a:ln w="3175">
            <a:solidFill>
              <a:srgbClr val="666699"/>
            </a:solidFill>
            <a:prstDash val="solid"/>
          </a:ln>
        </c:spPr>
        <c:txPr>
          <a:bodyPr rot="-2700000" vert="horz"/>
          <a:lstStyle/>
          <a:p>
            <a:pPr>
              <a:defRPr sz="1000" b="0" i="0" u="none" strike="noStrike" baseline="0">
                <a:solidFill>
                  <a:srgbClr val="333399"/>
                </a:solidFill>
                <a:latin typeface="Arial"/>
                <a:ea typeface="Arial"/>
                <a:cs typeface="Arial"/>
              </a:defRPr>
            </a:pPr>
            <a:endParaRPr lang="de-DE"/>
          </a:p>
        </c:txPr>
        <c:crossAx val="1975536776"/>
        <c:crosses val="autoZero"/>
        <c:auto val="1"/>
        <c:lblAlgn val="ctr"/>
        <c:lblOffset val="100"/>
        <c:noMultiLvlLbl val="0"/>
      </c:catAx>
      <c:valAx>
        <c:axId val="1975536776"/>
        <c:scaling>
          <c:orientation val="minMax"/>
        </c:scaling>
        <c:delete val="0"/>
        <c:axPos val="l"/>
        <c:majorGridlines>
          <c:spPr>
            <a:ln w="3175">
              <a:solidFill>
                <a:srgbClr val="666699"/>
              </a:solidFill>
              <a:prstDash val="solid"/>
            </a:ln>
          </c:spPr>
        </c:majorGridlines>
        <c:title>
          <c:tx>
            <c:strRef>
              <c:f>Projectzero!$X$9</c:f>
              <c:strCache>
                <c:ptCount val="1"/>
                <c:pt idx="0">
                  <c:v>tCO2e</c:v>
                </c:pt>
              </c:strCache>
            </c:strRef>
          </c:tx>
          <c:overlay val="0"/>
          <c:spPr>
            <a:noFill/>
            <a:ln w="25400">
              <a:noFill/>
            </a:ln>
          </c:spPr>
          <c:txPr>
            <a:bodyPr/>
            <a:lstStyle/>
            <a:p>
              <a:pPr>
                <a:defRPr sz="1000" b="1" i="0" u="none" strike="noStrike" baseline="0">
                  <a:solidFill>
                    <a:srgbClr val="333399"/>
                  </a:solidFill>
                  <a:latin typeface="Arial"/>
                  <a:ea typeface="Arial"/>
                  <a:cs typeface="Arial"/>
                </a:defRPr>
              </a:pPr>
              <a:endParaRPr lang="de-DE"/>
            </a:p>
          </c:txPr>
        </c:title>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75540984"/>
        <c:crosses val="autoZero"/>
        <c:crossBetween val="between"/>
      </c:valAx>
      <c:spPr>
        <a:noFill/>
        <a:ln w="25400">
          <a:noFill/>
        </a:ln>
      </c:spPr>
    </c:plotArea>
    <c:legend>
      <c:legendPos val="r"/>
      <c:layout>
        <c:manualLayout>
          <c:xMode val="edge"/>
          <c:yMode val="edge"/>
          <c:x val="0.92777843394575699"/>
          <c:y val="0.20833369787109901"/>
          <c:w val="4.7222222222222297E-2"/>
          <c:h val="0.50463035870516204"/>
        </c:manualLayout>
      </c:layout>
      <c:overlay val="0"/>
      <c:spPr>
        <a:noFill/>
        <a:ln w="25400">
          <a:noFill/>
        </a:ln>
      </c:spPr>
      <c:txPr>
        <a:bodyPr/>
        <a:lstStyle/>
        <a:p>
          <a:pPr>
            <a:defRPr sz="920" b="0" i="0" u="none" strike="noStrike" baseline="0">
              <a:solidFill>
                <a:srgbClr val="333399"/>
              </a:solidFill>
              <a:latin typeface="Arial"/>
              <a:ea typeface="Arial"/>
              <a:cs typeface="Arial"/>
            </a:defRPr>
          </a:pPr>
          <a:endParaRPr lang="de-DE"/>
        </a:p>
      </c:txPr>
    </c:legend>
    <c:plotVisOnly val="1"/>
    <c:dispBlanksAs val="gap"/>
    <c:showDLblsOverMax val="0"/>
  </c:chart>
  <c:spPr>
    <a:no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0"/>
    <c:plotArea>
      <c:layout/>
      <c:barChart>
        <c:barDir val="col"/>
        <c:grouping val="stacked"/>
        <c:varyColors val="0"/>
        <c:ser>
          <c:idx val="0"/>
          <c:order val="0"/>
          <c:spPr>
            <a:noFill/>
            <a:ln w="9525">
              <a:noFill/>
            </a:ln>
          </c:spPr>
          <c:invertIfNegative val="0"/>
          <c:cat>
            <c:strRef>
              <c:f>Projectzero!$AK$24:$AK$26</c:f>
              <c:strCache>
                <c:ptCount val="3"/>
                <c:pt idx="0">
                  <c:v>Primary emission sources</c:v>
                </c:pt>
                <c:pt idx="1">
                  <c:v>Secondary emission sources</c:v>
                </c:pt>
                <c:pt idx="2">
                  <c:v>Total</c:v>
                </c:pt>
              </c:strCache>
            </c:strRef>
          </c:cat>
          <c:val>
            <c:numRef>
              <c:f>Projectzero!$AM$24:$AM$26</c:f>
              <c:numCache>
                <c:formatCode>#,##0</c:formatCode>
                <c:ptCount val="3"/>
                <c:pt idx="1">
                  <c:v>0</c:v>
                </c:pt>
              </c:numCache>
            </c:numRef>
          </c:val>
          <c:extLst>
            <c:ext xmlns:c16="http://schemas.microsoft.com/office/drawing/2014/chart" uri="{C3380CC4-5D6E-409C-BE32-E72D297353CC}">
              <c16:uniqueId val="{00000000-87AB-8E44-BCC2-D9C6135586A6}"/>
            </c:ext>
          </c:extLst>
        </c:ser>
        <c:ser>
          <c:idx val="1"/>
          <c:order val="1"/>
          <c:spPr>
            <a:solidFill>
              <a:srgbClr val="18509E"/>
            </a:solidFill>
            <a:ln w="3175">
              <a:solidFill>
                <a:srgbClr val="99CCFF"/>
              </a:solidFill>
              <a:prstDash val="solid"/>
            </a:ln>
          </c:spPr>
          <c:invertIfNegative val="0"/>
          <c:errBars>
            <c:errBarType val="both"/>
            <c:errValType val="cust"/>
            <c:noEndCap val="0"/>
            <c:plus>
              <c:numRef>
                <c:f>Projectzero!$AN$24:$AN$26</c:f>
                <c:numCache>
                  <c:formatCode>General</c:formatCode>
                  <c:ptCount val="3"/>
                  <c:pt idx="0">
                    <c:v>0</c:v>
                  </c:pt>
                  <c:pt idx="1">
                    <c:v>0</c:v>
                  </c:pt>
                  <c:pt idx="2">
                    <c:v>0</c:v>
                  </c:pt>
                </c:numCache>
              </c:numRef>
            </c:plus>
            <c:minus>
              <c:numRef>
                <c:f>Projectzero!$AN$24:$AN$26</c:f>
                <c:numCache>
                  <c:formatCode>General</c:formatCode>
                  <c:ptCount val="3"/>
                  <c:pt idx="0">
                    <c:v>0</c:v>
                  </c:pt>
                  <c:pt idx="1">
                    <c:v>0</c:v>
                  </c:pt>
                  <c:pt idx="2">
                    <c:v>0</c:v>
                  </c:pt>
                </c:numCache>
              </c:numRef>
            </c:minus>
            <c:spPr>
              <a:ln w="3175">
                <a:solidFill>
                  <a:srgbClr val="FF9900"/>
                </a:solidFill>
                <a:prstDash val="solid"/>
              </a:ln>
            </c:spPr>
          </c:errBars>
          <c:cat>
            <c:strRef>
              <c:f>Projectzero!$AK$24:$AK$26</c:f>
              <c:strCache>
                <c:ptCount val="3"/>
                <c:pt idx="0">
                  <c:v>Primary emission sources</c:v>
                </c:pt>
                <c:pt idx="1">
                  <c:v>Secondary emission sources</c:v>
                </c:pt>
                <c:pt idx="2">
                  <c:v>Total</c:v>
                </c:pt>
              </c:strCache>
            </c:strRef>
          </c:cat>
          <c:val>
            <c:numRef>
              <c:f>Projectzero!$AL$24:$AL$26</c:f>
              <c:numCache>
                <c:formatCode>#,##0</c:formatCode>
                <c:ptCount val="3"/>
                <c:pt idx="0">
                  <c:v>0</c:v>
                </c:pt>
                <c:pt idx="1">
                  <c:v>0</c:v>
                </c:pt>
                <c:pt idx="2">
                  <c:v>0</c:v>
                </c:pt>
              </c:numCache>
            </c:numRef>
          </c:val>
          <c:extLst>
            <c:ext xmlns:c16="http://schemas.microsoft.com/office/drawing/2014/chart" uri="{C3380CC4-5D6E-409C-BE32-E72D297353CC}">
              <c16:uniqueId val="{00000001-87AB-8E44-BCC2-D9C6135586A6}"/>
            </c:ext>
          </c:extLst>
        </c:ser>
        <c:dLbls>
          <c:showLegendKey val="0"/>
          <c:showVal val="0"/>
          <c:showCatName val="0"/>
          <c:showSerName val="0"/>
          <c:showPercent val="0"/>
          <c:showBubbleSize val="0"/>
        </c:dLbls>
        <c:gapWidth val="150"/>
        <c:overlap val="100"/>
        <c:axId val="1994498984"/>
        <c:axId val="1994502328"/>
      </c:barChart>
      <c:catAx>
        <c:axId val="1994498984"/>
        <c:scaling>
          <c:orientation val="minMax"/>
        </c:scaling>
        <c:delete val="0"/>
        <c:axPos val="b"/>
        <c:numFmt formatCode="General"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4502328"/>
        <c:crosses val="autoZero"/>
        <c:auto val="1"/>
        <c:lblAlgn val="ctr"/>
        <c:lblOffset val="100"/>
        <c:noMultiLvlLbl val="0"/>
      </c:catAx>
      <c:valAx>
        <c:axId val="1994502328"/>
        <c:scaling>
          <c:orientation val="minMax"/>
        </c:scaling>
        <c:delete val="0"/>
        <c:axPos val="l"/>
        <c:majorGridlines>
          <c:spPr>
            <a:ln w="3175">
              <a:solidFill>
                <a:srgbClr val="666699"/>
              </a:solidFill>
              <a:prstDash val="solid"/>
            </a:ln>
          </c:spPr>
        </c:majorGridlines>
        <c:title>
          <c:tx>
            <c:strRef>
              <c:f>Projectzero!$X$9</c:f>
              <c:strCache>
                <c:ptCount val="1"/>
                <c:pt idx="0">
                  <c:v>tCO2e</c:v>
                </c:pt>
              </c:strCache>
            </c:strRef>
          </c:tx>
          <c:overlay val="0"/>
          <c:spPr>
            <a:noFill/>
            <a:ln w="25400">
              <a:noFill/>
            </a:ln>
          </c:spPr>
          <c:txPr>
            <a:bodyPr/>
            <a:lstStyle/>
            <a:p>
              <a:pPr>
                <a:defRPr sz="1000" b="1" i="0" u="none" strike="noStrike" baseline="0">
                  <a:solidFill>
                    <a:srgbClr val="333399"/>
                  </a:solidFill>
                  <a:latin typeface="Arial"/>
                  <a:ea typeface="Arial"/>
                  <a:cs typeface="Arial"/>
                </a:defRPr>
              </a:pPr>
              <a:endParaRPr lang="de-DE"/>
            </a:p>
          </c:txPr>
        </c:title>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4498984"/>
        <c:crosses val="autoZero"/>
        <c:crossBetween val="between"/>
      </c:valAx>
      <c:spPr>
        <a:noFill/>
        <a:ln w="25400">
          <a:noFill/>
        </a:ln>
      </c:spPr>
    </c:plotArea>
    <c:plotVisOnly val="1"/>
    <c:dispBlanksAs val="gap"/>
    <c:showDLblsOverMax val="0"/>
  </c:chart>
  <c:spPr>
    <a:solidFill>
      <a:srgbClr val="FCEFE0"/>
    </a:solid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0"/>
    <c:plotArea>
      <c:layout/>
      <c:barChart>
        <c:barDir val="col"/>
        <c:grouping val="stacked"/>
        <c:varyColors val="0"/>
        <c:ser>
          <c:idx val="0"/>
          <c:order val="0"/>
          <c:spPr>
            <a:solidFill>
              <a:srgbClr val="18509E"/>
            </a:solidFill>
            <a:ln w="3175">
              <a:solidFill>
                <a:srgbClr val="99CCFF"/>
              </a:solidFill>
              <a:prstDash val="solid"/>
            </a:ln>
          </c:spPr>
          <c:invertIfNegative val="0"/>
          <c:cat>
            <c:strRef>
              <c:f>Resultszero!$C$65:$C$71</c:f>
              <c:strCache>
                <c:ptCount val="7"/>
                <c:pt idx="0">
                  <c:v>Materials</c:v>
                </c:pt>
                <c:pt idx="1">
                  <c:v>Energy</c:v>
                </c:pt>
                <c:pt idx="2">
                  <c:v>Freight</c:v>
                </c:pt>
                <c:pt idx="3">
                  <c:v>Mob/demob</c:v>
                </c:pt>
                <c:pt idx="4">
                  <c:v>People's transportation</c:v>
                </c:pt>
                <c:pt idx="5">
                  <c:v>Assets</c:v>
                </c:pt>
                <c:pt idx="6">
                  <c:v>Waste</c:v>
                </c:pt>
              </c:strCache>
            </c:strRef>
          </c:cat>
          <c:val>
            <c:numRef>
              <c:f>Resultszero!$D$65:$D$71</c:f>
              <c:numCache>
                <c:formatCode>#,##0</c:formatCode>
                <c:ptCount val="7"/>
                <c:pt idx="1">
                  <c:v>0</c:v>
                </c:pt>
                <c:pt idx="2">
                  <c:v>0</c:v>
                </c:pt>
                <c:pt idx="3">
                  <c:v>0</c:v>
                </c:pt>
                <c:pt idx="4">
                  <c:v>0</c:v>
                </c:pt>
                <c:pt idx="5">
                  <c:v>0</c:v>
                </c:pt>
                <c:pt idx="6">
                  <c:v>0</c:v>
                </c:pt>
              </c:numCache>
            </c:numRef>
          </c:val>
          <c:extLst>
            <c:ext xmlns:c16="http://schemas.microsoft.com/office/drawing/2014/chart" uri="{C3380CC4-5D6E-409C-BE32-E72D297353CC}">
              <c16:uniqueId val="{00000000-C96C-664A-9A64-6B57CAA5CAA8}"/>
            </c:ext>
          </c:extLst>
        </c:ser>
        <c:ser>
          <c:idx val="1"/>
          <c:order val="1"/>
          <c:tx>
            <c:strRef>
              <c:f>Resultszero!$E$22</c:f>
              <c:strCache>
                <c:ptCount val="1"/>
                <c:pt idx="0">
                  <c:v>Concrete / Slurry / Grout mix</c:v>
                </c:pt>
              </c:strCache>
            </c:strRef>
          </c:tx>
          <c:spPr>
            <a:solidFill>
              <a:srgbClr val="E78719"/>
            </a:solidFill>
            <a:ln w="3175">
              <a:solidFill>
                <a:srgbClr val="333399"/>
              </a:solidFill>
              <a:prstDash val="solid"/>
            </a:ln>
          </c:spPr>
          <c:invertIfNegative val="0"/>
          <c:cat>
            <c:strRef>
              <c:f>Resultszero!$C$65:$C$71</c:f>
              <c:strCache>
                <c:ptCount val="7"/>
                <c:pt idx="0">
                  <c:v>Materials</c:v>
                </c:pt>
                <c:pt idx="1">
                  <c:v>Energy</c:v>
                </c:pt>
                <c:pt idx="2">
                  <c:v>Freight</c:v>
                </c:pt>
                <c:pt idx="3">
                  <c:v>Mob/demob</c:v>
                </c:pt>
                <c:pt idx="4">
                  <c:v>People's transportation</c:v>
                </c:pt>
                <c:pt idx="5">
                  <c:v>Assets</c:v>
                </c:pt>
                <c:pt idx="6">
                  <c:v>Waste</c:v>
                </c:pt>
              </c:strCache>
            </c:strRef>
          </c:cat>
          <c:val>
            <c:numRef>
              <c:f>Resultszero!$E$65:$E$71</c:f>
              <c:numCache>
                <c:formatCode>General</c:formatCode>
                <c:ptCount val="7"/>
                <c:pt idx="0">
                  <c:v>0</c:v>
                </c:pt>
              </c:numCache>
            </c:numRef>
          </c:val>
          <c:extLst>
            <c:ext xmlns:c16="http://schemas.microsoft.com/office/drawing/2014/chart" uri="{C3380CC4-5D6E-409C-BE32-E72D297353CC}">
              <c16:uniqueId val="{00000001-C96C-664A-9A64-6B57CAA5CAA8}"/>
            </c:ext>
          </c:extLst>
        </c:ser>
        <c:ser>
          <c:idx val="2"/>
          <c:order val="2"/>
          <c:tx>
            <c:strRef>
              <c:f>Resultszero!$E$23</c:f>
              <c:strCache>
                <c:ptCount val="1"/>
                <c:pt idx="0">
                  <c:v>Steel</c:v>
                </c:pt>
              </c:strCache>
            </c:strRef>
          </c:tx>
          <c:spPr>
            <a:solidFill>
              <a:srgbClr val="EFAF66"/>
            </a:solidFill>
            <a:ln w="3175">
              <a:solidFill>
                <a:srgbClr val="333399"/>
              </a:solidFill>
              <a:prstDash val="solid"/>
            </a:ln>
          </c:spPr>
          <c:invertIfNegative val="0"/>
          <c:cat>
            <c:strRef>
              <c:f>Resultszero!$C$65:$C$71</c:f>
              <c:strCache>
                <c:ptCount val="7"/>
                <c:pt idx="0">
                  <c:v>Materials</c:v>
                </c:pt>
                <c:pt idx="1">
                  <c:v>Energy</c:v>
                </c:pt>
                <c:pt idx="2">
                  <c:v>Freight</c:v>
                </c:pt>
                <c:pt idx="3">
                  <c:v>Mob/demob</c:v>
                </c:pt>
                <c:pt idx="4">
                  <c:v>People's transportation</c:v>
                </c:pt>
                <c:pt idx="5">
                  <c:v>Assets</c:v>
                </c:pt>
                <c:pt idx="6">
                  <c:v>Waste</c:v>
                </c:pt>
              </c:strCache>
            </c:strRef>
          </c:cat>
          <c:val>
            <c:numRef>
              <c:f>Resultszero!$F$65:$F$71</c:f>
              <c:numCache>
                <c:formatCode>General</c:formatCode>
                <c:ptCount val="7"/>
                <c:pt idx="0">
                  <c:v>0</c:v>
                </c:pt>
              </c:numCache>
            </c:numRef>
          </c:val>
          <c:extLst>
            <c:ext xmlns:c16="http://schemas.microsoft.com/office/drawing/2014/chart" uri="{C3380CC4-5D6E-409C-BE32-E72D297353CC}">
              <c16:uniqueId val="{00000002-C96C-664A-9A64-6B57CAA5CAA8}"/>
            </c:ext>
          </c:extLst>
        </c:ser>
        <c:ser>
          <c:idx val="3"/>
          <c:order val="3"/>
          <c:tx>
            <c:strRef>
              <c:f>Resultszero!$E$24</c:f>
              <c:strCache>
                <c:ptCount val="1"/>
                <c:pt idx="0">
                  <c:v>Other</c:v>
                </c:pt>
              </c:strCache>
            </c:strRef>
          </c:tx>
          <c:spPr>
            <a:solidFill>
              <a:srgbClr val="FCEFE0"/>
            </a:solidFill>
            <a:ln w="3175">
              <a:solidFill>
                <a:srgbClr val="333399"/>
              </a:solidFill>
              <a:prstDash val="solid"/>
            </a:ln>
          </c:spPr>
          <c:invertIfNegative val="0"/>
          <c:cat>
            <c:strRef>
              <c:f>Resultszero!$C$65:$C$71</c:f>
              <c:strCache>
                <c:ptCount val="7"/>
                <c:pt idx="0">
                  <c:v>Materials</c:v>
                </c:pt>
                <c:pt idx="1">
                  <c:v>Energy</c:v>
                </c:pt>
                <c:pt idx="2">
                  <c:v>Freight</c:v>
                </c:pt>
                <c:pt idx="3">
                  <c:v>Mob/demob</c:v>
                </c:pt>
                <c:pt idx="4">
                  <c:v>People's transportation</c:v>
                </c:pt>
                <c:pt idx="5">
                  <c:v>Assets</c:v>
                </c:pt>
                <c:pt idx="6">
                  <c:v>Waste</c:v>
                </c:pt>
              </c:strCache>
            </c:strRef>
          </c:cat>
          <c:val>
            <c:numRef>
              <c:f>Resultszero!$G$65:$G$71</c:f>
              <c:numCache>
                <c:formatCode>General</c:formatCode>
                <c:ptCount val="7"/>
                <c:pt idx="0">
                  <c:v>0</c:v>
                </c:pt>
              </c:numCache>
            </c:numRef>
          </c:val>
          <c:extLst>
            <c:ext xmlns:c16="http://schemas.microsoft.com/office/drawing/2014/chart" uri="{C3380CC4-5D6E-409C-BE32-E72D297353CC}">
              <c16:uniqueId val="{00000003-C96C-664A-9A64-6B57CAA5CAA8}"/>
            </c:ext>
          </c:extLst>
        </c:ser>
        <c:dLbls>
          <c:showLegendKey val="0"/>
          <c:showVal val="0"/>
          <c:showCatName val="0"/>
          <c:showSerName val="0"/>
          <c:showPercent val="0"/>
          <c:showBubbleSize val="0"/>
        </c:dLbls>
        <c:gapWidth val="150"/>
        <c:overlap val="100"/>
        <c:axId val="1993639016"/>
        <c:axId val="1993642232"/>
      </c:barChart>
      <c:lineChart>
        <c:grouping val="standard"/>
        <c:varyColors val="0"/>
        <c:ser>
          <c:idx val="4"/>
          <c:order val="4"/>
          <c:spPr>
            <a:ln w="47625">
              <a:noFill/>
            </a:ln>
          </c:spPr>
          <c:marker>
            <c:symbol val="none"/>
          </c:marker>
          <c:dLbls>
            <c:spPr>
              <a:noFill/>
              <a:ln w="25400">
                <a:noFill/>
              </a:ln>
            </c:spPr>
            <c:txPr>
              <a:bodyPr wrap="square" lIns="38100" tIns="19050" rIns="38100" bIns="19050" anchor="ctr">
                <a:spAutoFit/>
              </a:bodyPr>
              <a:lstStyle/>
              <a:p>
                <a:pPr>
                  <a:defRPr sz="1000" b="0" i="0" u="none" strike="noStrike" baseline="0">
                    <a:solidFill>
                      <a:srgbClr val="333399"/>
                    </a:solidFill>
                    <a:latin typeface="Arial"/>
                    <a:ea typeface="Arial"/>
                    <a:cs typeface="Arial"/>
                  </a:defRPr>
                </a:pPr>
                <a:endParaRPr lang="de-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Resultszero!$H$65:$H$71</c:f>
              <c:numCache>
                <c:formatCode>#,##0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C96C-664A-9A64-6B57CAA5CAA8}"/>
            </c:ext>
          </c:extLst>
        </c:ser>
        <c:dLbls>
          <c:showLegendKey val="0"/>
          <c:showVal val="0"/>
          <c:showCatName val="0"/>
          <c:showSerName val="0"/>
          <c:showPercent val="0"/>
          <c:showBubbleSize val="0"/>
        </c:dLbls>
        <c:marker val="1"/>
        <c:smooth val="0"/>
        <c:axId val="1993639016"/>
        <c:axId val="1993642232"/>
      </c:lineChart>
      <c:catAx>
        <c:axId val="1993639016"/>
        <c:scaling>
          <c:orientation val="minMax"/>
        </c:scaling>
        <c:delete val="0"/>
        <c:axPos val="b"/>
        <c:numFmt formatCode="General"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3642232"/>
        <c:crosses val="autoZero"/>
        <c:auto val="1"/>
        <c:lblAlgn val="ctr"/>
        <c:lblOffset val="100"/>
        <c:noMultiLvlLbl val="0"/>
      </c:catAx>
      <c:valAx>
        <c:axId val="1993642232"/>
        <c:scaling>
          <c:orientation val="minMax"/>
        </c:scaling>
        <c:delete val="0"/>
        <c:axPos val="l"/>
        <c:majorGridlines>
          <c:spPr>
            <a:ln w="3175">
              <a:solidFill>
                <a:srgbClr val="666699"/>
              </a:solidFill>
              <a:prstDash val="solid"/>
            </a:ln>
          </c:spPr>
        </c:majorGridlines>
        <c:title>
          <c:tx>
            <c:strRef>
              <c:f>Resultszero!$K$16</c:f>
              <c:strCache>
                <c:ptCount val="1"/>
                <c:pt idx="0">
                  <c:v>tCO2e</c:v>
                </c:pt>
              </c:strCache>
            </c:strRef>
          </c:tx>
          <c:overlay val="0"/>
          <c:spPr>
            <a:noFill/>
            <a:ln w="25400">
              <a:noFill/>
            </a:ln>
          </c:spPr>
          <c:txPr>
            <a:bodyPr/>
            <a:lstStyle/>
            <a:p>
              <a:pPr>
                <a:defRPr sz="1000" b="1" i="0" u="none" strike="noStrike" baseline="0">
                  <a:solidFill>
                    <a:srgbClr val="333399"/>
                  </a:solidFill>
                  <a:latin typeface="Arial"/>
                  <a:ea typeface="Arial"/>
                  <a:cs typeface="Arial"/>
                </a:defRPr>
              </a:pPr>
              <a:endParaRPr lang="de-DE"/>
            </a:p>
          </c:txPr>
        </c:title>
        <c:numFmt formatCode="#,##0" sourceLinked="0"/>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3639016"/>
        <c:crosses val="autoZero"/>
        <c:crossBetween val="between"/>
      </c:valAx>
      <c:spPr>
        <a:noFill/>
        <a:ln w="25400">
          <a:noFill/>
        </a:ln>
      </c:spPr>
    </c:plotArea>
    <c:legend>
      <c:legendPos val="r"/>
      <c:legendEntry>
        <c:idx val="0"/>
        <c:delete val="1"/>
      </c:legendEntry>
      <c:legendEntry>
        <c:idx val="4"/>
        <c:delete val="1"/>
      </c:legendEntry>
      <c:layout>
        <c:manualLayout>
          <c:xMode val="edge"/>
          <c:yMode val="edge"/>
          <c:x val="2.7108433734939801E-2"/>
          <c:y val="0.88784936345573595"/>
          <c:w val="0.44427698984915998"/>
          <c:h val="0.10280373831775701"/>
        </c:manualLayout>
      </c:layout>
      <c:overlay val="0"/>
      <c:spPr>
        <a:noFill/>
        <a:ln w="25400">
          <a:noFill/>
        </a:ln>
      </c:spPr>
      <c:txPr>
        <a:bodyPr/>
        <a:lstStyle/>
        <a:p>
          <a:pPr>
            <a:defRPr sz="920" b="0" i="0" u="none" strike="noStrike" baseline="0">
              <a:solidFill>
                <a:srgbClr val="333399"/>
              </a:solidFill>
              <a:latin typeface="Arial"/>
              <a:ea typeface="Arial"/>
              <a:cs typeface="Arial"/>
            </a:defRPr>
          </a:pPr>
          <a:endParaRPr lang="de-DE"/>
        </a:p>
      </c:txPr>
    </c:legend>
    <c:plotVisOnly val="1"/>
    <c:dispBlanksAs val="gap"/>
    <c:showDLblsOverMax val="0"/>
  </c:chart>
  <c:spPr>
    <a:solidFill>
      <a:srgbClr val="FFFFFF"/>
    </a:solid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0"/>
    <c:plotArea>
      <c:layout>
        <c:manualLayout>
          <c:layoutTarget val="inner"/>
          <c:xMode val="edge"/>
          <c:yMode val="edge"/>
          <c:x val="0.18813152243529399"/>
          <c:y val="0.21222203937099099"/>
          <c:w val="0.35888660976201497"/>
          <c:h val="0.47806896284258898"/>
        </c:manualLayout>
      </c:layout>
      <c:pieChart>
        <c:varyColors val="1"/>
        <c:ser>
          <c:idx val="0"/>
          <c:order val="0"/>
          <c:spPr>
            <a:solidFill>
              <a:srgbClr val="EFAF66"/>
            </a:solidFill>
            <a:ln w="3175">
              <a:solidFill>
                <a:srgbClr val="90713A"/>
              </a:solidFill>
              <a:prstDash val="solid"/>
            </a:ln>
          </c:spPr>
          <c:explosion val="25"/>
          <c:dPt>
            <c:idx val="0"/>
            <c:bubble3D val="0"/>
            <c:explosion val="0"/>
            <c:spPr>
              <a:solidFill>
                <a:srgbClr val="D49B59"/>
              </a:solidFill>
              <a:ln w="3175">
                <a:solidFill>
                  <a:srgbClr val="90713A"/>
                </a:solidFill>
                <a:prstDash val="solid"/>
              </a:ln>
            </c:spPr>
            <c:extLst>
              <c:ext xmlns:c16="http://schemas.microsoft.com/office/drawing/2014/chart" uri="{C3380CC4-5D6E-409C-BE32-E72D297353CC}">
                <c16:uniqueId val="{00000001-84AF-0742-8998-06AE0AF3F4FA}"/>
              </c:ext>
            </c:extLst>
          </c:dPt>
          <c:dPt>
            <c:idx val="1"/>
            <c:bubble3D val="0"/>
            <c:spPr>
              <a:solidFill>
                <a:srgbClr val="D1D359"/>
              </a:solidFill>
              <a:ln w="3175">
                <a:solidFill>
                  <a:srgbClr val="90713A"/>
                </a:solidFill>
                <a:prstDash val="solid"/>
              </a:ln>
            </c:spPr>
            <c:extLst>
              <c:ext xmlns:c16="http://schemas.microsoft.com/office/drawing/2014/chart" uri="{C3380CC4-5D6E-409C-BE32-E72D297353CC}">
                <c16:uniqueId val="{00000003-84AF-0742-8998-06AE0AF3F4FA}"/>
              </c:ext>
            </c:extLst>
          </c:dPt>
          <c:dPt>
            <c:idx val="2"/>
            <c:bubble3D val="0"/>
            <c:spPr>
              <a:solidFill>
                <a:srgbClr val="59D49B"/>
              </a:solidFill>
              <a:ln w="3175">
                <a:solidFill>
                  <a:srgbClr val="339966"/>
                </a:solidFill>
                <a:prstDash val="solid"/>
              </a:ln>
            </c:spPr>
            <c:extLst>
              <c:ext xmlns:c16="http://schemas.microsoft.com/office/drawing/2014/chart" uri="{C3380CC4-5D6E-409C-BE32-E72D297353CC}">
                <c16:uniqueId val="{00000005-84AF-0742-8998-06AE0AF3F4FA}"/>
              </c:ext>
            </c:extLst>
          </c:dPt>
          <c:dPt>
            <c:idx val="3"/>
            <c:bubble3D val="0"/>
            <c:spPr>
              <a:solidFill>
                <a:srgbClr val="6967C7"/>
              </a:solidFill>
              <a:ln w="3175">
                <a:solidFill>
                  <a:srgbClr val="333399"/>
                </a:solidFill>
                <a:prstDash val="solid"/>
              </a:ln>
            </c:spPr>
            <c:extLst>
              <c:ext xmlns:c16="http://schemas.microsoft.com/office/drawing/2014/chart" uri="{C3380CC4-5D6E-409C-BE32-E72D297353CC}">
                <c16:uniqueId val="{00000007-84AF-0742-8998-06AE0AF3F4FA}"/>
              </c:ext>
            </c:extLst>
          </c:dPt>
          <c:dPt>
            <c:idx val="4"/>
            <c:bubble3D val="0"/>
            <c:spPr>
              <a:solidFill>
                <a:srgbClr val="59D1D4"/>
              </a:solidFill>
              <a:ln w="3175">
                <a:solidFill>
                  <a:srgbClr val="339966"/>
                </a:solidFill>
                <a:prstDash val="solid"/>
              </a:ln>
            </c:spPr>
            <c:extLst>
              <c:ext xmlns:c16="http://schemas.microsoft.com/office/drawing/2014/chart" uri="{C3380CC4-5D6E-409C-BE32-E72D297353CC}">
                <c16:uniqueId val="{00000009-84AF-0742-8998-06AE0AF3F4FA}"/>
              </c:ext>
            </c:extLst>
          </c:dPt>
          <c:dPt>
            <c:idx val="5"/>
            <c:bubble3D val="0"/>
            <c:spPr>
              <a:solidFill>
                <a:srgbClr val="9B59D4"/>
              </a:solidFill>
              <a:ln w="3175">
                <a:solidFill>
                  <a:srgbClr val="666699"/>
                </a:solidFill>
                <a:prstDash val="solid"/>
              </a:ln>
            </c:spPr>
            <c:extLst>
              <c:ext xmlns:c16="http://schemas.microsoft.com/office/drawing/2014/chart" uri="{C3380CC4-5D6E-409C-BE32-E72D297353CC}">
                <c16:uniqueId val="{0000000B-84AF-0742-8998-06AE0AF3F4FA}"/>
              </c:ext>
            </c:extLst>
          </c:dPt>
          <c:dPt>
            <c:idx val="6"/>
            <c:bubble3D val="0"/>
            <c:spPr>
              <a:solidFill>
                <a:srgbClr val="F3C59C"/>
              </a:solidFill>
              <a:ln w="3175">
                <a:solidFill>
                  <a:srgbClr val="A2BD90"/>
                </a:solidFill>
                <a:prstDash val="solid"/>
              </a:ln>
            </c:spPr>
            <c:extLst>
              <c:ext xmlns:c16="http://schemas.microsoft.com/office/drawing/2014/chart" uri="{C3380CC4-5D6E-409C-BE32-E72D297353CC}">
                <c16:uniqueId val="{0000000D-84AF-0742-8998-06AE0AF3F4FA}"/>
              </c:ext>
            </c:extLst>
          </c:dPt>
          <c:cat>
            <c:strRef>
              <c:f>Resultszero!$C$65:$C$71</c:f>
              <c:strCache>
                <c:ptCount val="7"/>
                <c:pt idx="0">
                  <c:v>Materials</c:v>
                </c:pt>
                <c:pt idx="1">
                  <c:v>Energy</c:v>
                </c:pt>
                <c:pt idx="2">
                  <c:v>Freight</c:v>
                </c:pt>
                <c:pt idx="3">
                  <c:v>Mob/demob</c:v>
                </c:pt>
                <c:pt idx="4">
                  <c:v>People's transportation</c:v>
                </c:pt>
                <c:pt idx="5">
                  <c:v>Assets</c:v>
                </c:pt>
                <c:pt idx="6">
                  <c:v>Waste</c:v>
                </c:pt>
              </c:strCache>
            </c:strRef>
          </c:cat>
          <c:val>
            <c:numRef>
              <c:f>Resultszero!$H$65:$H$71</c:f>
              <c:numCache>
                <c:formatCode>#,##0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84AF-0742-8998-06AE0AF3F4FA}"/>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0659163367290905"/>
          <c:y val="0.22304832713754599"/>
          <c:w val="0.47080994113024"/>
          <c:h val="0.40892193308550201"/>
        </c:manualLayout>
      </c:layout>
      <c:overlay val="0"/>
      <c:spPr>
        <a:noFill/>
        <a:ln w="25400">
          <a:noFill/>
        </a:ln>
      </c:spPr>
      <c:txPr>
        <a:bodyPr/>
        <a:lstStyle/>
        <a:p>
          <a:pPr>
            <a:defRPr sz="920" b="0" i="0" u="none" strike="noStrike" baseline="0">
              <a:solidFill>
                <a:srgbClr val="333399"/>
              </a:solidFill>
              <a:latin typeface="Arial"/>
              <a:ea typeface="Arial"/>
              <a:cs typeface="Arial"/>
            </a:defRPr>
          </a:pPr>
          <a:endParaRPr lang="de-DE"/>
        </a:p>
      </c:txPr>
    </c:legend>
    <c:plotVisOnly val="1"/>
    <c:dispBlanksAs val="gap"/>
    <c:showDLblsOverMax val="0"/>
  </c:chart>
  <c:spPr>
    <a:no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Comparisonzero!$AG$12</c:f>
          <c:strCache>
            <c:ptCount val="1"/>
            <c:pt idx="0">
              <c:v>Projects emissions</c:v>
            </c:pt>
          </c:strCache>
        </c:strRef>
      </c:tx>
      <c:overlay val="0"/>
      <c:spPr>
        <a:noFill/>
        <a:ln w="25400">
          <a:noFill/>
        </a:ln>
      </c:spPr>
      <c:txPr>
        <a:bodyPr/>
        <a:lstStyle/>
        <a:p>
          <a:pPr>
            <a:defRPr sz="1200" b="0" i="0" u="none" strike="noStrike" baseline="0">
              <a:solidFill>
                <a:srgbClr val="333399"/>
              </a:solidFill>
              <a:latin typeface="Arial"/>
              <a:ea typeface="Arial"/>
              <a:cs typeface="Arial"/>
            </a:defRPr>
          </a:pPr>
          <a:endParaRPr lang="de-DE"/>
        </a:p>
      </c:txPr>
    </c:title>
    <c:autoTitleDeleted val="0"/>
    <c:plotArea>
      <c:layout/>
      <c:barChart>
        <c:barDir val="col"/>
        <c:grouping val="stacked"/>
        <c:varyColors val="0"/>
        <c:ser>
          <c:idx val="0"/>
          <c:order val="0"/>
          <c:tx>
            <c:strRef>
              <c:f>Comparisonzero!$I$29</c:f>
              <c:strCache>
                <c:ptCount val="1"/>
                <c:pt idx="0">
                  <c:v>Materials</c:v>
                </c:pt>
              </c:strCache>
            </c:strRef>
          </c:tx>
          <c:spPr>
            <a:solidFill>
              <a:srgbClr val="D49B59"/>
            </a:solidFill>
            <a:ln w="3175">
              <a:solidFill>
                <a:srgbClr val="90713A"/>
              </a:solidFill>
              <a:prstDash val="solid"/>
            </a:ln>
          </c:spPr>
          <c:invertIfNegative val="0"/>
          <c:cat>
            <c:multiLvlStrRef>
              <c:f>Comparisonzero!$J$28:$P$28</c:f>
            </c:multiLvlStrRef>
          </c:cat>
          <c:val>
            <c:numRef>
              <c:f>Comparisonzero!$J$29:$P$29</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1BBF-D146-AE2A-5062A5B38BA7}"/>
            </c:ext>
          </c:extLst>
        </c:ser>
        <c:ser>
          <c:idx val="1"/>
          <c:order val="1"/>
          <c:tx>
            <c:strRef>
              <c:f>Comparisonzero!$I$30</c:f>
              <c:strCache>
                <c:ptCount val="1"/>
                <c:pt idx="0">
                  <c:v>Energy</c:v>
                </c:pt>
              </c:strCache>
            </c:strRef>
          </c:tx>
          <c:spPr>
            <a:solidFill>
              <a:srgbClr val="D1D359"/>
            </a:solidFill>
            <a:ln w="3175">
              <a:solidFill>
                <a:srgbClr val="90713A"/>
              </a:solidFill>
              <a:prstDash val="solid"/>
            </a:ln>
          </c:spPr>
          <c:invertIfNegative val="0"/>
          <c:cat>
            <c:multiLvlStrRef>
              <c:f>Comparisonzero!$J$28:$P$28</c:f>
            </c:multiLvlStrRef>
          </c:cat>
          <c:val>
            <c:numRef>
              <c:f>Comparisonzero!$J$30:$P$30</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1BBF-D146-AE2A-5062A5B38BA7}"/>
            </c:ext>
          </c:extLst>
        </c:ser>
        <c:ser>
          <c:idx val="2"/>
          <c:order val="2"/>
          <c:tx>
            <c:strRef>
              <c:f>Comparisonzero!$I$31</c:f>
              <c:strCache>
                <c:ptCount val="1"/>
                <c:pt idx="0">
                  <c:v>Freight</c:v>
                </c:pt>
              </c:strCache>
            </c:strRef>
          </c:tx>
          <c:spPr>
            <a:solidFill>
              <a:srgbClr val="59D49B"/>
            </a:solidFill>
            <a:ln w="3175">
              <a:solidFill>
                <a:srgbClr val="339966"/>
              </a:solidFill>
              <a:prstDash val="solid"/>
            </a:ln>
          </c:spPr>
          <c:invertIfNegative val="0"/>
          <c:cat>
            <c:multiLvlStrRef>
              <c:f>Comparisonzero!$J$28:$P$28</c:f>
            </c:multiLvlStrRef>
          </c:cat>
          <c:val>
            <c:numRef>
              <c:f>Comparisonzero!$J$31:$P$31</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1BBF-D146-AE2A-5062A5B38BA7}"/>
            </c:ext>
          </c:extLst>
        </c:ser>
        <c:ser>
          <c:idx val="3"/>
          <c:order val="3"/>
          <c:tx>
            <c:strRef>
              <c:f>Comparisonzero!$I$32</c:f>
              <c:strCache>
                <c:ptCount val="1"/>
                <c:pt idx="0">
                  <c:v>Mob/demob</c:v>
                </c:pt>
              </c:strCache>
            </c:strRef>
          </c:tx>
          <c:spPr>
            <a:solidFill>
              <a:srgbClr val="6967C7"/>
            </a:solidFill>
            <a:ln w="3175">
              <a:solidFill>
                <a:srgbClr val="333399"/>
              </a:solidFill>
              <a:prstDash val="solid"/>
            </a:ln>
          </c:spPr>
          <c:invertIfNegative val="0"/>
          <c:cat>
            <c:multiLvlStrRef>
              <c:f>Comparisonzero!$J$28:$P$28</c:f>
            </c:multiLvlStrRef>
          </c:cat>
          <c:val>
            <c:numRef>
              <c:f>Comparisonzero!$J$32:$P$32</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1BBF-D146-AE2A-5062A5B38BA7}"/>
            </c:ext>
          </c:extLst>
        </c:ser>
        <c:ser>
          <c:idx val="4"/>
          <c:order val="4"/>
          <c:tx>
            <c:strRef>
              <c:f>Comparisonzero!$I$33</c:f>
              <c:strCache>
                <c:ptCount val="1"/>
                <c:pt idx="0">
                  <c:v>People's transportation</c:v>
                </c:pt>
              </c:strCache>
            </c:strRef>
          </c:tx>
          <c:spPr>
            <a:solidFill>
              <a:srgbClr val="59D1D4"/>
            </a:solidFill>
            <a:ln w="3175">
              <a:solidFill>
                <a:srgbClr val="339966"/>
              </a:solidFill>
              <a:prstDash val="solid"/>
            </a:ln>
          </c:spPr>
          <c:invertIfNegative val="0"/>
          <c:cat>
            <c:multiLvlStrRef>
              <c:f>Comparisonzero!$J$28:$P$28</c:f>
            </c:multiLvlStrRef>
          </c:cat>
          <c:val>
            <c:numRef>
              <c:f>Comparisonzero!$J$33:$P$33</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1BBF-D146-AE2A-5062A5B38BA7}"/>
            </c:ext>
          </c:extLst>
        </c:ser>
        <c:ser>
          <c:idx val="5"/>
          <c:order val="5"/>
          <c:tx>
            <c:strRef>
              <c:f>Comparisonzero!$I$34</c:f>
              <c:strCache>
                <c:ptCount val="1"/>
                <c:pt idx="0">
                  <c:v>Assets</c:v>
                </c:pt>
              </c:strCache>
            </c:strRef>
          </c:tx>
          <c:spPr>
            <a:solidFill>
              <a:srgbClr val="9B59D4"/>
            </a:solidFill>
            <a:ln w="3175">
              <a:solidFill>
                <a:srgbClr val="666699"/>
              </a:solidFill>
              <a:prstDash val="solid"/>
            </a:ln>
          </c:spPr>
          <c:invertIfNegative val="0"/>
          <c:cat>
            <c:multiLvlStrRef>
              <c:f>Comparisonzero!$J$28:$P$28</c:f>
            </c:multiLvlStrRef>
          </c:cat>
          <c:val>
            <c:numRef>
              <c:f>Comparisonzero!$J$34:$P$34</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5-1BBF-D146-AE2A-5062A5B38BA7}"/>
            </c:ext>
          </c:extLst>
        </c:ser>
        <c:ser>
          <c:idx val="6"/>
          <c:order val="6"/>
          <c:tx>
            <c:strRef>
              <c:f>Comparisonzero!$I$35</c:f>
              <c:strCache>
                <c:ptCount val="1"/>
                <c:pt idx="0">
                  <c:v>Waste</c:v>
                </c:pt>
              </c:strCache>
            </c:strRef>
          </c:tx>
          <c:spPr>
            <a:solidFill>
              <a:srgbClr val="F3C59C"/>
            </a:solidFill>
            <a:ln w="3175">
              <a:solidFill>
                <a:srgbClr val="A2BD90"/>
              </a:solidFill>
              <a:prstDash val="solid"/>
            </a:ln>
          </c:spPr>
          <c:invertIfNegative val="0"/>
          <c:cat>
            <c:multiLvlStrRef>
              <c:f>Comparisonzero!$J$28:$P$28</c:f>
            </c:multiLvlStrRef>
          </c:cat>
          <c:val>
            <c:numRef>
              <c:f>Comparisonzero!$J$35:$P$35</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6-1BBF-D146-AE2A-5062A5B38BA7}"/>
            </c:ext>
          </c:extLst>
        </c:ser>
        <c:dLbls>
          <c:showLegendKey val="0"/>
          <c:showVal val="0"/>
          <c:showCatName val="0"/>
          <c:showSerName val="0"/>
          <c:showPercent val="0"/>
          <c:showBubbleSize val="0"/>
        </c:dLbls>
        <c:gapWidth val="150"/>
        <c:overlap val="100"/>
        <c:axId val="1993737720"/>
        <c:axId val="1993741064"/>
      </c:barChart>
      <c:lineChart>
        <c:grouping val="standard"/>
        <c:varyColors val="0"/>
        <c:ser>
          <c:idx val="7"/>
          <c:order val="7"/>
          <c:tx>
            <c:strRef>
              <c:f>Comparisonzero!$I$36</c:f>
              <c:strCache>
                <c:ptCount val="1"/>
                <c:pt idx="0">
                  <c:v>Total</c:v>
                </c:pt>
              </c:strCache>
            </c:strRef>
          </c:tx>
          <c:spPr>
            <a:ln w="47625">
              <a:noFill/>
            </a:ln>
          </c:spPr>
          <c:marker>
            <c:symbol val="none"/>
          </c:marker>
          <c:dLbls>
            <c:spPr>
              <a:noFill/>
              <a:ln w="25400">
                <a:noFill/>
              </a:ln>
            </c:spPr>
            <c:txPr>
              <a:bodyPr wrap="square" lIns="38100" tIns="19050" rIns="38100" bIns="19050" anchor="ctr">
                <a:spAutoFit/>
              </a:bodyPr>
              <a:lstStyle/>
              <a:p>
                <a:pPr>
                  <a:defRPr sz="1000" b="1" i="0" u="none" strike="noStrike" baseline="0">
                    <a:solidFill>
                      <a:srgbClr val="333399"/>
                    </a:solidFill>
                    <a:latin typeface="Arial"/>
                    <a:ea typeface="Arial"/>
                    <a:cs typeface="Arial"/>
                  </a:defRPr>
                </a:pPr>
                <a:endParaRPr lang="de-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Comparisonzero!$J$16:$P$17</c:f>
              <c:numCache>
                <c:formatCode>General</c:formatCode>
                <c:ptCount val="6"/>
              </c:numCache>
            </c:numRef>
          </c:cat>
          <c:val>
            <c:numRef>
              <c:f>Comparisonzero!$J$36:$P$36</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7-1BBF-D146-AE2A-5062A5B38BA7}"/>
            </c:ext>
          </c:extLst>
        </c:ser>
        <c:dLbls>
          <c:showLegendKey val="0"/>
          <c:showVal val="0"/>
          <c:showCatName val="0"/>
          <c:showSerName val="0"/>
          <c:showPercent val="0"/>
          <c:showBubbleSize val="0"/>
        </c:dLbls>
        <c:marker val="1"/>
        <c:smooth val="0"/>
        <c:axId val="1993737720"/>
        <c:axId val="1993741064"/>
      </c:lineChart>
      <c:catAx>
        <c:axId val="1993737720"/>
        <c:scaling>
          <c:orientation val="minMax"/>
        </c:scaling>
        <c:delete val="0"/>
        <c:axPos val="b"/>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3741064"/>
        <c:crosses val="autoZero"/>
        <c:auto val="1"/>
        <c:lblAlgn val="ctr"/>
        <c:lblOffset val="100"/>
        <c:noMultiLvlLbl val="0"/>
      </c:catAx>
      <c:valAx>
        <c:axId val="1993741064"/>
        <c:scaling>
          <c:orientation val="minMax"/>
        </c:scaling>
        <c:delete val="0"/>
        <c:axPos val="l"/>
        <c:majorGridlines>
          <c:spPr>
            <a:ln w="3175">
              <a:solidFill>
                <a:srgbClr val="666699"/>
              </a:solidFill>
              <a:prstDash val="solid"/>
            </a:ln>
          </c:spPr>
        </c:majorGridlines>
        <c:title>
          <c:tx>
            <c:strRef>
              <c:f>Comparisonzero!$Q$36</c:f>
              <c:strCache>
                <c:ptCount val="1"/>
                <c:pt idx="0">
                  <c:v>tCO2e</c:v>
                </c:pt>
              </c:strCache>
            </c:strRef>
          </c:tx>
          <c:overlay val="0"/>
          <c:spPr>
            <a:noFill/>
            <a:ln w="25400">
              <a:noFill/>
            </a:ln>
          </c:spPr>
          <c:txPr>
            <a:bodyPr/>
            <a:lstStyle/>
            <a:p>
              <a:pPr>
                <a:defRPr sz="1000" b="1" i="0" u="none" strike="noStrike" baseline="0">
                  <a:solidFill>
                    <a:srgbClr val="333399"/>
                  </a:solidFill>
                  <a:latin typeface="Arial"/>
                  <a:ea typeface="Arial"/>
                  <a:cs typeface="Arial"/>
                </a:defRPr>
              </a:pPr>
              <a:endParaRPr lang="de-DE"/>
            </a:p>
          </c:txPr>
        </c:title>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3737720"/>
        <c:crosses val="autoZero"/>
        <c:crossBetween val="between"/>
      </c:valAx>
      <c:spPr>
        <a:noFill/>
        <a:ln w="25400">
          <a:noFill/>
        </a:ln>
      </c:spPr>
    </c:plotArea>
    <c:legend>
      <c:legendPos val="r"/>
      <c:legendEntry>
        <c:idx val="7"/>
        <c:delete val="1"/>
      </c:legendEntry>
      <c:layout>
        <c:manualLayout>
          <c:xMode val="edge"/>
          <c:yMode val="edge"/>
          <c:x val="0.80774539593339201"/>
          <c:y val="0.35763916229221299"/>
          <c:w val="0.177040110650069"/>
          <c:h val="0.44097249562554702"/>
        </c:manualLayout>
      </c:layout>
      <c:overlay val="0"/>
      <c:spPr>
        <a:noFill/>
        <a:ln w="25400">
          <a:noFill/>
        </a:ln>
      </c:spPr>
      <c:txPr>
        <a:bodyPr/>
        <a:lstStyle/>
        <a:p>
          <a:pPr>
            <a:defRPr sz="920" b="0" i="0" u="none" strike="noStrike" baseline="0">
              <a:solidFill>
                <a:srgbClr val="333399"/>
              </a:solidFill>
              <a:latin typeface="Arial"/>
              <a:ea typeface="Arial"/>
              <a:cs typeface="Arial"/>
            </a:defRPr>
          </a:pPr>
          <a:endParaRPr lang="de-DE"/>
        </a:p>
      </c:txPr>
    </c:legend>
    <c:plotVisOnly val="1"/>
    <c:dispBlanksAs val="gap"/>
    <c:showDLblsOverMax val="0"/>
  </c:chart>
  <c:spPr>
    <a:no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Comparisonzero!$AG$14</c:f>
          <c:strCache>
            <c:ptCount val="1"/>
            <c:pt idx="0">
              <c:v>Projects emission repartitions</c:v>
            </c:pt>
          </c:strCache>
        </c:strRef>
      </c:tx>
      <c:overlay val="0"/>
      <c:spPr>
        <a:noFill/>
        <a:ln w="25400">
          <a:noFill/>
        </a:ln>
      </c:spPr>
      <c:txPr>
        <a:bodyPr/>
        <a:lstStyle/>
        <a:p>
          <a:pPr>
            <a:defRPr sz="1200" b="0" i="0" u="none" strike="noStrike" baseline="0">
              <a:solidFill>
                <a:srgbClr val="333399"/>
              </a:solidFill>
              <a:latin typeface="Arial"/>
              <a:ea typeface="Arial"/>
              <a:cs typeface="Arial"/>
            </a:defRPr>
          </a:pPr>
          <a:endParaRPr lang="de-DE"/>
        </a:p>
      </c:txPr>
    </c:title>
    <c:autoTitleDeleted val="0"/>
    <c:plotArea>
      <c:layout/>
      <c:barChart>
        <c:barDir val="col"/>
        <c:grouping val="percentStacked"/>
        <c:varyColors val="0"/>
        <c:ser>
          <c:idx val="0"/>
          <c:order val="0"/>
          <c:tx>
            <c:strRef>
              <c:f>Comparisonzero!$I$29</c:f>
              <c:strCache>
                <c:ptCount val="1"/>
                <c:pt idx="0">
                  <c:v>Materials</c:v>
                </c:pt>
              </c:strCache>
            </c:strRef>
          </c:tx>
          <c:spPr>
            <a:solidFill>
              <a:srgbClr val="D49B59"/>
            </a:solidFill>
            <a:ln w="3175">
              <a:solidFill>
                <a:srgbClr val="90713A"/>
              </a:solidFill>
              <a:prstDash val="solid"/>
            </a:ln>
          </c:spPr>
          <c:invertIfNegative val="0"/>
          <c:val>
            <c:numRef>
              <c:f>Comparisonzero!$J$29:$P$29</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Comparisonzero!$J$28:$P$28</c15:sqref>
                        </c15:formulaRef>
                      </c:ext>
                    </c:extLst>
                  </c:multiLvlStrRef>
                </c15:cat>
              </c15:filteredCategoryTitle>
            </c:ext>
            <c:ext xmlns:c16="http://schemas.microsoft.com/office/drawing/2014/chart" uri="{C3380CC4-5D6E-409C-BE32-E72D297353CC}">
              <c16:uniqueId val="{00000000-2130-0C4E-9791-4D5ABB9A8390}"/>
            </c:ext>
          </c:extLst>
        </c:ser>
        <c:ser>
          <c:idx val="1"/>
          <c:order val="1"/>
          <c:tx>
            <c:strRef>
              <c:f>Comparisonzero!$I$30</c:f>
              <c:strCache>
                <c:ptCount val="1"/>
                <c:pt idx="0">
                  <c:v>Energy</c:v>
                </c:pt>
              </c:strCache>
            </c:strRef>
          </c:tx>
          <c:spPr>
            <a:solidFill>
              <a:srgbClr val="D1D359"/>
            </a:solidFill>
            <a:ln w="3175">
              <a:solidFill>
                <a:srgbClr val="90713A"/>
              </a:solidFill>
              <a:prstDash val="solid"/>
            </a:ln>
          </c:spPr>
          <c:invertIfNegative val="0"/>
          <c:val>
            <c:numRef>
              <c:f>Comparisonzero!$J$30:$P$30</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Comparisonzero!$J$28:$P$28</c15:sqref>
                        </c15:formulaRef>
                      </c:ext>
                    </c:extLst>
                  </c:multiLvlStrRef>
                </c15:cat>
              </c15:filteredCategoryTitle>
            </c:ext>
            <c:ext xmlns:c16="http://schemas.microsoft.com/office/drawing/2014/chart" uri="{C3380CC4-5D6E-409C-BE32-E72D297353CC}">
              <c16:uniqueId val="{00000001-2130-0C4E-9791-4D5ABB9A8390}"/>
            </c:ext>
          </c:extLst>
        </c:ser>
        <c:ser>
          <c:idx val="2"/>
          <c:order val="2"/>
          <c:tx>
            <c:strRef>
              <c:f>Comparisonzero!$I$31</c:f>
              <c:strCache>
                <c:ptCount val="1"/>
                <c:pt idx="0">
                  <c:v>Freight</c:v>
                </c:pt>
              </c:strCache>
            </c:strRef>
          </c:tx>
          <c:spPr>
            <a:solidFill>
              <a:srgbClr val="59D49B"/>
            </a:solidFill>
            <a:ln w="3175">
              <a:solidFill>
                <a:srgbClr val="339966"/>
              </a:solidFill>
              <a:prstDash val="solid"/>
            </a:ln>
          </c:spPr>
          <c:invertIfNegative val="0"/>
          <c:val>
            <c:numRef>
              <c:f>Comparisonzero!$J$31:$P$31</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Comparisonzero!$J$28:$P$28</c15:sqref>
                        </c15:formulaRef>
                      </c:ext>
                    </c:extLst>
                  </c:multiLvlStrRef>
                </c15:cat>
              </c15:filteredCategoryTitle>
            </c:ext>
            <c:ext xmlns:c16="http://schemas.microsoft.com/office/drawing/2014/chart" uri="{C3380CC4-5D6E-409C-BE32-E72D297353CC}">
              <c16:uniqueId val="{00000002-2130-0C4E-9791-4D5ABB9A8390}"/>
            </c:ext>
          </c:extLst>
        </c:ser>
        <c:ser>
          <c:idx val="3"/>
          <c:order val="3"/>
          <c:tx>
            <c:strRef>
              <c:f>Comparisonzero!$I$32</c:f>
              <c:strCache>
                <c:ptCount val="1"/>
                <c:pt idx="0">
                  <c:v>Mob/demob</c:v>
                </c:pt>
              </c:strCache>
            </c:strRef>
          </c:tx>
          <c:spPr>
            <a:solidFill>
              <a:srgbClr val="6967C7"/>
            </a:solidFill>
            <a:ln w="3175">
              <a:solidFill>
                <a:srgbClr val="333399"/>
              </a:solidFill>
              <a:prstDash val="solid"/>
            </a:ln>
          </c:spPr>
          <c:invertIfNegative val="0"/>
          <c:val>
            <c:numRef>
              <c:f>Comparisonzero!$J$32:$P$32</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Comparisonzero!$J$28:$P$28</c15:sqref>
                        </c15:formulaRef>
                      </c:ext>
                    </c:extLst>
                  </c:multiLvlStrRef>
                </c15:cat>
              </c15:filteredCategoryTitle>
            </c:ext>
            <c:ext xmlns:c16="http://schemas.microsoft.com/office/drawing/2014/chart" uri="{C3380CC4-5D6E-409C-BE32-E72D297353CC}">
              <c16:uniqueId val="{00000003-2130-0C4E-9791-4D5ABB9A8390}"/>
            </c:ext>
          </c:extLst>
        </c:ser>
        <c:ser>
          <c:idx val="4"/>
          <c:order val="4"/>
          <c:tx>
            <c:strRef>
              <c:f>Comparisonzero!$I$33</c:f>
              <c:strCache>
                <c:ptCount val="1"/>
                <c:pt idx="0">
                  <c:v>People's transportation</c:v>
                </c:pt>
              </c:strCache>
            </c:strRef>
          </c:tx>
          <c:spPr>
            <a:solidFill>
              <a:srgbClr val="59D1D4"/>
            </a:solidFill>
            <a:ln w="3175">
              <a:solidFill>
                <a:srgbClr val="339966"/>
              </a:solidFill>
              <a:prstDash val="solid"/>
            </a:ln>
          </c:spPr>
          <c:invertIfNegative val="0"/>
          <c:val>
            <c:numRef>
              <c:f>Comparisonzero!$J$33:$P$33</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Comparisonzero!$J$28:$P$28</c15:sqref>
                        </c15:formulaRef>
                      </c:ext>
                    </c:extLst>
                  </c:multiLvlStrRef>
                </c15:cat>
              </c15:filteredCategoryTitle>
            </c:ext>
            <c:ext xmlns:c16="http://schemas.microsoft.com/office/drawing/2014/chart" uri="{C3380CC4-5D6E-409C-BE32-E72D297353CC}">
              <c16:uniqueId val="{00000004-2130-0C4E-9791-4D5ABB9A8390}"/>
            </c:ext>
          </c:extLst>
        </c:ser>
        <c:ser>
          <c:idx val="5"/>
          <c:order val="5"/>
          <c:tx>
            <c:strRef>
              <c:f>Comparisonzero!$I$34</c:f>
              <c:strCache>
                <c:ptCount val="1"/>
                <c:pt idx="0">
                  <c:v>Assets</c:v>
                </c:pt>
              </c:strCache>
            </c:strRef>
          </c:tx>
          <c:spPr>
            <a:solidFill>
              <a:srgbClr val="9B59D4"/>
            </a:solidFill>
            <a:ln w="3175">
              <a:solidFill>
                <a:srgbClr val="666699"/>
              </a:solidFill>
              <a:prstDash val="solid"/>
            </a:ln>
          </c:spPr>
          <c:invertIfNegative val="0"/>
          <c:val>
            <c:numRef>
              <c:f>Comparisonzero!$J$34:$P$34</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Comparisonzero!$J$28:$P$28</c15:sqref>
                        </c15:formulaRef>
                      </c:ext>
                    </c:extLst>
                  </c:multiLvlStrRef>
                </c15:cat>
              </c15:filteredCategoryTitle>
            </c:ext>
            <c:ext xmlns:c16="http://schemas.microsoft.com/office/drawing/2014/chart" uri="{C3380CC4-5D6E-409C-BE32-E72D297353CC}">
              <c16:uniqueId val="{00000005-2130-0C4E-9791-4D5ABB9A8390}"/>
            </c:ext>
          </c:extLst>
        </c:ser>
        <c:ser>
          <c:idx val="6"/>
          <c:order val="6"/>
          <c:tx>
            <c:strRef>
              <c:f>Comparisonzero!$I$35</c:f>
              <c:strCache>
                <c:ptCount val="1"/>
                <c:pt idx="0">
                  <c:v>Waste</c:v>
                </c:pt>
              </c:strCache>
            </c:strRef>
          </c:tx>
          <c:spPr>
            <a:solidFill>
              <a:srgbClr val="F3C59C"/>
            </a:solidFill>
            <a:ln w="3175">
              <a:solidFill>
                <a:srgbClr val="A2BD90"/>
              </a:solidFill>
              <a:prstDash val="solid"/>
            </a:ln>
          </c:spPr>
          <c:invertIfNegative val="0"/>
          <c:val>
            <c:numRef>
              <c:f>Comparisonzero!$J$35:$P$35</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Comparisonzero!$J$28:$P$28</c15:sqref>
                        </c15:formulaRef>
                      </c:ext>
                    </c:extLst>
                  </c:multiLvlStrRef>
                </c15:cat>
              </c15:filteredCategoryTitle>
            </c:ext>
            <c:ext xmlns:c16="http://schemas.microsoft.com/office/drawing/2014/chart" uri="{C3380CC4-5D6E-409C-BE32-E72D297353CC}">
              <c16:uniqueId val="{00000006-2130-0C4E-9791-4D5ABB9A8390}"/>
            </c:ext>
          </c:extLst>
        </c:ser>
        <c:dLbls>
          <c:showLegendKey val="0"/>
          <c:showVal val="0"/>
          <c:showCatName val="0"/>
          <c:showSerName val="0"/>
          <c:showPercent val="0"/>
          <c:showBubbleSize val="0"/>
        </c:dLbls>
        <c:gapWidth val="150"/>
        <c:overlap val="100"/>
        <c:axId val="1993804200"/>
        <c:axId val="1993807480"/>
      </c:barChart>
      <c:catAx>
        <c:axId val="1993804200"/>
        <c:scaling>
          <c:orientation val="minMax"/>
        </c:scaling>
        <c:delete val="0"/>
        <c:axPos val="b"/>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3807480"/>
        <c:crosses val="autoZero"/>
        <c:auto val="1"/>
        <c:lblAlgn val="ctr"/>
        <c:lblOffset val="100"/>
        <c:noMultiLvlLbl val="0"/>
      </c:catAx>
      <c:valAx>
        <c:axId val="1993807480"/>
        <c:scaling>
          <c:orientation val="minMax"/>
        </c:scaling>
        <c:delete val="0"/>
        <c:axPos val="l"/>
        <c:majorGridlines>
          <c:spPr>
            <a:ln w="3175">
              <a:solidFill>
                <a:srgbClr val="666699"/>
              </a:solidFill>
              <a:prstDash val="solid"/>
            </a:ln>
          </c:spPr>
        </c:majorGridlines>
        <c:title>
          <c:tx>
            <c:strRef>
              <c:f>Comparisonzero!$AG$15</c:f>
              <c:strCache>
                <c:ptCount val="1"/>
                <c:pt idx="0">
                  <c:v>emissions repartition</c:v>
                </c:pt>
              </c:strCache>
            </c:strRef>
          </c:tx>
          <c:overlay val="0"/>
          <c:spPr>
            <a:noFill/>
            <a:ln w="25400">
              <a:noFill/>
            </a:ln>
          </c:spPr>
          <c:txPr>
            <a:bodyPr/>
            <a:lstStyle/>
            <a:p>
              <a:pPr>
                <a:defRPr sz="1000" b="1" i="0" u="none" strike="noStrike" baseline="0">
                  <a:solidFill>
                    <a:srgbClr val="333399"/>
                  </a:solidFill>
                  <a:latin typeface="Arial"/>
                  <a:ea typeface="Arial"/>
                  <a:cs typeface="Arial"/>
                </a:defRPr>
              </a:pPr>
              <a:endParaRPr lang="de-DE"/>
            </a:p>
          </c:txPr>
        </c:title>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3804200"/>
        <c:crosses val="autoZero"/>
        <c:crossBetween val="between"/>
      </c:valAx>
      <c:spPr>
        <a:noFill/>
        <a:ln w="25400">
          <a:noFill/>
        </a:ln>
      </c:spPr>
    </c:plotArea>
    <c:legend>
      <c:legendPos val="r"/>
      <c:layout>
        <c:manualLayout>
          <c:xMode val="edge"/>
          <c:yMode val="edge"/>
          <c:x val="0.809128521797846"/>
          <c:y val="0.35763916229221299"/>
          <c:w val="0.177040110650069"/>
          <c:h val="0.44097249562554702"/>
        </c:manualLayout>
      </c:layout>
      <c:overlay val="0"/>
      <c:spPr>
        <a:noFill/>
        <a:ln w="25400">
          <a:noFill/>
        </a:ln>
      </c:spPr>
      <c:txPr>
        <a:bodyPr/>
        <a:lstStyle/>
        <a:p>
          <a:pPr>
            <a:defRPr sz="920" b="0" i="0" u="none" strike="noStrike" baseline="0">
              <a:solidFill>
                <a:srgbClr val="333399"/>
              </a:solidFill>
              <a:latin typeface="Arial"/>
              <a:ea typeface="Arial"/>
              <a:cs typeface="Arial"/>
            </a:defRPr>
          </a:pPr>
          <a:endParaRPr lang="de-DE"/>
        </a:p>
      </c:txPr>
    </c:legend>
    <c:plotVisOnly val="1"/>
    <c:dispBlanksAs val="gap"/>
    <c:showDLblsOverMax val="0"/>
  </c:chart>
  <c:spPr>
    <a:no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Comparisonzero!$U$110</c:f>
          <c:strCache>
            <c:ptCount val="1"/>
            <c:pt idx="0">
              <c:v>Projects emissions per  Project value</c:v>
            </c:pt>
          </c:strCache>
        </c:strRef>
      </c:tx>
      <c:overlay val="0"/>
      <c:spPr>
        <a:noFill/>
        <a:ln w="25400">
          <a:noFill/>
        </a:ln>
      </c:spPr>
      <c:txPr>
        <a:bodyPr/>
        <a:lstStyle/>
        <a:p>
          <a:pPr>
            <a:defRPr sz="1200"/>
          </a:pPr>
          <a:endParaRPr lang="de-DE"/>
        </a:p>
      </c:txPr>
    </c:title>
    <c:autoTitleDeleted val="0"/>
    <c:plotArea>
      <c:layout/>
      <c:barChart>
        <c:barDir val="col"/>
        <c:grouping val="stacked"/>
        <c:varyColors val="0"/>
        <c:ser>
          <c:idx val="0"/>
          <c:order val="0"/>
          <c:tx>
            <c:strRef>
              <c:f>Comparisonzero!$I$163</c:f>
              <c:strCache>
                <c:ptCount val="1"/>
                <c:pt idx="0">
                  <c:v>Materials</c:v>
                </c:pt>
              </c:strCache>
            </c:strRef>
          </c:tx>
          <c:spPr>
            <a:solidFill>
              <a:srgbClr val="D49B59"/>
            </a:solidFill>
            <a:ln w="3175">
              <a:solidFill>
                <a:srgbClr val="90713A"/>
              </a:solidFill>
              <a:prstDash val="solid"/>
            </a:ln>
          </c:spPr>
          <c:invertIfNegative val="0"/>
          <c:val>
            <c:numRef>
              <c:f>Comparisonzero!$J$163:$P$163</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Comparisonzero!$J$162:$P$162</c15:sqref>
                        </c15:formulaRef>
                      </c:ext>
                    </c:extLst>
                  </c:multiLvlStrRef>
                </c15:cat>
              </c15:filteredCategoryTitle>
            </c:ext>
            <c:ext xmlns:c16="http://schemas.microsoft.com/office/drawing/2014/chart" uri="{C3380CC4-5D6E-409C-BE32-E72D297353CC}">
              <c16:uniqueId val="{00000000-2103-D947-80C1-6AAC6B92FD1F}"/>
            </c:ext>
          </c:extLst>
        </c:ser>
        <c:ser>
          <c:idx val="1"/>
          <c:order val="1"/>
          <c:tx>
            <c:strRef>
              <c:f>Comparisonzero!$I$164</c:f>
              <c:strCache>
                <c:ptCount val="1"/>
                <c:pt idx="0">
                  <c:v>Energy</c:v>
                </c:pt>
              </c:strCache>
            </c:strRef>
          </c:tx>
          <c:spPr>
            <a:solidFill>
              <a:srgbClr val="D1D359"/>
            </a:solidFill>
            <a:ln w="3175">
              <a:solidFill>
                <a:srgbClr val="90713A"/>
              </a:solidFill>
              <a:prstDash val="solid"/>
            </a:ln>
          </c:spPr>
          <c:invertIfNegative val="0"/>
          <c:val>
            <c:numRef>
              <c:f>Comparisonzero!$J$164:$P$164</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Comparisonzero!$J$162:$P$162</c15:sqref>
                        </c15:formulaRef>
                      </c:ext>
                    </c:extLst>
                  </c:multiLvlStrRef>
                </c15:cat>
              </c15:filteredCategoryTitle>
            </c:ext>
            <c:ext xmlns:c16="http://schemas.microsoft.com/office/drawing/2014/chart" uri="{C3380CC4-5D6E-409C-BE32-E72D297353CC}">
              <c16:uniqueId val="{00000001-2103-D947-80C1-6AAC6B92FD1F}"/>
            </c:ext>
          </c:extLst>
        </c:ser>
        <c:ser>
          <c:idx val="2"/>
          <c:order val="2"/>
          <c:tx>
            <c:strRef>
              <c:f>Comparisonzero!$I$165</c:f>
              <c:strCache>
                <c:ptCount val="1"/>
                <c:pt idx="0">
                  <c:v>Freight</c:v>
                </c:pt>
              </c:strCache>
            </c:strRef>
          </c:tx>
          <c:spPr>
            <a:solidFill>
              <a:srgbClr val="59D49B"/>
            </a:solidFill>
            <a:ln w="3175">
              <a:solidFill>
                <a:srgbClr val="339966"/>
              </a:solidFill>
              <a:prstDash val="solid"/>
            </a:ln>
          </c:spPr>
          <c:invertIfNegative val="0"/>
          <c:val>
            <c:numRef>
              <c:f>Comparisonzero!$J$165:$P$165</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Comparisonzero!$J$162:$P$162</c15:sqref>
                        </c15:formulaRef>
                      </c:ext>
                    </c:extLst>
                  </c:multiLvlStrRef>
                </c15:cat>
              </c15:filteredCategoryTitle>
            </c:ext>
            <c:ext xmlns:c16="http://schemas.microsoft.com/office/drawing/2014/chart" uri="{C3380CC4-5D6E-409C-BE32-E72D297353CC}">
              <c16:uniqueId val="{00000002-2103-D947-80C1-6AAC6B92FD1F}"/>
            </c:ext>
          </c:extLst>
        </c:ser>
        <c:ser>
          <c:idx val="3"/>
          <c:order val="3"/>
          <c:tx>
            <c:strRef>
              <c:f>Comparisonzero!$I$166</c:f>
              <c:strCache>
                <c:ptCount val="1"/>
                <c:pt idx="0">
                  <c:v>Mob/demob</c:v>
                </c:pt>
              </c:strCache>
            </c:strRef>
          </c:tx>
          <c:spPr>
            <a:solidFill>
              <a:srgbClr val="6967C7"/>
            </a:solidFill>
            <a:ln w="3175">
              <a:solidFill>
                <a:srgbClr val="333399"/>
              </a:solidFill>
              <a:prstDash val="solid"/>
            </a:ln>
          </c:spPr>
          <c:invertIfNegative val="0"/>
          <c:val>
            <c:numRef>
              <c:f>Comparisonzero!$J$166:$P$166</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Comparisonzero!$J$162:$P$162</c15:sqref>
                        </c15:formulaRef>
                      </c:ext>
                    </c:extLst>
                  </c:multiLvlStrRef>
                </c15:cat>
              </c15:filteredCategoryTitle>
            </c:ext>
            <c:ext xmlns:c16="http://schemas.microsoft.com/office/drawing/2014/chart" uri="{C3380CC4-5D6E-409C-BE32-E72D297353CC}">
              <c16:uniqueId val="{00000003-2103-D947-80C1-6AAC6B92FD1F}"/>
            </c:ext>
          </c:extLst>
        </c:ser>
        <c:ser>
          <c:idx val="4"/>
          <c:order val="4"/>
          <c:tx>
            <c:strRef>
              <c:f>Comparisonzero!$I$167</c:f>
              <c:strCache>
                <c:ptCount val="1"/>
                <c:pt idx="0">
                  <c:v>People's transportation</c:v>
                </c:pt>
              </c:strCache>
            </c:strRef>
          </c:tx>
          <c:spPr>
            <a:solidFill>
              <a:srgbClr val="59D1D4"/>
            </a:solidFill>
            <a:ln w="3175">
              <a:solidFill>
                <a:srgbClr val="339966"/>
              </a:solidFill>
              <a:prstDash val="solid"/>
            </a:ln>
          </c:spPr>
          <c:invertIfNegative val="0"/>
          <c:val>
            <c:numRef>
              <c:f>Comparisonzero!$J$167:$P$167</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Comparisonzero!$J$162:$P$162</c15:sqref>
                        </c15:formulaRef>
                      </c:ext>
                    </c:extLst>
                  </c:multiLvlStrRef>
                </c15:cat>
              </c15:filteredCategoryTitle>
            </c:ext>
            <c:ext xmlns:c16="http://schemas.microsoft.com/office/drawing/2014/chart" uri="{C3380CC4-5D6E-409C-BE32-E72D297353CC}">
              <c16:uniqueId val="{00000004-2103-D947-80C1-6AAC6B92FD1F}"/>
            </c:ext>
          </c:extLst>
        </c:ser>
        <c:ser>
          <c:idx val="5"/>
          <c:order val="5"/>
          <c:tx>
            <c:strRef>
              <c:f>Comparisonzero!$I$168</c:f>
              <c:strCache>
                <c:ptCount val="1"/>
                <c:pt idx="0">
                  <c:v>Assets</c:v>
                </c:pt>
              </c:strCache>
            </c:strRef>
          </c:tx>
          <c:spPr>
            <a:solidFill>
              <a:srgbClr val="9B59D4"/>
            </a:solidFill>
            <a:ln w="3175">
              <a:solidFill>
                <a:srgbClr val="666699"/>
              </a:solidFill>
              <a:prstDash val="solid"/>
            </a:ln>
          </c:spPr>
          <c:invertIfNegative val="0"/>
          <c:val>
            <c:numRef>
              <c:f>Comparisonzero!$J$168:$P$168</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Comparisonzero!$J$162:$P$162</c15:sqref>
                        </c15:formulaRef>
                      </c:ext>
                    </c:extLst>
                  </c:multiLvlStrRef>
                </c15:cat>
              </c15:filteredCategoryTitle>
            </c:ext>
            <c:ext xmlns:c16="http://schemas.microsoft.com/office/drawing/2014/chart" uri="{C3380CC4-5D6E-409C-BE32-E72D297353CC}">
              <c16:uniqueId val="{00000005-2103-D947-80C1-6AAC6B92FD1F}"/>
            </c:ext>
          </c:extLst>
        </c:ser>
        <c:ser>
          <c:idx val="6"/>
          <c:order val="6"/>
          <c:tx>
            <c:strRef>
              <c:f>Comparisonzero!$I$169</c:f>
              <c:strCache>
                <c:ptCount val="1"/>
                <c:pt idx="0">
                  <c:v>Waste</c:v>
                </c:pt>
              </c:strCache>
            </c:strRef>
          </c:tx>
          <c:spPr>
            <a:solidFill>
              <a:srgbClr val="F3C59C"/>
            </a:solidFill>
            <a:ln w="3175">
              <a:solidFill>
                <a:srgbClr val="A2BD90"/>
              </a:solidFill>
              <a:prstDash val="solid"/>
            </a:ln>
          </c:spPr>
          <c:invertIfNegative val="0"/>
          <c:val>
            <c:numRef>
              <c:f>Comparisonzero!$J$169:$P$169</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Comparisonzero!$J$162:$P$162</c15:sqref>
                        </c15:formulaRef>
                      </c:ext>
                    </c:extLst>
                  </c:multiLvlStrRef>
                </c15:cat>
              </c15:filteredCategoryTitle>
            </c:ext>
            <c:ext xmlns:c16="http://schemas.microsoft.com/office/drawing/2014/chart" uri="{C3380CC4-5D6E-409C-BE32-E72D297353CC}">
              <c16:uniqueId val="{00000006-2103-D947-80C1-6AAC6B92FD1F}"/>
            </c:ext>
          </c:extLst>
        </c:ser>
        <c:dLbls>
          <c:showLegendKey val="0"/>
          <c:showVal val="0"/>
          <c:showCatName val="0"/>
          <c:showSerName val="0"/>
          <c:showPercent val="0"/>
          <c:showBubbleSize val="0"/>
        </c:dLbls>
        <c:gapWidth val="150"/>
        <c:overlap val="100"/>
        <c:axId val="1993879496"/>
        <c:axId val="1993882872"/>
      </c:barChart>
      <c:lineChart>
        <c:grouping val="standard"/>
        <c:varyColors val="0"/>
        <c:ser>
          <c:idx val="7"/>
          <c:order val="7"/>
          <c:tx>
            <c:v>total</c:v>
          </c:tx>
          <c:spPr>
            <a:ln w="47625">
              <a:noFill/>
            </a:ln>
          </c:spPr>
          <c:marker>
            <c:symbol val="none"/>
          </c:marker>
          <c:dLbls>
            <c:spPr>
              <a:noFill/>
              <a:ln w="25400">
                <a:noFill/>
              </a:ln>
            </c:spPr>
            <c:txPr>
              <a:bodyPr wrap="square" lIns="38100" tIns="19050" rIns="38100" bIns="19050" anchor="ctr">
                <a:spAutoFit/>
              </a:bodyPr>
              <a:lstStyle/>
              <a:p>
                <a:pPr>
                  <a:defRPr sz="1000" b="1" i="0" u="none" strike="noStrike" baseline="0">
                    <a:solidFill>
                      <a:srgbClr val="333399"/>
                    </a:solidFill>
                    <a:latin typeface="Arial"/>
                    <a:ea typeface="Arial"/>
                    <a:cs typeface="Arial"/>
                  </a:defRPr>
                </a:pPr>
                <a:endParaRPr lang="de-DE"/>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Comparisonzero!$J$170:$P$170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7-2103-D947-80C1-6AAC6B92FD1F}"/>
            </c:ext>
          </c:extLst>
        </c:ser>
        <c:dLbls>
          <c:showLegendKey val="0"/>
          <c:showVal val="0"/>
          <c:showCatName val="0"/>
          <c:showSerName val="0"/>
          <c:showPercent val="0"/>
          <c:showBubbleSize val="0"/>
        </c:dLbls>
        <c:marker val="1"/>
        <c:smooth val="0"/>
        <c:axId val="1993879496"/>
        <c:axId val="1993882872"/>
      </c:lineChart>
      <c:catAx>
        <c:axId val="1993879496"/>
        <c:scaling>
          <c:orientation val="minMax"/>
        </c:scaling>
        <c:delete val="0"/>
        <c:axPos val="b"/>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3882872"/>
        <c:crosses val="autoZero"/>
        <c:auto val="1"/>
        <c:lblAlgn val="ctr"/>
        <c:lblOffset val="100"/>
        <c:noMultiLvlLbl val="0"/>
      </c:catAx>
      <c:valAx>
        <c:axId val="1993882872"/>
        <c:scaling>
          <c:orientation val="minMax"/>
        </c:scaling>
        <c:delete val="0"/>
        <c:axPos val="l"/>
        <c:majorGridlines>
          <c:spPr>
            <a:ln w="3175">
              <a:solidFill>
                <a:srgbClr val="666699"/>
              </a:solidFill>
              <a:prstDash val="solid"/>
            </a:ln>
          </c:spPr>
        </c:majorGridlines>
        <c:title>
          <c:tx>
            <c:strRef>
              <c:f>Comparisonzero!$Q$163</c:f>
              <c:strCache>
                <c:ptCount val="1"/>
                <c:pt idx="0">
                  <c:v>gCO2e / </c:v>
                </c:pt>
              </c:strCache>
            </c:strRef>
          </c:tx>
          <c:overlay val="0"/>
          <c:spPr>
            <a:noFill/>
            <a:ln w="25400">
              <a:noFill/>
            </a:ln>
          </c:spPr>
          <c:txPr>
            <a:bodyPr/>
            <a:lstStyle/>
            <a:p>
              <a:pPr>
                <a:defRPr sz="1000" b="1" i="0" u="none" strike="noStrike" baseline="0">
                  <a:solidFill>
                    <a:srgbClr val="333399"/>
                  </a:solidFill>
                  <a:latin typeface="Arial"/>
                  <a:ea typeface="Arial"/>
                  <a:cs typeface="Arial"/>
                </a:defRPr>
              </a:pPr>
              <a:endParaRPr lang="de-DE"/>
            </a:p>
          </c:txPr>
        </c:title>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3879496"/>
        <c:crosses val="autoZero"/>
        <c:crossBetween val="between"/>
      </c:valAx>
      <c:spPr>
        <a:noFill/>
        <a:ln w="25400">
          <a:noFill/>
        </a:ln>
      </c:spPr>
    </c:plotArea>
    <c:legend>
      <c:legendPos val="r"/>
      <c:legendEntry>
        <c:idx val="7"/>
        <c:delete val="1"/>
      </c:legendEntry>
      <c:layout>
        <c:manualLayout>
          <c:xMode val="edge"/>
          <c:yMode val="edge"/>
          <c:x val="0.80774539593339201"/>
          <c:y val="0.33858205716411399"/>
          <c:w val="0.177040110650069"/>
          <c:h val="0.49999937999875999"/>
        </c:manualLayout>
      </c:layout>
      <c:overlay val="0"/>
      <c:spPr>
        <a:noFill/>
        <a:ln w="25400">
          <a:noFill/>
        </a:ln>
      </c:spPr>
      <c:txPr>
        <a:bodyPr/>
        <a:lstStyle/>
        <a:p>
          <a:pPr>
            <a:defRPr sz="920" b="0" i="0" u="none" strike="noStrike" baseline="0">
              <a:solidFill>
                <a:srgbClr val="333399"/>
              </a:solidFill>
              <a:latin typeface="Arial"/>
              <a:ea typeface="Arial"/>
              <a:cs typeface="Arial"/>
            </a:defRPr>
          </a:pPr>
          <a:endParaRPr lang="de-DE"/>
        </a:p>
      </c:txPr>
    </c:legend>
    <c:plotVisOnly val="1"/>
    <c:dispBlanksAs val="gap"/>
    <c:showDLblsOverMax val="0"/>
  </c:chart>
  <c:spPr>
    <a:no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0"/>
    <c:plotArea>
      <c:layout/>
      <c:barChart>
        <c:barDir val="col"/>
        <c:grouping val="stacked"/>
        <c:varyColors val="0"/>
        <c:ser>
          <c:idx val="0"/>
          <c:order val="0"/>
          <c:tx>
            <c:strRef>
              <c:f>Comparisonzero!$I$174</c:f>
              <c:strCache>
                <c:ptCount val="1"/>
                <c:pt idx="0">
                  <c:v>Primary sources emissions</c:v>
                </c:pt>
              </c:strCache>
            </c:strRef>
          </c:tx>
          <c:spPr>
            <a:solidFill>
              <a:srgbClr val="18509E"/>
            </a:solidFill>
            <a:ln w="3175">
              <a:solidFill>
                <a:srgbClr val="333399"/>
              </a:solidFill>
              <a:prstDash val="solid"/>
            </a:ln>
          </c:spPr>
          <c:invertIfNegative val="0"/>
          <c:val>
            <c:numRef>
              <c:f>Comparisonzero!$J$174:$P$174</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Comparisonzero!$J$173:$P$173</c15:sqref>
                        </c15:formulaRef>
                      </c:ext>
                    </c:extLst>
                  </c:multiLvlStrRef>
                </c15:cat>
              </c15:filteredCategoryTitle>
            </c:ext>
            <c:ext xmlns:c16="http://schemas.microsoft.com/office/drawing/2014/chart" uri="{C3380CC4-5D6E-409C-BE32-E72D297353CC}">
              <c16:uniqueId val="{00000000-4D27-4D45-8950-7251BDD50CB3}"/>
            </c:ext>
          </c:extLst>
        </c:ser>
        <c:ser>
          <c:idx val="1"/>
          <c:order val="1"/>
          <c:tx>
            <c:strRef>
              <c:f>Comparisonzero!$I$175</c:f>
              <c:strCache>
                <c:ptCount val="1"/>
                <c:pt idx="0">
                  <c:v>Secondary sources emissions</c:v>
                </c:pt>
              </c:strCache>
            </c:strRef>
          </c:tx>
          <c:spPr>
            <a:solidFill>
              <a:srgbClr val="C6DAF6"/>
            </a:solidFill>
            <a:ln w="3175">
              <a:solidFill>
                <a:srgbClr val="333399"/>
              </a:solidFill>
              <a:prstDash val="solid"/>
            </a:ln>
          </c:spPr>
          <c:invertIfNegative val="0"/>
          <c:errBars>
            <c:errBarType val="both"/>
            <c:errValType val="cust"/>
            <c:noEndCap val="0"/>
            <c:plus>
              <c:numRef>
                <c:f>Comparisonzero!$J$176:$P$176</c:f>
                <c:numCache>
                  <c:formatCode>General</c:formatCode>
                  <c:ptCount val="6"/>
                  <c:pt idx="0">
                    <c:v>0</c:v>
                  </c:pt>
                  <c:pt idx="1">
                    <c:v>0</c:v>
                  </c:pt>
                  <c:pt idx="2">
                    <c:v>0</c:v>
                  </c:pt>
                  <c:pt idx="3">
                    <c:v>0</c:v>
                  </c:pt>
                  <c:pt idx="4">
                    <c:v>0</c:v>
                  </c:pt>
                  <c:pt idx="5">
                    <c:v>0</c:v>
                  </c:pt>
                </c:numCache>
              </c:numRef>
            </c:plus>
            <c:minus>
              <c:numRef>
                <c:f>Comparisonzero!$J$176:$P$176</c:f>
                <c:numCache>
                  <c:formatCode>General</c:formatCode>
                  <c:ptCount val="6"/>
                  <c:pt idx="0">
                    <c:v>0</c:v>
                  </c:pt>
                  <c:pt idx="1">
                    <c:v>0</c:v>
                  </c:pt>
                  <c:pt idx="2">
                    <c:v>0</c:v>
                  </c:pt>
                  <c:pt idx="3">
                    <c:v>0</c:v>
                  </c:pt>
                  <c:pt idx="4">
                    <c:v>0</c:v>
                  </c:pt>
                  <c:pt idx="5">
                    <c:v>0</c:v>
                  </c:pt>
                </c:numCache>
              </c:numRef>
            </c:minus>
            <c:spPr>
              <a:ln w="3175">
                <a:solidFill>
                  <a:srgbClr val="FF9900"/>
                </a:solidFill>
                <a:prstDash val="solid"/>
              </a:ln>
            </c:spPr>
          </c:errBars>
          <c:val>
            <c:numRef>
              <c:f>Comparisonzero!$J$175:$P$175</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Comparisonzero!$J$173:$P$173</c15:sqref>
                        </c15:formulaRef>
                      </c:ext>
                    </c:extLst>
                  </c:multiLvlStrRef>
                </c15:cat>
              </c15:filteredCategoryTitle>
            </c:ext>
            <c:ext xmlns:c16="http://schemas.microsoft.com/office/drawing/2014/chart" uri="{C3380CC4-5D6E-409C-BE32-E72D297353CC}">
              <c16:uniqueId val="{00000001-4D27-4D45-8950-7251BDD50CB3}"/>
            </c:ext>
          </c:extLst>
        </c:ser>
        <c:dLbls>
          <c:showLegendKey val="0"/>
          <c:showVal val="0"/>
          <c:showCatName val="0"/>
          <c:showSerName val="0"/>
          <c:showPercent val="0"/>
          <c:showBubbleSize val="0"/>
        </c:dLbls>
        <c:gapWidth val="150"/>
        <c:overlap val="100"/>
        <c:axId val="1994588296"/>
        <c:axId val="1994591640"/>
      </c:barChart>
      <c:catAx>
        <c:axId val="1994588296"/>
        <c:scaling>
          <c:orientation val="minMax"/>
        </c:scaling>
        <c:delete val="0"/>
        <c:axPos val="b"/>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4591640"/>
        <c:crosses val="autoZero"/>
        <c:auto val="1"/>
        <c:lblAlgn val="ctr"/>
        <c:lblOffset val="100"/>
        <c:noMultiLvlLbl val="0"/>
      </c:catAx>
      <c:valAx>
        <c:axId val="1994591640"/>
        <c:scaling>
          <c:orientation val="minMax"/>
        </c:scaling>
        <c:delete val="0"/>
        <c:axPos val="l"/>
        <c:majorGridlines>
          <c:spPr>
            <a:ln w="3175">
              <a:solidFill>
                <a:srgbClr val="666699"/>
              </a:solidFill>
              <a:prstDash val="solid"/>
            </a:ln>
          </c:spPr>
        </c:majorGridlines>
        <c:title>
          <c:tx>
            <c:strRef>
              <c:f>Comparisonzero!$Q$174</c:f>
              <c:strCache>
                <c:ptCount val="1"/>
                <c:pt idx="0">
                  <c:v>tCO2e</c:v>
                </c:pt>
              </c:strCache>
            </c:strRef>
          </c:tx>
          <c:overlay val="0"/>
          <c:spPr>
            <a:noFill/>
            <a:ln w="25400">
              <a:noFill/>
            </a:ln>
          </c:spPr>
          <c:txPr>
            <a:bodyPr/>
            <a:lstStyle/>
            <a:p>
              <a:pPr>
                <a:defRPr sz="1000" b="1" i="0" u="none" strike="noStrike" baseline="0">
                  <a:solidFill>
                    <a:srgbClr val="333399"/>
                  </a:solidFill>
                  <a:latin typeface="Arial"/>
                  <a:ea typeface="Arial"/>
                  <a:cs typeface="Arial"/>
                </a:defRPr>
              </a:pPr>
              <a:endParaRPr lang="de-DE"/>
            </a:p>
          </c:txPr>
        </c:title>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4588296"/>
        <c:crosses val="autoZero"/>
        <c:crossBetween val="between"/>
      </c:valAx>
      <c:spPr>
        <a:noFill/>
        <a:ln w="25400">
          <a:noFill/>
        </a:ln>
      </c:spPr>
    </c:plotArea>
    <c:legend>
      <c:legendPos val="r"/>
      <c:layout>
        <c:manualLayout>
          <c:xMode val="edge"/>
          <c:yMode val="edge"/>
          <c:x val="0.76210224240642099"/>
          <c:y val="0.41393539434619903"/>
          <c:w val="0.22130013831258599"/>
          <c:h val="0.14754130631212101"/>
        </c:manualLayout>
      </c:layout>
      <c:overlay val="0"/>
      <c:spPr>
        <a:noFill/>
        <a:ln w="25400">
          <a:noFill/>
        </a:ln>
      </c:spPr>
      <c:txPr>
        <a:bodyPr/>
        <a:lstStyle/>
        <a:p>
          <a:pPr>
            <a:defRPr sz="920" b="0" i="0" u="none" strike="noStrike" baseline="0">
              <a:solidFill>
                <a:srgbClr val="333399"/>
              </a:solidFill>
              <a:latin typeface="Arial"/>
              <a:ea typeface="Arial"/>
              <a:cs typeface="Arial"/>
            </a:defRPr>
          </a:pPr>
          <a:endParaRPr lang="de-DE"/>
        </a:p>
      </c:txPr>
    </c:legend>
    <c:plotVisOnly val="1"/>
    <c:dispBlanksAs val="gap"/>
    <c:showDLblsOverMax val="0"/>
  </c:chart>
  <c:spPr>
    <a:no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Comparisonzero!$AG$16</c:f>
          <c:strCache>
            <c:ptCount val="1"/>
            <c:pt idx="0">
              <c:v>Materials detail</c:v>
            </c:pt>
          </c:strCache>
        </c:strRef>
      </c:tx>
      <c:overlay val="0"/>
      <c:spPr>
        <a:noFill/>
        <a:ln w="25400">
          <a:noFill/>
        </a:ln>
      </c:spPr>
      <c:txPr>
        <a:bodyPr/>
        <a:lstStyle/>
        <a:p>
          <a:pPr>
            <a:defRPr sz="1200" b="0" i="0" u="none" strike="noStrike" baseline="0">
              <a:solidFill>
                <a:srgbClr val="333399"/>
              </a:solidFill>
              <a:latin typeface="Arial"/>
              <a:ea typeface="Arial"/>
              <a:cs typeface="Arial"/>
            </a:defRPr>
          </a:pPr>
          <a:endParaRPr lang="de-DE"/>
        </a:p>
      </c:txPr>
    </c:title>
    <c:autoTitleDeleted val="0"/>
    <c:plotArea>
      <c:layout/>
      <c:barChart>
        <c:barDir val="col"/>
        <c:grouping val="stacked"/>
        <c:varyColors val="0"/>
        <c:ser>
          <c:idx val="0"/>
          <c:order val="0"/>
          <c:tx>
            <c:strRef>
              <c:f>Comparisonzero!$I$179</c:f>
              <c:strCache>
                <c:ptCount val="1"/>
                <c:pt idx="0">
                  <c:v>Concrete / Slurry / Grout mix</c:v>
                </c:pt>
              </c:strCache>
            </c:strRef>
          </c:tx>
          <c:spPr>
            <a:solidFill>
              <a:srgbClr val="9A5A10"/>
            </a:solidFill>
            <a:ln w="3175">
              <a:solidFill>
                <a:srgbClr val="FF9900"/>
              </a:solidFill>
              <a:prstDash val="solid"/>
            </a:ln>
          </c:spPr>
          <c:invertIfNegative val="0"/>
          <c:val>
            <c:numRef>
              <c:f>Comparisonzero!$J$179:$P$179</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Comparisonzero!$J$178:$P$178</c15:sqref>
                        </c15:formulaRef>
                      </c:ext>
                    </c:extLst>
                  </c:multiLvlStrRef>
                </c15:cat>
              </c15:filteredCategoryTitle>
            </c:ext>
            <c:ext xmlns:c16="http://schemas.microsoft.com/office/drawing/2014/chart" uri="{C3380CC4-5D6E-409C-BE32-E72D297353CC}">
              <c16:uniqueId val="{00000000-2031-A94B-B330-B844B7C81C57}"/>
            </c:ext>
          </c:extLst>
        </c:ser>
        <c:ser>
          <c:idx val="1"/>
          <c:order val="1"/>
          <c:tx>
            <c:strRef>
              <c:f>Comparisonzero!$I$180</c:f>
              <c:strCache>
                <c:ptCount val="1"/>
                <c:pt idx="0">
                  <c:v>Steel</c:v>
                </c:pt>
              </c:strCache>
            </c:strRef>
          </c:tx>
          <c:spPr>
            <a:solidFill>
              <a:srgbClr val="EFAF66"/>
            </a:solidFill>
            <a:ln w="3175">
              <a:solidFill>
                <a:srgbClr val="FF9900"/>
              </a:solidFill>
              <a:prstDash val="solid"/>
            </a:ln>
          </c:spPr>
          <c:invertIfNegative val="0"/>
          <c:val>
            <c:numRef>
              <c:f>Comparisonzero!$J$180:$P$180</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Comparisonzero!$J$178:$P$178</c15:sqref>
                        </c15:formulaRef>
                      </c:ext>
                    </c:extLst>
                  </c:multiLvlStrRef>
                </c15:cat>
              </c15:filteredCategoryTitle>
            </c:ext>
            <c:ext xmlns:c16="http://schemas.microsoft.com/office/drawing/2014/chart" uri="{C3380CC4-5D6E-409C-BE32-E72D297353CC}">
              <c16:uniqueId val="{00000001-2031-A94B-B330-B844B7C81C57}"/>
            </c:ext>
          </c:extLst>
        </c:ser>
        <c:ser>
          <c:idx val="2"/>
          <c:order val="2"/>
          <c:tx>
            <c:strRef>
              <c:f>Comparisonzero!$I$181</c:f>
              <c:strCache>
                <c:ptCount val="1"/>
                <c:pt idx="0">
                  <c:v>Other materials</c:v>
                </c:pt>
              </c:strCache>
            </c:strRef>
          </c:tx>
          <c:spPr>
            <a:solidFill>
              <a:srgbClr val="FCEFE0"/>
            </a:solidFill>
            <a:ln w="3175">
              <a:solidFill>
                <a:srgbClr val="FF9900"/>
              </a:solidFill>
              <a:prstDash val="solid"/>
            </a:ln>
          </c:spPr>
          <c:invertIfNegative val="0"/>
          <c:val>
            <c:numRef>
              <c:f>Comparisonzero!$J$181:$P$181</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Comparisonzero!$J$178:$P$178</c15:sqref>
                        </c15:formulaRef>
                      </c:ext>
                    </c:extLst>
                  </c:multiLvlStrRef>
                </c15:cat>
              </c15:filteredCategoryTitle>
            </c:ext>
            <c:ext xmlns:c16="http://schemas.microsoft.com/office/drawing/2014/chart" uri="{C3380CC4-5D6E-409C-BE32-E72D297353CC}">
              <c16:uniqueId val="{00000002-2031-A94B-B330-B844B7C81C57}"/>
            </c:ext>
          </c:extLst>
        </c:ser>
        <c:ser>
          <c:idx val="3"/>
          <c:order val="3"/>
          <c:tx>
            <c:strRef>
              <c:f>Comparisonzero!$I$182</c:f>
              <c:strCache>
                <c:ptCount val="1"/>
                <c:pt idx="0">
                  <c:v>Other emission sources</c:v>
                </c:pt>
              </c:strCache>
            </c:strRef>
          </c:tx>
          <c:spPr>
            <a:solidFill>
              <a:srgbClr val="7775E1"/>
            </a:solidFill>
            <a:ln w="3175">
              <a:solidFill>
                <a:srgbClr val="666699"/>
              </a:solidFill>
              <a:prstDash val="solid"/>
            </a:ln>
          </c:spPr>
          <c:invertIfNegative val="0"/>
          <c:val>
            <c:numRef>
              <c:f>Comparisonzero!$J$182:$P$182</c:f>
              <c:numCache>
                <c:formatCode>#,##0</c:formatCode>
                <c:ptCount val="6"/>
                <c:pt idx="0">
                  <c:v>0</c:v>
                </c:pt>
                <c:pt idx="1">
                  <c:v>0</c:v>
                </c:pt>
                <c:pt idx="2">
                  <c:v>0</c:v>
                </c:pt>
                <c:pt idx="3">
                  <c:v>0</c:v>
                </c:pt>
                <c:pt idx="4">
                  <c:v>0</c:v>
                </c:pt>
                <c:pt idx="5">
                  <c:v>0</c:v>
                </c:pt>
              </c:numCache>
            </c:numRef>
          </c:val>
          <c:extLst>
            <c:ext xmlns:c15="http://schemas.microsoft.com/office/drawing/2012/chart" uri="{02D57815-91ED-43cb-92C2-25804820EDAC}">
              <c15:filteredCategoryTitle>
                <c15:cat>
                  <c:multiLvlStrRef>
                    <c:extLst>
                      <c:ext uri="{02D57815-91ED-43cb-92C2-25804820EDAC}">
                        <c15:formulaRef>
                          <c15:sqref>Comparisonzero!$J$178:$P$178</c15:sqref>
                        </c15:formulaRef>
                      </c:ext>
                    </c:extLst>
                  </c:multiLvlStrRef>
                </c15:cat>
              </c15:filteredCategoryTitle>
            </c:ext>
            <c:ext xmlns:c16="http://schemas.microsoft.com/office/drawing/2014/chart" uri="{C3380CC4-5D6E-409C-BE32-E72D297353CC}">
              <c16:uniqueId val="{00000003-2031-A94B-B330-B844B7C81C57}"/>
            </c:ext>
          </c:extLst>
        </c:ser>
        <c:dLbls>
          <c:showLegendKey val="0"/>
          <c:showVal val="0"/>
          <c:showCatName val="0"/>
          <c:showSerName val="0"/>
          <c:showPercent val="0"/>
          <c:showBubbleSize val="0"/>
        </c:dLbls>
        <c:gapWidth val="150"/>
        <c:overlap val="100"/>
        <c:axId val="1993905576"/>
        <c:axId val="1993909032"/>
      </c:barChart>
      <c:catAx>
        <c:axId val="1993905576"/>
        <c:scaling>
          <c:orientation val="minMax"/>
        </c:scaling>
        <c:delete val="0"/>
        <c:axPos val="b"/>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3909032"/>
        <c:crosses val="autoZero"/>
        <c:auto val="1"/>
        <c:lblAlgn val="ctr"/>
        <c:lblOffset val="100"/>
        <c:noMultiLvlLbl val="0"/>
      </c:catAx>
      <c:valAx>
        <c:axId val="1993909032"/>
        <c:scaling>
          <c:orientation val="minMax"/>
        </c:scaling>
        <c:delete val="0"/>
        <c:axPos val="l"/>
        <c:majorGridlines>
          <c:spPr>
            <a:ln w="3175">
              <a:solidFill>
                <a:srgbClr val="666699"/>
              </a:solidFill>
              <a:prstDash val="solid"/>
            </a:ln>
          </c:spPr>
        </c:majorGridlines>
        <c:title>
          <c:tx>
            <c:strRef>
              <c:f>Comparisonzero!$Q$174</c:f>
              <c:strCache>
                <c:ptCount val="1"/>
                <c:pt idx="0">
                  <c:v>tCO2e</c:v>
                </c:pt>
              </c:strCache>
            </c:strRef>
          </c:tx>
          <c:overlay val="0"/>
          <c:spPr>
            <a:noFill/>
            <a:ln w="25400">
              <a:noFill/>
            </a:ln>
          </c:spPr>
          <c:txPr>
            <a:bodyPr/>
            <a:lstStyle/>
            <a:p>
              <a:pPr>
                <a:defRPr sz="1000" b="1" i="0" u="none" strike="noStrike" baseline="0">
                  <a:solidFill>
                    <a:srgbClr val="333399"/>
                  </a:solidFill>
                  <a:latin typeface="Arial"/>
                  <a:ea typeface="Arial"/>
                  <a:cs typeface="Arial"/>
                </a:defRPr>
              </a:pPr>
              <a:endParaRPr lang="de-DE"/>
            </a:p>
          </c:txPr>
        </c:title>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333399"/>
                </a:solidFill>
                <a:latin typeface="Arial"/>
                <a:ea typeface="Arial"/>
                <a:cs typeface="Arial"/>
              </a:defRPr>
            </a:pPr>
            <a:endParaRPr lang="de-DE"/>
          </a:p>
        </c:txPr>
        <c:crossAx val="1993905576"/>
        <c:crosses val="autoZero"/>
        <c:crossBetween val="between"/>
      </c:valAx>
      <c:spPr>
        <a:noFill/>
        <a:ln w="25400">
          <a:noFill/>
        </a:ln>
      </c:spPr>
    </c:plotArea>
    <c:legend>
      <c:legendPos val="r"/>
      <c:layout>
        <c:manualLayout>
          <c:xMode val="edge"/>
          <c:yMode val="edge"/>
          <c:x val="0.77455037518650405"/>
          <c:y val="0.44401513999939202"/>
          <c:w val="0.21161825726141101"/>
          <c:h val="0.27799197397622599"/>
        </c:manualLayout>
      </c:layout>
      <c:overlay val="0"/>
      <c:spPr>
        <a:noFill/>
        <a:ln w="25400">
          <a:noFill/>
        </a:ln>
      </c:spPr>
      <c:txPr>
        <a:bodyPr/>
        <a:lstStyle/>
        <a:p>
          <a:pPr>
            <a:defRPr sz="920" b="0" i="0" u="none" strike="noStrike" baseline="0">
              <a:solidFill>
                <a:srgbClr val="333399"/>
              </a:solidFill>
              <a:latin typeface="Arial"/>
              <a:ea typeface="Arial"/>
              <a:cs typeface="Arial"/>
            </a:defRPr>
          </a:pPr>
          <a:endParaRPr lang="de-DE"/>
        </a:p>
      </c:txPr>
    </c:legend>
    <c:plotVisOnly val="1"/>
    <c:dispBlanksAs val="gap"/>
    <c:showDLblsOverMax val="0"/>
  </c:chart>
  <c:spPr>
    <a:noFill/>
    <a:ln w="9525">
      <a:noFill/>
    </a:ln>
  </c:spPr>
  <c:txPr>
    <a:bodyPr/>
    <a:lstStyle/>
    <a:p>
      <a:pPr>
        <a:defRPr sz="1000" b="0" i="0" u="none" strike="noStrike" baseline="0">
          <a:solidFill>
            <a:srgbClr val="333399"/>
          </a:solidFill>
          <a:latin typeface="Arial"/>
          <a:ea typeface="Arial"/>
          <a:cs typeface="Arial"/>
        </a:defRPr>
      </a:pPr>
      <a:endParaRPr lang="de-DE"/>
    </a:p>
  </c:txPr>
  <c:printSettings>
    <c:headerFooter/>
    <c:pageMargins b="0.75" l="0.75" r="0.75" t="0.75" header="0.5" footer="0.5"/>
    <c:pageSetup orientation="portrait"/>
  </c:printSettings>
</c:chartSpace>
</file>

<file path=xl/ctrlProps/ctrlProp1.xml><?xml version="1.0" encoding="utf-8"?>
<formControlPr xmlns="http://schemas.microsoft.com/office/spreadsheetml/2009/9/main" objectType="CheckBox" fmlaLink="$N$17" lockText="1" noThreeD="1"/>
</file>

<file path=xl/ctrlProps/ctrlProp2.xml><?xml version="1.0" encoding="utf-8"?>
<formControlPr xmlns="http://schemas.microsoft.com/office/spreadsheetml/2009/9/main" objectType="CheckBox" fmlaLink="$N$18" lockText="1" noThreeD="1"/>
</file>

<file path=xl/ctrlProps/ctrlProp3.xml><?xml version="1.0" encoding="utf-8"?>
<formControlPr xmlns="http://schemas.microsoft.com/office/spreadsheetml/2009/9/main" objectType="CheckBox" fmlaLink="$N$19" lockText="1" noThreeD="1"/>
</file>

<file path=xl/ctrlProps/ctrlProp4.xml><?xml version="1.0" encoding="utf-8"?>
<formControlPr xmlns="http://schemas.microsoft.com/office/spreadsheetml/2009/9/main" objectType="CheckBox" checked="Checked" fmlaLink="$V$13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7.png"/><Relationship Id="rId1" Type="http://schemas.openxmlformats.org/officeDocument/2006/relationships/chart" Target="../charts/chart1.xml"/><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7.png"/><Relationship Id="rId1" Type="http://schemas.openxmlformats.org/officeDocument/2006/relationships/chart" Target="../charts/chart3.xml"/><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7.png"/><Relationship Id="rId1" Type="http://schemas.openxmlformats.org/officeDocument/2006/relationships/chart" Target="../charts/chart5.xml"/><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image" Target="../media/image5.png"/><Relationship Id="rId5" Type="http://schemas.openxmlformats.org/officeDocument/2006/relationships/chart" Target="../charts/chart11.xml"/><Relationship Id="rId4"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image" Target="../media/image5.png"/><Relationship Id="rId5" Type="http://schemas.openxmlformats.org/officeDocument/2006/relationships/image" Target="../media/image3.emf"/><Relationship Id="rId4" Type="http://schemas.openxmlformats.org/officeDocument/2006/relationships/image" Target="../media/image2.emf"/></Relationships>
</file>

<file path=xl/drawings/_rels/drawing8.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chart" Target="../charts/chart15.xml"/><Relationship Id="rId7" Type="http://schemas.openxmlformats.org/officeDocument/2006/relationships/image" Target="../media/image5.png"/><Relationship Id="rId2" Type="http://schemas.openxmlformats.org/officeDocument/2006/relationships/chart" Target="../charts/chart14.xml"/><Relationship Id="rId1" Type="http://schemas.openxmlformats.org/officeDocument/2006/relationships/image" Target="../media/image8.png"/><Relationship Id="rId6" Type="http://schemas.openxmlformats.org/officeDocument/2006/relationships/chart" Target="../charts/chart18.xml"/><Relationship Id="rId5" Type="http://schemas.openxmlformats.org/officeDocument/2006/relationships/chart" Target="../charts/chart17.xml"/><Relationship Id="rId10" Type="http://schemas.openxmlformats.org/officeDocument/2006/relationships/image" Target="../media/image1.png"/><Relationship Id="rId4" Type="http://schemas.openxmlformats.org/officeDocument/2006/relationships/chart" Target="../charts/chart16.xml"/><Relationship Id="rId9" Type="http://schemas.openxmlformats.org/officeDocument/2006/relationships/image" Target="../media/image3.emf"/></Relationships>
</file>

<file path=xl/drawings/_rels/drawing10.xml.rels><?xml version="1.0" encoding="UTF-8" standalone="yes"?>
<Relationships xmlns="http://schemas.openxmlformats.org/package/2006/relationships"><Relationship Id="rId2" Type="http://schemas.openxmlformats.org/officeDocument/2006/relationships/hyperlink" Target="#'READ ME'!D18"/><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860425</xdr:colOff>
      <xdr:row>41</xdr:row>
      <xdr:rowOff>114300</xdr:rowOff>
    </xdr:from>
    <xdr:to>
      <xdr:col>4</xdr:col>
      <xdr:colOff>2235132</xdr:colOff>
      <xdr:row>41</xdr:row>
      <xdr:rowOff>596900</xdr:rowOff>
    </xdr:to>
    <xdr:sp macro="[0]!GoHome" textlink="Lists!H17">
      <xdr:nvSpPr>
        <xdr:cNvPr id="10" name="Rectangle à coins arrondis 9">
          <a:extLst>
            <a:ext uri="{FF2B5EF4-FFF2-40B4-BE49-F238E27FC236}">
              <a16:creationId xmlns:a16="http://schemas.microsoft.com/office/drawing/2014/main" id="{00000000-0008-0000-0000-00000A000000}"/>
            </a:ext>
          </a:extLst>
        </xdr:cNvPr>
        <xdr:cNvSpPr/>
      </xdr:nvSpPr>
      <xdr:spPr>
        <a:xfrm>
          <a:off x="2209800" y="8763000"/>
          <a:ext cx="2425700" cy="482600"/>
        </a:xfrm>
        <a:prstGeom prst="roundRect">
          <a:avLst>
            <a:gd name="adj" fmla="val 36667"/>
          </a:avLst>
        </a:prstGeom>
        <a:ln>
          <a:solidFill>
            <a:schemeClr val="tx2">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fld id="{4CE2A164-B4D8-0743-94C5-F969029C3CD3}" type="TxLink">
            <a:rPr lang="fr-FR" sz="1200" b="1">
              <a:solidFill>
                <a:schemeClr val="tx1"/>
              </a:solidFill>
            </a:rPr>
            <a:pPr algn="ctr"/>
            <a:t>Start</a:t>
          </a:fld>
          <a:endParaRPr lang="fr-FR" sz="1200" b="1">
            <a:solidFill>
              <a:schemeClr val="tx1"/>
            </a:solidFill>
          </a:endParaRPr>
        </a:p>
      </xdr:txBody>
    </xdr:sp>
    <xdr:clientData/>
  </xdr:twoCellAnchor>
  <xdr:twoCellAnchor editAs="oneCell">
    <xdr:from>
      <xdr:col>4</xdr:col>
      <xdr:colOff>342900</xdr:colOff>
      <xdr:row>3</xdr:row>
      <xdr:rowOff>0</xdr:rowOff>
    </xdr:from>
    <xdr:to>
      <xdr:col>4</xdr:col>
      <xdr:colOff>2235200</xdr:colOff>
      <xdr:row>3</xdr:row>
      <xdr:rowOff>622300</xdr:rowOff>
    </xdr:to>
    <xdr:pic>
      <xdr:nvPicPr>
        <xdr:cNvPr id="13615893" name="Image 2" descr="LOGO-C4.gif">
          <a:extLst>
            <a:ext uri="{FF2B5EF4-FFF2-40B4-BE49-F238E27FC236}">
              <a16:creationId xmlns:a16="http://schemas.microsoft.com/office/drawing/2014/main" id="{00000000-0008-0000-0000-000015C3CF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43200" y="723900"/>
          <a:ext cx="1892300" cy="6223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xdr:col>
      <xdr:colOff>76200</xdr:colOff>
      <xdr:row>3</xdr:row>
      <xdr:rowOff>114300</xdr:rowOff>
    </xdr:from>
    <xdr:to>
      <xdr:col>3</xdr:col>
      <xdr:colOff>25400</xdr:colOff>
      <xdr:row>3</xdr:row>
      <xdr:rowOff>558800</xdr:rowOff>
    </xdr:to>
    <xdr:pic>
      <xdr:nvPicPr>
        <xdr:cNvPr id="13615894" name="Image 3">
          <a:extLst>
            <a:ext uri="{FF2B5EF4-FFF2-40B4-BE49-F238E27FC236}">
              <a16:creationId xmlns:a16="http://schemas.microsoft.com/office/drawing/2014/main" id="{00000000-0008-0000-0000-000016C3CF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9900" y="838200"/>
          <a:ext cx="901700" cy="4445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419100</xdr:colOff>
      <xdr:row>3</xdr:row>
      <xdr:rowOff>12700</xdr:rowOff>
    </xdr:from>
    <xdr:to>
      <xdr:col>4</xdr:col>
      <xdr:colOff>12700</xdr:colOff>
      <xdr:row>3</xdr:row>
      <xdr:rowOff>673100</xdr:rowOff>
    </xdr:to>
    <xdr:pic>
      <xdr:nvPicPr>
        <xdr:cNvPr id="13615895" name="Image 4">
          <a:extLst>
            <a:ext uri="{FF2B5EF4-FFF2-40B4-BE49-F238E27FC236}">
              <a16:creationId xmlns:a16="http://schemas.microsoft.com/office/drawing/2014/main" id="{00000000-0008-0000-0000-000017C3CF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65300" y="736600"/>
          <a:ext cx="647700" cy="660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596900</xdr:colOff>
      <xdr:row>10</xdr:row>
      <xdr:rowOff>50800</xdr:rowOff>
    </xdr:from>
    <xdr:to>
      <xdr:col>6</xdr:col>
      <xdr:colOff>558800</xdr:colOff>
      <xdr:row>13</xdr:row>
      <xdr:rowOff>38100</xdr:rowOff>
    </xdr:to>
    <xdr:pic>
      <xdr:nvPicPr>
        <xdr:cNvPr id="13615896" name="Image 1">
          <a:extLst>
            <a:ext uri="{FF2B5EF4-FFF2-40B4-BE49-F238E27FC236}">
              <a16:creationId xmlns:a16="http://schemas.microsoft.com/office/drawing/2014/main" id="{00000000-0008-0000-0000-000018C3CF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134100" y="2921000"/>
          <a:ext cx="1117600" cy="393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2</xdr:col>
      <xdr:colOff>361950</xdr:colOff>
      <xdr:row>17</xdr:row>
      <xdr:rowOff>76200</xdr:rowOff>
    </xdr:from>
    <xdr:to>
      <xdr:col>2</xdr:col>
      <xdr:colOff>847680</xdr:colOff>
      <xdr:row>17</xdr:row>
      <xdr:rowOff>394170</xdr:rowOff>
    </xdr:to>
    <xdr:sp macro="" textlink="">
      <xdr:nvSpPr>
        <xdr:cNvPr id="7" name="Flèche vers la droite 6">
          <a:extLst>
            <a:ext uri="{FF2B5EF4-FFF2-40B4-BE49-F238E27FC236}">
              <a16:creationId xmlns:a16="http://schemas.microsoft.com/office/drawing/2014/main" id="{00000000-0008-0000-0000-000007000000}"/>
            </a:ext>
          </a:extLst>
        </xdr:cNvPr>
        <xdr:cNvSpPr/>
      </xdr:nvSpPr>
      <xdr:spPr>
        <a:xfrm>
          <a:off x="762000" y="4203700"/>
          <a:ext cx="482600" cy="330200"/>
        </a:xfrm>
        <a:prstGeom prst="rightArrow">
          <a:avLst/>
        </a:prstGeom>
        <a:ln/>
      </xdr:spPr>
      <xdr:style>
        <a:lnRef idx="2">
          <a:schemeClr val="dk1">
            <a:shade val="50000"/>
          </a:schemeClr>
        </a:lnRef>
        <a:fillRef idx="1">
          <a:schemeClr val="dk1"/>
        </a:fillRef>
        <a:effectRef idx="0">
          <a:schemeClr val="dk1"/>
        </a:effectRef>
        <a:fontRef idx="minor">
          <a:schemeClr val="lt1"/>
        </a:fontRef>
      </xdr:style>
      <xdr:txBody>
        <a:bodyPr wrap="square"/>
        <a:lstStyle/>
        <a:p>
          <a:endParaRPr lang="fr-FR"/>
        </a:p>
      </xdr:txBody>
    </xdr:sp>
    <xdr:clientData/>
  </xdr:twoCellAnchor>
  <xdr:twoCellAnchor>
    <xdr:from>
      <xdr:col>4</xdr:col>
      <xdr:colOff>1349375</xdr:colOff>
      <xdr:row>33</xdr:row>
      <xdr:rowOff>31751</xdr:rowOff>
    </xdr:from>
    <xdr:to>
      <xdr:col>4</xdr:col>
      <xdr:colOff>3038475</xdr:colOff>
      <xdr:row>34</xdr:row>
      <xdr:rowOff>9769</xdr:rowOff>
    </xdr:to>
    <xdr:sp macro="[0]!Feuil1.Loadlogo" textlink="Lists!H14">
      <xdr:nvSpPr>
        <xdr:cNvPr id="8" name="Rectangle à coins arrondis 7">
          <a:extLst>
            <a:ext uri="{FF2B5EF4-FFF2-40B4-BE49-F238E27FC236}">
              <a16:creationId xmlns:a16="http://schemas.microsoft.com/office/drawing/2014/main" id="{00000000-0008-0000-0000-000008000000}"/>
            </a:ext>
          </a:extLst>
        </xdr:cNvPr>
        <xdr:cNvSpPr/>
      </xdr:nvSpPr>
      <xdr:spPr>
        <a:xfrm>
          <a:off x="3613150" y="7267576"/>
          <a:ext cx="1625600" cy="314324"/>
        </a:xfrm>
        <a:prstGeom prst="roundRect">
          <a:avLst>
            <a:gd name="adj" fmla="val 36667"/>
          </a:avLst>
        </a:prstGeom>
        <a:ln>
          <a:solidFill>
            <a:schemeClr val="tx2">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fld id="{347BF206-6B15-6C41-A2BE-56B5FD3BE7AD}" type="TxLink">
            <a:rPr lang="fr-FR" sz="1100" b="1">
              <a:solidFill>
                <a:schemeClr val="tx1"/>
              </a:solidFill>
            </a:rPr>
            <a:pPr algn="ctr"/>
            <a:t>Load your logo</a:t>
          </a:fld>
          <a:endParaRPr lang="fr-FR" sz="1100" b="1">
            <a:solidFill>
              <a:schemeClr val="tx1"/>
            </a:solidFill>
          </a:endParaRPr>
        </a:p>
      </xdr:txBody>
    </xdr:sp>
    <xdr:clientData/>
  </xdr:twoCellAnchor>
  <xdr:twoCellAnchor editAs="oneCell">
    <xdr:from>
      <xdr:col>3</xdr:col>
      <xdr:colOff>977900</xdr:colOff>
      <xdr:row>41</xdr:row>
      <xdr:rowOff>177800</xdr:rowOff>
    </xdr:from>
    <xdr:to>
      <xdr:col>4</xdr:col>
      <xdr:colOff>304800</xdr:colOff>
      <xdr:row>41</xdr:row>
      <xdr:rowOff>533400</xdr:rowOff>
    </xdr:to>
    <xdr:pic macro="[0]!GoHome">
      <xdr:nvPicPr>
        <xdr:cNvPr id="13615899" name="Image 1">
          <a:extLst>
            <a:ext uri="{FF2B5EF4-FFF2-40B4-BE49-F238E27FC236}">
              <a16:creationId xmlns:a16="http://schemas.microsoft.com/office/drawing/2014/main" id="{00000000-0008-0000-0000-00001BC3CF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324100" y="9537700"/>
          <a:ext cx="381000" cy="355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4</xdr:col>
      <xdr:colOff>2466975</xdr:colOff>
      <xdr:row>17</xdr:row>
      <xdr:rowOff>88900</xdr:rowOff>
    </xdr:from>
    <xdr:to>
      <xdr:col>4</xdr:col>
      <xdr:colOff>2952705</xdr:colOff>
      <xdr:row>17</xdr:row>
      <xdr:rowOff>419100</xdr:rowOff>
    </xdr:to>
    <xdr:sp macro="" textlink="">
      <xdr:nvSpPr>
        <xdr:cNvPr id="11" name="Flèche vers la droite 10">
          <a:extLst>
            <a:ext uri="{FF2B5EF4-FFF2-40B4-BE49-F238E27FC236}">
              <a16:creationId xmlns:a16="http://schemas.microsoft.com/office/drawing/2014/main" id="{00000000-0008-0000-0000-00000B000000}"/>
            </a:ext>
          </a:extLst>
        </xdr:cNvPr>
        <xdr:cNvSpPr/>
      </xdr:nvSpPr>
      <xdr:spPr>
        <a:xfrm>
          <a:off x="4864100" y="4216400"/>
          <a:ext cx="482600" cy="330200"/>
        </a:xfrm>
        <a:prstGeom prst="rightArrow">
          <a:avLst/>
        </a:prstGeom>
        <a:ln/>
      </xdr:spPr>
      <xdr:style>
        <a:lnRef idx="2">
          <a:schemeClr val="dk1">
            <a:shade val="50000"/>
          </a:schemeClr>
        </a:lnRef>
        <a:fillRef idx="1">
          <a:schemeClr val="dk1"/>
        </a:fillRef>
        <a:effectRef idx="0">
          <a:schemeClr val="dk1"/>
        </a:effectRef>
        <a:fontRef idx="minor">
          <a:schemeClr val="lt1"/>
        </a:fontRef>
      </xdr:style>
      <xdr:txBody>
        <a:bodyPr wrap="square"/>
        <a:lstStyle/>
        <a:p>
          <a:endParaRPr lang="fr-FR"/>
        </a:p>
      </xdr:txBody>
    </xdr:sp>
    <xdr:clientData/>
  </xdr:twoCellAnchor>
  <xdr:twoCellAnchor>
    <xdr:from>
      <xdr:col>9</xdr:col>
      <xdr:colOff>577850</xdr:colOff>
      <xdr:row>17</xdr:row>
      <xdr:rowOff>88900</xdr:rowOff>
    </xdr:from>
    <xdr:to>
      <xdr:col>9</xdr:col>
      <xdr:colOff>1067285</xdr:colOff>
      <xdr:row>17</xdr:row>
      <xdr:rowOff>419100</xdr:rowOff>
    </xdr:to>
    <xdr:sp macro="" textlink="">
      <xdr:nvSpPr>
        <xdr:cNvPr id="12" name="Flèche vers la droite 11">
          <a:extLst>
            <a:ext uri="{FF2B5EF4-FFF2-40B4-BE49-F238E27FC236}">
              <a16:creationId xmlns:a16="http://schemas.microsoft.com/office/drawing/2014/main" id="{00000000-0008-0000-0000-00000C000000}"/>
            </a:ext>
          </a:extLst>
        </xdr:cNvPr>
        <xdr:cNvSpPr/>
      </xdr:nvSpPr>
      <xdr:spPr>
        <a:xfrm>
          <a:off x="10502900" y="4216400"/>
          <a:ext cx="482600" cy="330200"/>
        </a:xfrm>
        <a:prstGeom prst="rightArrow">
          <a:avLst/>
        </a:prstGeom>
        <a:ln/>
      </xdr:spPr>
      <xdr:style>
        <a:lnRef idx="2">
          <a:schemeClr val="dk1">
            <a:shade val="50000"/>
          </a:schemeClr>
        </a:lnRef>
        <a:fillRef idx="1">
          <a:schemeClr val="dk1"/>
        </a:fillRef>
        <a:effectRef idx="0">
          <a:schemeClr val="dk1"/>
        </a:effectRef>
        <a:fontRef idx="minor">
          <a:schemeClr val="lt1"/>
        </a:fontRef>
      </xdr:style>
      <xdr:txBody>
        <a:bodyPr wrap="square"/>
        <a:lstStyle/>
        <a:p>
          <a:endParaRPr lang="fr-FR"/>
        </a:p>
      </xdr:txBody>
    </xdr:sp>
    <xdr:clientData/>
  </xdr:twoCellAnchor>
  <xdr:twoCellAnchor editAs="oneCell">
    <xdr:from>
      <xdr:col>2</xdr:col>
      <xdr:colOff>800100</xdr:colOff>
      <xdr:row>51</xdr:row>
      <xdr:rowOff>63500</xdr:rowOff>
    </xdr:from>
    <xdr:to>
      <xdr:col>11</xdr:col>
      <xdr:colOff>977900</xdr:colOff>
      <xdr:row>74</xdr:row>
      <xdr:rowOff>190500</xdr:rowOff>
    </xdr:to>
    <xdr:pic>
      <xdr:nvPicPr>
        <xdr:cNvPr id="13615902" name="Image 1">
          <a:extLst>
            <a:ext uri="{FF2B5EF4-FFF2-40B4-BE49-F238E27FC236}">
              <a16:creationId xmlns:a16="http://schemas.microsoft.com/office/drawing/2014/main" id="{00000000-0008-0000-0000-00001EC3CF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93800" y="12014200"/>
          <a:ext cx="11861800" cy="4800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406400</xdr:colOff>
      <xdr:row>2</xdr:row>
      <xdr:rowOff>190500</xdr:rowOff>
    </xdr:from>
    <xdr:to>
      <xdr:col>6</xdr:col>
      <xdr:colOff>1092200</xdr:colOff>
      <xdr:row>2</xdr:row>
      <xdr:rowOff>812800</xdr:rowOff>
    </xdr:to>
    <xdr:pic>
      <xdr:nvPicPr>
        <xdr:cNvPr id="14471526" name="logoC4" descr="LOGO-C4.gif">
          <a:extLst>
            <a:ext uri="{FF2B5EF4-FFF2-40B4-BE49-F238E27FC236}">
              <a16:creationId xmlns:a16="http://schemas.microsoft.com/office/drawing/2014/main" id="{00000000-0008-0000-0100-000066D1DC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16300" y="533400"/>
          <a:ext cx="1892300" cy="6223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355600</xdr:colOff>
      <xdr:row>2</xdr:row>
      <xdr:rowOff>304800</xdr:rowOff>
    </xdr:from>
    <xdr:to>
      <xdr:col>4</xdr:col>
      <xdr:colOff>0</xdr:colOff>
      <xdr:row>2</xdr:row>
      <xdr:rowOff>749300</xdr:rowOff>
    </xdr:to>
    <xdr:pic>
      <xdr:nvPicPr>
        <xdr:cNvPr id="14471527" name="logoEFFC">
          <a:extLst>
            <a:ext uri="{FF2B5EF4-FFF2-40B4-BE49-F238E27FC236}">
              <a16:creationId xmlns:a16="http://schemas.microsoft.com/office/drawing/2014/main" id="{00000000-0008-0000-0100-000067D1DC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55700" y="647700"/>
          <a:ext cx="901700" cy="4445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355600</xdr:colOff>
      <xdr:row>2</xdr:row>
      <xdr:rowOff>203200</xdr:rowOff>
    </xdr:from>
    <xdr:to>
      <xdr:col>5</xdr:col>
      <xdr:colOff>63500</xdr:colOff>
      <xdr:row>2</xdr:row>
      <xdr:rowOff>850900</xdr:rowOff>
    </xdr:to>
    <xdr:pic>
      <xdr:nvPicPr>
        <xdr:cNvPr id="14471528" name="logoDFI">
          <a:extLst>
            <a:ext uri="{FF2B5EF4-FFF2-40B4-BE49-F238E27FC236}">
              <a16:creationId xmlns:a16="http://schemas.microsoft.com/office/drawing/2014/main" id="{00000000-0008-0000-0100-000068D1DC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413000" y="546100"/>
          <a:ext cx="660400" cy="647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7</xdr:col>
      <xdr:colOff>0</xdr:colOff>
      <xdr:row>2</xdr:row>
      <xdr:rowOff>139700</xdr:rowOff>
    </xdr:from>
    <xdr:to>
      <xdr:col>7</xdr:col>
      <xdr:colOff>256552</xdr:colOff>
      <xdr:row>2</xdr:row>
      <xdr:rowOff>901700</xdr:rowOff>
    </xdr:to>
    <xdr:sp macro="" textlink="">
      <xdr:nvSpPr>
        <xdr:cNvPr id="13" name="LogoPlace">
          <a:extLst>
            <a:ext uri="{FF2B5EF4-FFF2-40B4-BE49-F238E27FC236}">
              <a16:creationId xmlns:a16="http://schemas.microsoft.com/office/drawing/2014/main" id="{00000000-0008-0000-0100-00000D000000}"/>
            </a:ext>
          </a:extLst>
        </xdr:cNvPr>
        <xdr:cNvSpPr txBox="1"/>
      </xdr:nvSpPr>
      <xdr:spPr>
        <a:xfrm flipH="1">
          <a:off x="5549900" y="317500"/>
          <a:ext cx="2654300" cy="762000"/>
        </a:xfrm>
        <a:prstGeom prst="rect">
          <a:avLst/>
        </a:prstGeom>
        <a:solidFill>
          <a:srgbClr val="FFFFFF"/>
        </a:solid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p>
          <a:endParaRPr lang="fr-FR"/>
        </a:p>
      </xdr:txBody>
    </xdr:sp>
    <xdr:clientData/>
  </xdr:twoCellAnchor>
  <xdr:twoCellAnchor>
    <xdr:from>
      <xdr:col>4</xdr:col>
      <xdr:colOff>63500</xdr:colOff>
      <xdr:row>16</xdr:row>
      <xdr:rowOff>88900</xdr:rowOff>
    </xdr:from>
    <xdr:to>
      <xdr:col>7</xdr:col>
      <xdr:colOff>9548</xdr:colOff>
      <xdr:row>18</xdr:row>
      <xdr:rowOff>139700</xdr:rowOff>
    </xdr:to>
    <xdr:sp macro="[0]!Feuil1.CreateNewSubprojectSheet" textlink="Lists!H10">
      <xdr:nvSpPr>
        <xdr:cNvPr id="2" name="Rectangle à coins arrondis 1">
          <a:extLst>
            <a:ext uri="{FF2B5EF4-FFF2-40B4-BE49-F238E27FC236}">
              <a16:creationId xmlns:a16="http://schemas.microsoft.com/office/drawing/2014/main" id="{00000000-0008-0000-0100-000002000000}"/>
            </a:ext>
          </a:extLst>
        </xdr:cNvPr>
        <xdr:cNvSpPr/>
      </xdr:nvSpPr>
      <xdr:spPr>
        <a:xfrm>
          <a:off x="2032000" y="5861050"/>
          <a:ext cx="3368675" cy="438150"/>
        </a:xfrm>
        <a:prstGeom prst="roundRect">
          <a:avLst>
            <a:gd name="adj" fmla="val 36667"/>
          </a:avLst>
        </a:prstGeom>
        <a:ln>
          <a:solidFill>
            <a:schemeClr val="tx2">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fld id="{15AAECF9-4579-004C-8070-4F18545435C6}" type="TxLink">
            <a:rPr lang="fr-FR" sz="1200" b="1">
              <a:solidFill>
                <a:schemeClr val="tx1"/>
              </a:solidFill>
            </a:rPr>
            <a:pPr algn="ctr"/>
            <a:t>New Subproject sheet</a:t>
          </a:fld>
          <a:endParaRPr lang="fr-FR" sz="1200" b="1">
            <a:solidFill>
              <a:schemeClr val="tx1"/>
            </a:solidFill>
          </a:endParaRPr>
        </a:p>
      </xdr:txBody>
    </xdr:sp>
    <xdr:clientData/>
  </xdr:twoCellAnchor>
  <xdr:twoCellAnchor>
    <xdr:from>
      <xdr:col>4</xdr:col>
      <xdr:colOff>63500</xdr:colOff>
      <xdr:row>25</xdr:row>
      <xdr:rowOff>0</xdr:rowOff>
    </xdr:from>
    <xdr:to>
      <xdr:col>6</xdr:col>
      <xdr:colOff>1374670</xdr:colOff>
      <xdr:row>27</xdr:row>
      <xdr:rowOff>63500</xdr:rowOff>
    </xdr:to>
    <xdr:sp macro="[0]!Feuil1.CreateNewProjectSheet" textlink="Lists!H11">
      <xdr:nvSpPr>
        <xdr:cNvPr id="12" name="Rectangle à coins arrondis 11">
          <a:extLst>
            <a:ext uri="{FF2B5EF4-FFF2-40B4-BE49-F238E27FC236}">
              <a16:creationId xmlns:a16="http://schemas.microsoft.com/office/drawing/2014/main" id="{00000000-0008-0000-0100-00000C000000}"/>
            </a:ext>
          </a:extLst>
        </xdr:cNvPr>
        <xdr:cNvSpPr/>
      </xdr:nvSpPr>
      <xdr:spPr>
        <a:xfrm>
          <a:off x="2032000" y="7772400"/>
          <a:ext cx="3349625" cy="444500"/>
        </a:xfrm>
        <a:prstGeom prst="roundRect">
          <a:avLst>
            <a:gd name="adj" fmla="val 36667"/>
          </a:avLst>
        </a:prstGeom>
        <a:ln>
          <a:solidFill>
            <a:schemeClr val="tx2">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fld id="{B04AE6B5-810D-D149-BB33-F63AA1025D1B}" type="TxLink">
            <a:rPr lang="fr-FR" sz="1200" b="1">
              <a:solidFill>
                <a:schemeClr val="tx1"/>
              </a:solidFill>
            </a:rPr>
            <a:pPr algn="ctr"/>
            <a:t>New Project sheet</a:t>
          </a:fld>
          <a:endParaRPr lang="fr-FR" sz="1200" b="1">
            <a:solidFill>
              <a:schemeClr val="tx1"/>
            </a:solidFill>
          </a:endParaRPr>
        </a:p>
      </xdr:txBody>
    </xdr:sp>
    <xdr:clientData/>
  </xdr:twoCellAnchor>
  <xdr:twoCellAnchor>
    <xdr:from>
      <xdr:col>4</xdr:col>
      <xdr:colOff>63500</xdr:colOff>
      <xdr:row>34</xdr:row>
      <xdr:rowOff>0</xdr:rowOff>
    </xdr:from>
    <xdr:to>
      <xdr:col>6</xdr:col>
      <xdr:colOff>1346058</xdr:colOff>
      <xdr:row>36</xdr:row>
      <xdr:rowOff>51153</xdr:rowOff>
    </xdr:to>
    <xdr:sp macro="[0]!Feuil1.CreateNewResultsSheet" textlink="Lists!H13">
      <xdr:nvSpPr>
        <xdr:cNvPr id="14" name="Rectangle à coins arrondis 13">
          <a:extLst>
            <a:ext uri="{FF2B5EF4-FFF2-40B4-BE49-F238E27FC236}">
              <a16:creationId xmlns:a16="http://schemas.microsoft.com/office/drawing/2014/main" id="{00000000-0008-0000-0100-00000E000000}"/>
            </a:ext>
          </a:extLst>
        </xdr:cNvPr>
        <xdr:cNvSpPr/>
      </xdr:nvSpPr>
      <xdr:spPr>
        <a:xfrm>
          <a:off x="2032000" y="9753600"/>
          <a:ext cx="3321050" cy="444500"/>
        </a:xfrm>
        <a:prstGeom prst="roundRect">
          <a:avLst>
            <a:gd name="adj" fmla="val 36667"/>
          </a:avLst>
        </a:prstGeom>
        <a:ln>
          <a:solidFill>
            <a:schemeClr val="tx2">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fld id="{DB6AA2F8-093B-864C-9C96-E3E8E8123619}" type="TxLink">
            <a:rPr lang="en-US" sz="1200" b="1" i="0" u="none" strike="noStrike">
              <a:solidFill>
                <a:srgbClr val="18509E"/>
              </a:solidFill>
              <a:latin typeface="Arial"/>
              <a:cs typeface="Arial"/>
            </a:rPr>
            <a:pPr algn="ctr"/>
            <a:t>New Results sheet</a:t>
          </a:fld>
          <a:endParaRPr lang="fr-FR" sz="1200" b="1" i="0">
            <a:solidFill>
              <a:schemeClr val="tx1"/>
            </a:solidFill>
          </a:endParaRPr>
        </a:p>
      </xdr:txBody>
    </xdr:sp>
    <xdr:clientData/>
  </xdr:twoCellAnchor>
  <xdr:twoCellAnchor>
    <xdr:from>
      <xdr:col>4</xdr:col>
      <xdr:colOff>63499</xdr:colOff>
      <xdr:row>42</xdr:row>
      <xdr:rowOff>165100</xdr:rowOff>
    </xdr:from>
    <xdr:to>
      <xdr:col>6</xdr:col>
      <xdr:colOff>1279488</xdr:colOff>
      <xdr:row>45</xdr:row>
      <xdr:rowOff>25481</xdr:rowOff>
    </xdr:to>
    <xdr:sp macro="[0]!Feuil1.CreateNewComparisonSheet" textlink="Lists!H12">
      <xdr:nvSpPr>
        <xdr:cNvPr id="15" name="Rectangle à coins arrondis 14">
          <a:extLst>
            <a:ext uri="{FF2B5EF4-FFF2-40B4-BE49-F238E27FC236}">
              <a16:creationId xmlns:a16="http://schemas.microsoft.com/office/drawing/2014/main" id="{00000000-0008-0000-0100-00000F000000}"/>
            </a:ext>
          </a:extLst>
        </xdr:cNvPr>
        <xdr:cNvSpPr/>
      </xdr:nvSpPr>
      <xdr:spPr>
        <a:xfrm>
          <a:off x="2031999" y="11696700"/>
          <a:ext cx="3254375" cy="444500"/>
        </a:xfrm>
        <a:prstGeom prst="roundRect">
          <a:avLst>
            <a:gd name="adj" fmla="val 36667"/>
          </a:avLst>
        </a:prstGeom>
        <a:ln>
          <a:solidFill>
            <a:schemeClr val="tx2">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fld id="{6DAD6FD0-8AB1-E443-993D-6149C5831845}" type="TxLink">
            <a:rPr lang="en-US" sz="1200" b="1" i="0" u="none" strike="noStrike">
              <a:solidFill>
                <a:srgbClr val="18509E"/>
              </a:solidFill>
              <a:latin typeface="Arial"/>
              <a:cs typeface="Arial"/>
            </a:rPr>
            <a:pPr algn="ctr"/>
            <a:t>New Comparison sheet</a:t>
          </a:fld>
          <a:endParaRPr lang="fr-FR" sz="1200" b="1">
            <a:solidFill>
              <a:schemeClr val="tx1"/>
            </a:solidFill>
          </a:endParaRPr>
        </a:p>
      </xdr:txBody>
    </xdr:sp>
    <xdr:clientData/>
  </xdr:twoCellAnchor>
  <xdr:twoCellAnchor>
    <xdr:from>
      <xdr:col>4</xdr:col>
      <xdr:colOff>63500</xdr:colOff>
      <xdr:row>50</xdr:row>
      <xdr:rowOff>63500</xdr:rowOff>
    </xdr:from>
    <xdr:to>
      <xdr:col>5</xdr:col>
      <xdr:colOff>1104799</xdr:colOff>
      <xdr:row>52</xdr:row>
      <xdr:rowOff>127191</xdr:rowOff>
    </xdr:to>
    <xdr:sp macro="[0]!Feuil1.Loadlogo" textlink="Lists!H14">
      <xdr:nvSpPr>
        <xdr:cNvPr id="11" name="Rectangle à coins arrondis 10">
          <a:extLst>
            <a:ext uri="{FF2B5EF4-FFF2-40B4-BE49-F238E27FC236}">
              <a16:creationId xmlns:a16="http://schemas.microsoft.com/office/drawing/2014/main" id="{00000000-0008-0000-0100-00000B000000}"/>
            </a:ext>
          </a:extLst>
        </xdr:cNvPr>
        <xdr:cNvSpPr/>
      </xdr:nvSpPr>
      <xdr:spPr>
        <a:xfrm>
          <a:off x="2108200" y="12928600"/>
          <a:ext cx="2006600" cy="444500"/>
        </a:xfrm>
        <a:prstGeom prst="roundRect">
          <a:avLst>
            <a:gd name="adj" fmla="val 36667"/>
          </a:avLst>
        </a:prstGeom>
        <a:ln>
          <a:solidFill>
            <a:schemeClr val="tx2">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fld id="{CFA202BC-4F67-1F4E-A277-B06342DBFBCC}" type="TxLink">
            <a:rPr lang="fr-FR" sz="1200" b="1">
              <a:solidFill>
                <a:schemeClr val="tx1"/>
              </a:solidFill>
            </a:rPr>
            <a:pPr algn="ctr"/>
            <a:t>Load your logo</a:t>
          </a:fld>
          <a:endParaRPr lang="fr-FR" sz="1200" b="1">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2</xdr:row>
      <xdr:rowOff>76200</xdr:rowOff>
    </xdr:from>
    <xdr:to>
      <xdr:col>17</xdr:col>
      <xdr:colOff>38100</xdr:colOff>
      <xdr:row>14</xdr:row>
      <xdr:rowOff>25400</xdr:rowOff>
    </xdr:to>
    <xdr:graphicFrame macro="">
      <xdr:nvGraphicFramePr>
        <xdr:cNvPr id="15312919" name="Graphique 1">
          <a:extLst>
            <a:ext uri="{FF2B5EF4-FFF2-40B4-BE49-F238E27FC236}">
              <a16:creationId xmlns:a16="http://schemas.microsoft.com/office/drawing/2014/main" id="{00000000-0008-0000-0200-000017A8E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355600</xdr:colOff>
      <xdr:row>6</xdr:row>
      <xdr:rowOff>12700</xdr:rowOff>
    </xdr:from>
    <xdr:to>
      <xdr:col>18</xdr:col>
      <xdr:colOff>368300</xdr:colOff>
      <xdr:row>9</xdr:row>
      <xdr:rowOff>38100</xdr:rowOff>
    </xdr:to>
    <xdr:pic>
      <xdr:nvPicPr>
        <xdr:cNvPr id="15312920" name="Image 2">
          <a:extLst>
            <a:ext uri="{FF2B5EF4-FFF2-40B4-BE49-F238E27FC236}">
              <a16:creationId xmlns:a16="http://schemas.microsoft.com/office/drawing/2014/main" id="{00000000-0008-0000-0200-000018A8E9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88600" y="1054100"/>
          <a:ext cx="736600" cy="6350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101600</xdr:colOff>
      <xdr:row>9</xdr:row>
      <xdr:rowOff>152400</xdr:rowOff>
    </xdr:from>
    <xdr:to>
      <xdr:col>1</xdr:col>
      <xdr:colOff>101600</xdr:colOff>
      <xdr:row>11</xdr:row>
      <xdr:rowOff>165188</xdr:rowOff>
    </xdr:to>
    <xdr:cxnSp macro="">
      <xdr:nvCxnSpPr>
        <xdr:cNvPr id="4" name="Connecteur droit avec flèche 3">
          <a:extLst>
            <a:ext uri="{FF2B5EF4-FFF2-40B4-BE49-F238E27FC236}">
              <a16:creationId xmlns:a16="http://schemas.microsoft.com/office/drawing/2014/main" id="{00000000-0008-0000-0200-000004000000}"/>
            </a:ext>
          </a:extLst>
        </xdr:cNvPr>
        <xdr:cNvCxnSpPr/>
      </xdr:nvCxnSpPr>
      <xdr:spPr>
        <a:xfrm>
          <a:off x="317500" y="1727200"/>
          <a:ext cx="0" cy="419100"/>
        </a:xfrm>
        <a:prstGeom prst="straightConnector1">
          <a:avLst/>
        </a:prstGeom>
        <a:ln>
          <a:solidFill>
            <a:schemeClr val="bg1">
              <a:lumMod val="75000"/>
            </a:schemeClr>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38100</xdr:colOff>
      <xdr:row>2</xdr:row>
      <xdr:rowOff>88900</xdr:rowOff>
    </xdr:from>
    <xdr:to>
      <xdr:col>57</xdr:col>
      <xdr:colOff>177800</xdr:colOff>
      <xdr:row>12</xdr:row>
      <xdr:rowOff>114300</xdr:rowOff>
    </xdr:to>
    <xdr:graphicFrame macro="">
      <xdr:nvGraphicFramePr>
        <xdr:cNvPr id="15312922" name="Graphique 4">
          <a:extLst>
            <a:ext uri="{FF2B5EF4-FFF2-40B4-BE49-F238E27FC236}">
              <a16:creationId xmlns:a16="http://schemas.microsoft.com/office/drawing/2014/main" id="{00000000-0008-0000-0200-00001AA8E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12700</xdr:colOff>
      <xdr:row>2</xdr:row>
      <xdr:rowOff>12700</xdr:rowOff>
    </xdr:from>
    <xdr:to>
      <xdr:col>1</xdr:col>
      <xdr:colOff>165100</xdr:colOff>
      <xdr:row>3</xdr:row>
      <xdr:rowOff>177800</xdr:rowOff>
    </xdr:to>
    <xdr:pic macro="[0]!GoHome">
      <xdr:nvPicPr>
        <xdr:cNvPr id="15312923" name="Image 1">
          <a:extLst>
            <a:ext uri="{FF2B5EF4-FFF2-40B4-BE49-F238E27FC236}">
              <a16:creationId xmlns:a16="http://schemas.microsoft.com/office/drawing/2014/main" id="{00000000-0008-0000-0200-00001BA8E9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700" y="12700"/>
          <a:ext cx="381000" cy="355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0</xdr:colOff>
      <xdr:row>2</xdr:row>
      <xdr:rowOff>76200</xdr:rowOff>
    </xdr:from>
    <xdr:to>
      <xdr:col>17</xdr:col>
      <xdr:colOff>38100</xdr:colOff>
      <xdr:row>14</xdr:row>
      <xdr:rowOff>25400</xdr:rowOff>
    </xdr:to>
    <xdr:graphicFrame macro="">
      <xdr:nvGraphicFramePr>
        <xdr:cNvPr id="12702289" name="Graphique 1">
          <a:extLst>
            <a:ext uri="{FF2B5EF4-FFF2-40B4-BE49-F238E27FC236}">
              <a16:creationId xmlns:a16="http://schemas.microsoft.com/office/drawing/2014/main" id="{00000000-0008-0000-0300-000051D2C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355600</xdr:colOff>
      <xdr:row>6</xdr:row>
      <xdr:rowOff>12700</xdr:rowOff>
    </xdr:from>
    <xdr:to>
      <xdr:col>18</xdr:col>
      <xdr:colOff>368300</xdr:colOff>
      <xdr:row>9</xdr:row>
      <xdr:rowOff>38100</xdr:rowOff>
    </xdr:to>
    <xdr:pic>
      <xdr:nvPicPr>
        <xdr:cNvPr id="12702290" name="Image 2">
          <a:extLst>
            <a:ext uri="{FF2B5EF4-FFF2-40B4-BE49-F238E27FC236}">
              <a16:creationId xmlns:a16="http://schemas.microsoft.com/office/drawing/2014/main" id="{00000000-0008-0000-0300-000052D2C1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90200" y="1054100"/>
          <a:ext cx="736600" cy="6350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101600</xdr:colOff>
      <xdr:row>9</xdr:row>
      <xdr:rowOff>152400</xdr:rowOff>
    </xdr:from>
    <xdr:to>
      <xdr:col>1</xdr:col>
      <xdr:colOff>101600</xdr:colOff>
      <xdr:row>11</xdr:row>
      <xdr:rowOff>165188</xdr:rowOff>
    </xdr:to>
    <xdr:cxnSp macro="">
      <xdr:nvCxnSpPr>
        <xdr:cNvPr id="4" name="Connecteur droit avec flèche 3">
          <a:extLst>
            <a:ext uri="{FF2B5EF4-FFF2-40B4-BE49-F238E27FC236}">
              <a16:creationId xmlns:a16="http://schemas.microsoft.com/office/drawing/2014/main" id="{00000000-0008-0000-0300-000004000000}"/>
            </a:ext>
          </a:extLst>
        </xdr:cNvPr>
        <xdr:cNvCxnSpPr/>
      </xdr:nvCxnSpPr>
      <xdr:spPr>
        <a:xfrm>
          <a:off x="317500" y="1727200"/>
          <a:ext cx="0" cy="419100"/>
        </a:xfrm>
        <a:prstGeom prst="straightConnector1">
          <a:avLst/>
        </a:prstGeom>
        <a:ln>
          <a:solidFill>
            <a:schemeClr val="bg1">
              <a:lumMod val="75000"/>
            </a:schemeClr>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38100</xdr:colOff>
      <xdr:row>2</xdr:row>
      <xdr:rowOff>88900</xdr:rowOff>
    </xdr:from>
    <xdr:to>
      <xdr:col>57</xdr:col>
      <xdr:colOff>177800</xdr:colOff>
      <xdr:row>12</xdr:row>
      <xdr:rowOff>114300</xdr:rowOff>
    </xdr:to>
    <xdr:graphicFrame macro="">
      <xdr:nvGraphicFramePr>
        <xdr:cNvPr id="12702292" name="Graphique 4">
          <a:extLst>
            <a:ext uri="{FF2B5EF4-FFF2-40B4-BE49-F238E27FC236}">
              <a16:creationId xmlns:a16="http://schemas.microsoft.com/office/drawing/2014/main" id="{00000000-0008-0000-0300-000054D2C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12700</xdr:colOff>
      <xdr:row>2</xdr:row>
      <xdr:rowOff>12700</xdr:rowOff>
    </xdr:from>
    <xdr:to>
      <xdr:col>1</xdr:col>
      <xdr:colOff>165100</xdr:colOff>
      <xdr:row>3</xdr:row>
      <xdr:rowOff>177800</xdr:rowOff>
    </xdr:to>
    <xdr:pic macro="[0]!GoHome">
      <xdr:nvPicPr>
        <xdr:cNvPr id="12702293" name="Image 1">
          <a:extLst>
            <a:ext uri="{FF2B5EF4-FFF2-40B4-BE49-F238E27FC236}">
              <a16:creationId xmlns:a16="http://schemas.microsoft.com/office/drawing/2014/main" id="{00000000-0008-0000-0300-000055D2C1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700" y="12700"/>
          <a:ext cx="381000" cy="355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2</xdr:row>
      <xdr:rowOff>76200</xdr:rowOff>
    </xdr:from>
    <xdr:to>
      <xdr:col>17</xdr:col>
      <xdr:colOff>38100</xdr:colOff>
      <xdr:row>14</xdr:row>
      <xdr:rowOff>25400</xdr:rowOff>
    </xdr:to>
    <xdr:graphicFrame macro="">
      <xdr:nvGraphicFramePr>
        <xdr:cNvPr id="14087438" name="Graphique 1">
          <a:extLst>
            <a:ext uri="{FF2B5EF4-FFF2-40B4-BE49-F238E27FC236}">
              <a16:creationId xmlns:a16="http://schemas.microsoft.com/office/drawing/2014/main" id="{00000000-0008-0000-0400-00000EF5D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355600</xdr:colOff>
      <xdr:row>6</xdr:row>
      <xdr:rowOff>12700</xdr:rowOff>
    </xdr:from>
    <xdr:to>
      <xdr:col>18</xdr:col>
      <xdr:colOff>368300</xdr:colOff>
      <xdr:row>9</xdr:row>
      <xdr:rowOff>38100</xdr:rowOff>
    </xdr:to>
    <xdr:pic>
      <xdr:nvPicPr>
        <xdr:cNvPr id="14087439" name="Image 2">
          <a:extLst>
            <a:ext uri="{FF2B5EF4-FFF2-40B4-BE49-F238E27FC236}">
              <a16:creationId xmlns:a16="http://schemas.microsoft.com/office/drawing/2014/main" id="{00000000-0008-0000-0400-00000FF5D6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63200" y="1054100"/>
          <a:ext cx="736600" cy="6350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101600</xdr:colOff>
      <xdr:row>9</xdr:row>
      <xdr:rowOff>152400</xdr:rowOff>
    </xdr:from>
    <xdr:to>
      <xdr:col>1</xdr:col>
      <xdr:colOff>101600</xdr:colOff>
      <xdr:row>11</xdr:row>
      <xdr:rowOff>165188</xdr:rowOff>
    </xdr:to>
    <xdr:cxnSp macro="">
      <xdr:nvCxnSpPr>
        <xdr:cNvPr id="4" name="Connecteur droit avec flèche 3">
          <a:extLst>
            <a:ext uri="{FF2B5EF4-FFF2-40B4-BE49-F238E27FC236}">
              <a16:creationId xmlns:a16="http://schemas.microsoft.com/office/drawing/2014/main" id="{00000000-0008-0000-0400-000004000000}"/>
            </a:ext>
          </a:extLst>
        </xdr:cNvPr>
        <xdr:cNvCxnSpPr/>
      </xdr:nvCxnSpPr>
      <xdr:spPr>
        <a:xfrm>
          <a:off x="317500" y="1727200"/>
          <a:ext cx="0" cy="419100"/>
        </a:xfrm>
        <a:prstGeom prst="straightConnector1">
          <a:avLst/>
        </a:prstGeom>
        <a:ln>
          <a:solidFill>
            <a:schemeClr val="bg1">
              <a:lumMod val="75000"/>
            </a:schemeClr>
          </a:solidFill>
          <a:tailEnd type="arrow"/>
        </a:ln>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52</xdr:col>
      <xdr:colOff>38100</xdr:colOff>
      <xdr:row>2</xdr:row>
      <xdr:rowOff>88900</xdr:rowOff>
    </xdr:from>
    <xdr:to>
      <xdr:col>57</xdr:col>
      <xdr:colOff>177800</xdr:colOff>
      <xdr:row>12</xdr:row>
      <xdr:rowOff>114300</xdr:rowOff>
    </xdr:to>
    <xdr:graphicFrame macro="">
      <xdr:nvGraphicFramePr>
        <xdr:cNvPr id="14087441" name="Graphique 4">
          <a:extLst>
            <a:ext uri="{FF2B5EF4-FFF2-40B4-BE49-F238E27FC236}">
              <a16:creationId xmlns:a16="http://schemas.microsoft.com/office/drawing/2014/main" id="{00000000-0008-0000-0400-000011F5D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12700</xdr:colOff>
      <xdr:row>2</xdr:row>
      <xdr:rowOff>12700</xdr:rowOff>
    </xdr:from>
    <xdr:to>
      <xdr:col>1</xdr:col>
      <xdr:colOff>165100</xdr:colOff>
      <xdr:row>3</xdr:row>
      <xdr:rowOff>177800</xdr:rowOff>
    </xdr:to>
    <xdr:pic macro="[0]!GoHome">
      <xdr:nvPicPr>
        <xdr:cNvPr id="14087442" name="Image 1">
          <a:extLst>
            <a:ext uri="{FF2B5EF4-FFF2-40B4-BE49-F238E27FC236}">
              <a16:creationId xmlns:a16="http://schemas.microsoft.com/office/drawing/2014/main" id="{00000000-0008-0000-0400-000012F5D6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700" y="12700"/>
          <a:ext cx="381000" cy="355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18</xdr:col>
      <xdr:colOff>101600</xdr:colOff>
      <xdr:row>31</xdr:row>
      <xdr:rowOff>139700</xdr:rowOff>
    </xdr:from>
    <xdr:to>
      <xdr:col>23</xdr:col>
      <xdr:colOff>482600</xdr:colOff>
      <xdr:row>46</xdr:row>
      <xdr:rowOff>127000</xdr:rowOff>
    </xdr:to>
    <xdr:graphicFrame macro="">
      <xdr:nvGraphicFramePr>
        <xdr:cNvPr id="14591190" name="Graphique 3">
          <a:extLst>
            <a:ext uri="{FF2B5EF4-FFF2-40B4-BE49-F238E27FC236}">
              <a16:creationId xmlns:a16="http://schemas.microsoft.com/office/drawing/2014/main" id="{00000000-0008-0000-0500-0000D6A4D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24</xdr:col>
      <xdr:colOff>25400</xdr:colOff>
      <xdr:row>4</xdr:row>
      <xdr:rowOff>38100</xdr:rowOff>
    </xdr:from>
    <xdr:to>
      <xdr:col>29</xdr:col>
      <xdr:colOff>889000</xdr:colOff>
      <xdr:row>18</xdr:row>
      <xdr:rowOff>25400</xdr:rowOff>
    </xdr:to>
    <xdr:graphicFrame macro="">
      <xdr:nvGraphicFramePr>
        <xdr:cNvPr id="14591191" name="Graphique 1">
          <a:extLst>
            <a:ext uri="{FF2B5EF4-FFF2-40B4-BE49-F238E27FC236}">
              <a16:creationId xmlns:a16="http://schemas.microsoft.com/office/drawing/2014/main" id="{00000000-0008-0000-0500-0000D7A4D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88900</xdr:colOff>
      <xdr:row>15</xdr:row>
      <xdr:rowOff>76200</xdr:rowOff>
    </xdr:from>
    <xdr:to>
      <xdr:col>23</xdr:col>
      <xdr:colOff>533400</xdr:colOff>
      <xdr:row>35</xdr:row>
      <xdr:rowOff>12700</xdr:rowOff>
    </xdr:to>
    <xdr:graphicFrame macro="">
      <xdr:nvGraphicFramePr>
        <xdr:cNvPr id="14591192" name="Graphique 2">
          <a:extLst>
            <a:ext uri="{FF2B5EF4-FFF2-40B4-BE49-F238E27FC236}">
              <a16:creationId xmlns:a16="http://schemas.microsoft.com/office/drawing/2014/main" id="{00000000-0008-0000-0500-0000D8A4D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30</xdr:col>
      <xdr:colOff>215900</xdr:colOff>
      <xdr:row>4</xdr:row>
      <xdr:rowOff>152400</xdr:rowOff>
    </xdr:from>
    <xdr:to>
      <xdr:col>35</xdr:col>
      <xdr:colOff>25400</xdr:colOff>
      <xdr:row>18</xdr:row>
      <xdr:rowOff>127000</xdr:rowOff>
    </xdr:to>
    <xdr:graphicFrame macro="">
      <xdr:nvGraphicFramePr>
        <xdr:cNvPr id="14591193" name="Graphique 5">
          <a:extLst>
            <a:ext uri="{FF2B5EF4-FFF2-40B4-BE49-F238E27FC236}">
              <a16:creationId xmlns:a16="http://schemas.microsoft.com/office/drawing/2014/main" id="{00000000-0008-0000-0500-0000D9A4D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35</xdr:col>
      <xdr:colOff>876300</xdr:colOff>
      <xdr:row>19</xdr:row>
      <xdr:rowOff>12700</xdr:rowOff>
    </xdr:from>
    <xdr:to>
      <xdr:col>40</xdr:col>
      <xdr:colOff>685800</xdr:colOff>
      <xdr:row>33</xdr:row>
      <xdr:rowOff>127000</xdr:rowOff>
    </xdr:to>
    <xdr:graphicFrame macro="">
      <xdr:nvGraphicFramePr>
        <xdr:cNvPr id="14591194" name="Graphique 5">
          <a:extLst>
            <a:ext uri="{FF2B5EF4-FFF2-40B4-BE49-F238E27FC236}">
              <a16:creationId xmlns:a16="http://schemas.microsoft.com/office/drawing/2014/main" id="{00000000-0008-0000-0500-0000DAA4D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0</xdr:colOff>
      <xdr:row>3</xdr:row>
      <xdr:rowOff>12700</xdr:rowOff>
    </xdr:from>
    <xdr:to>
      <xdr:col>19</xdr:col>
      <xdr:colOff>381000</xdr:colOff>
      <xdr:row>4</xdr:row>
      <xdr:rowOff>177800</xdr:rowOff>
    </xdr:to>
    <xdr:pic macro="[0]!GoHome">
      <xdr:nvPicPr>
        <xdr:cNvPr id="14591195" name="Image 6">
          <a:extLst>
            <a:ext uri="{FF2B5EF4-FFF2-40B4-BE49-F238E27FC236}">
              <a16:creationId xmlns:a16="http://schemas.microsoft.com/office/drawing/2014/main" id="{00000000-0008-0000-0500-0000DBA4DE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92100" y="228600"/>
          <a:ext cx="381000" cy="3810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63500</xdr:colOff>
      <xdr:row>32</xdr:row>
      <xdr:rowOff>50800</xdr:rowOff>
    </xdr:from>
    <xdr:to>
      <xdr:col>10</xdr:col>
      <xdr:colOff>1625600</xdr:colOff>
      <xdr:row>36</xdr:row>
      <xdr:rowOff>1282700</xdr:rowOff>
    </xdr:to>
    <xdr:graphicFrame macro="">
      <xdr:nvGraphicFramePr>
        <xdr:cNvPr id="12824341" name="Graphique 1">
          <a:extLst>
            <a:ext uri="{FF2B5EF4-FFF2-40B4-BE49-F238E27FC236}">
              <a16:creationId xmlns:a16="http://schemas.microsoft.com/office/drawing/2014/main" id="{00000000-0008-0000-0600-000015AFC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4</xdr:col>
      <xdr:colOff>1498600</xdr:colOff>
      <xdr:row>17</xdr:row>
      <xdr:rowOff>0</xdr:rowOff>
    </xdr:from>
    <xdr:to>
      <xdr:col>10</xdr:col>
      <xdr:colOff>965200</xdr:colOff>
      <xdr:row>35</xdr:row>
      <xdr:rowOff>0</xdr:rowOff>
    </xdr:to>
    <xdr:graphicFrame macro="">
      <xdr:nvGraphicFramePr>
        <xdr:cNvPr id="12824342" name="Graphique 4">
          <a:extLst>
            <a:ext uri="{FF2B5EF4-FFF2-40B4-BE49-F238E27FC236}">
              <a16:creationId xmlns:a16="http://schemas.microsoft.com/office/drawing/2014/main" id="{00000000-0008-0000-0600-000016AFC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400049</xdr:colOff>
      <xdr:row>7</xdr:row>
      <xdr:rowOff>25399</xdr:rowOff>
    </xdr:from>
    <xdr:to>
      <xdr:col>11</xdr:col>
      <xdr:colOff>392647</xdr:colOff>
      <xdr:row>7</xdr:row>
      <xdr:rowOff>524932</xdr:rowOff>
    </xdr:to>
    <xdr:sp macro="" textlink="">
      <xdr:nvSpPr>
        <xdr:cNvPr id="4" name="LogoPlace">
          <a:extLst>
            <a:ext uri="{FF2B5EF4-FFF2-40B4-BE49-F238E27FC236}">
              <a16:creationId xmlns:a16="http://schemas.microsoft.com/office/drawing/2014/main" id="{00000000-0008-0000-0600-000004000000}"/>
            </a:ext>
          </a:extLst>
        </xdr:cNvPr>
        <xdr:cNvSpPr txBox="1"/>
      </xdr:nvSpPr>
      <xdr:spPr>
        <a:xfrm flipH="1">
          <a:off x="8902699" y="1015999"/>
          <a:ext cx="2535765" cy="499533"/>
        </a:xfrm>
        <a:prstGeom prst="rect">
          <a:avLst/>
        </a:prstGeom>
        <a:solidFill>
          <a:srgbClr val="FFFFFF"/>
        </a:solid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p>
          <a:endParaRPr lang="fr-FR"/>
        </a:p>
      </xdr:txBody>
    </xdr:sp>
    <xdr:clientData/>
  </xdr:twoCellAnchor>
  <xdr:twoCellAnchor editAs="oneCell">
    <xdr:from>
      <xdr:col>6</xdr:col>
      <xdr:colOff>596900</xdr:colOff>
      <xdr:row>7</xdr:row>
      <xdr:rowOff>101600</xdr:rowOff>
    </xdr:from>
    <xdr:to>
      <xdr:col>8</xdr:col>
      <xdr:colOff>889000</xdr:colOff>
      <xdr:row>7</xdr:row>
      <xdr:rowOff>723900</xdr:rowOff>
    </xdr:to>
    <xdr:pic>
      <xdr:nvPicPr>
        <xdr:cNvPr id="12824344" name="logoC4" descr="LOGO-C4.gif">
          <a:extLst>
            <a:ext uri="{FF2B5EF4-FFF2-40B4-BE49-F238E27FC236}">
              <a16:creationId xmlns:a16="http://schemas.microsoft.com/office/drawing/2014/main" id="{00000000-0008-0000-0600-000018AFC3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930900" y="1155700"/>
          <a:ext cx="1892300" cy="6223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228600</xdr:colOff>
      <xdr:row>7</xdr:row>
      <xdr:rowOff>190500</xdr:rowOff>
    </xdr:from>
    <xdr:to>
      <xdr:col>4</xdr:col>
      <xdr:colOff>812800</xdr:colOff>
      <xdr:row>7</xdr:row>
      <xdr:rowOff>635000</xdr:rowOff>
    </xdr:to>
    <xdr:pic>
      <xdr:nvPicPr>
        <xdr:cNvPr id="12824345" name="logoEFFC">
          <a:extLst>
            <a:ext uri="{FF2B5EF4-FFF2-40B4-BE49-F238E27FC236}">
              <a16:creationId xmlns:a16="http://schemas.microsoft.com/office/drawing/2014/main" id="{00000000-0008-0000-0600-000019AFC3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51100" y="1244600"/>
          <a:ext cx="901700" cy="4445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190500</xdr:colOff>
      <xdr:row>7</xdr:row>
      <xdr:rowOff>76200</xdr:rowOff>
    </xdr:from>
    <xdr:to>
      <xdr:col>5</xdr:col>
      <xdr:colOff>850900</xdr:colOff>
      <xdr:row>7</xdr:row>
      <xdr:rowOff>736600</xdr:rowOff>
    </xdr:to>
    <xdr:pic>
      <xdr:nvPicPr>
        <xdr:cNvPr id="12824346" name="logoDFI">
          <a:extLst>
            <a:ext uri="{FF2B5EF4-FFF2-40B4-BE49-F238E27FC236}">
              <a16:creationId xmlns:a16="http://schemas.microsoft.com/office/drawing/2014/main" id="{00000000-0008-0000-0600-00001AAFC3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18000" y="1130300"/>
          <a:ext cx="660400" cy="660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xdr:col>
      <xdr:colOff>88900</xdr:colOff>
      <xdr:row>4</xdr:row>
      <xdr:rowOff>50800</xdr:rowOff>
    </xdr:from>
    <xdr:to>
      <xdr:col>2</xdr:col>
      <xdr:colOff>469900</xdr:colOff>
      <xdr:row>6</xdr:row>
      <xdr:rowOff>12700</xdr:rowOff>
    </xdr:to>
    <xdr:pic macro="[0]!GoHome">
      <xdr:nvPicPr>
        <xdr:cNvPr id="12824347" name="Image 7">
          <a:extLst>
            <a:ext uri="{FF2B5EF4-FFF2-40B4-BE49-F238E27FC236}">
              <a16:creationId xmlns:a16="http://schemas.microsoft.com/office/drawing/2014/main" id="{00000000-0008-0000-0600-00001BAFC3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900" y="482600"/>
          <a:ext cx="381000" cy="3810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12</xdr:col>
          <xdr:colOff>161925</xdr:colOff>
          <xdr:row>15</xdr:row>
          <xdr:rowOff>180975</xdr:rowOff>
        </xdr:from>
        <xdr:to>
          <xdr:col>13</xdr:col>
          <xdr:colOff>238125</xdr:colOff>
          <xdr:row>17</xdr:row>
          <xdr:rowOff>0</xdr:rowOff>
        </xdr:to>
        <xdr:sp macro="" textlink="">
          <xdr:nvSpPr>
            <xdr:cNvPr id="12823819" name="Check Box 3339" hidden="1">
              <a:extLst>
                <a:ext uri="{63B3BB69-23CF-44E3-9099-C40C66FF867C}">
                  <a14:compatExt spid="_x0000_s12823819"/>
                </a:ext>
                <a:ext uri="{FF2B5EF4-FFF2-40B4-BE49-F238E27FC236}">
                  <a16:creationId xmlns:a16="http://schemas.microsoft.com/office/drawing/2014/main" id="{00000000-0008-0000-0600-00000BADC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gCO2e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17</xdr:row>
          <xdr:rowOff>0</xdr:rowOff>
        </xdr:from>
        <xdr:to>
          <xdr:col>13</xdr:col>
          <xdr:colOff>238125</xdr:colOff>
          <xdr:row>18</xdr:row>
          <xdr:rowOff>9525</xdr:rowOff>
        </xdr:to>
        <xdr:sp macro="" textlink="">
          <xdr:nvSpPr>
            <xdr:cNvPr id="12823827" name="Check Box 3347" hidden="1">
              <a:extLst>
                <a:ext uri="{63B3BB69-23CF-44E3-9099-C40C66FF867C}">
                  <a14:compatExt spid="_x0000_s12823827"/>
                </a:ext>
                <a:ext uri="{FF2B5EF4-FFF2-40B4-BE49-F238E27FC236}">
                  <a16:creationId xmlns:a16="http://schemas.microsoft.com/office/drawing/2014/main" id="{00000000-0008-0000-0600-000013ADC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gCO2e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18</xdr:row>
          <xdr:rowOff>0</xdr:rowOff>
        </xdr:from>
        <xdr:to>
          <xdr:col>13</xdr:col>
          <xdr:colOff>238125</xdr:colOff>
          <xdr:row>19</xdr:row>
          <xdr:rowOff>9525</xdr:rowOff>
        </xdr:to>
        <xdr:sp macro="" textlink="">
          <xdr:nvSpPr>
            <xdr:cNvPr id="12823830" name="Check Box 3350" hidden="1">
              <a:extLst>
                <a:ext uri="{63B3BB69-23CF-44E3-9099-C40C66FF867C}">
                  <a14:compatExt spid="_x0000_s12823830"/>
                </a:ext>
                <a:ext uri="{FF2B5EF4-FFF2-40B4-BE49-F238E27FC236}">
                  <a16:creationId xmlns:a16="http://schemas.microsoft.com/office/drawing/2014/main" id="{00000000-0008-0000-0600-000016ADC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gCO2e</a:t>
              </a:r>
            </a:p>
          </xdr:txBody>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20</xdr:col>
      <xdr:colOff>228600</xdr:colOff>
      <xdr:row>158</xdr:row>
      <xdr:rowOff>76200</xdr:rowOff>
    </xdr:from>
    <xdr:to>
      <xdr:col>21</xdr:col>
      <xdr:colOff>76200</xdr:colOff>
      <xdr:row>159</xdr:row>
      <xdr:rowOff>114300</xdr:rowOff>
    </xdr:to>
    <xdr:pic>
      <xdr:nvPicPr>
        <xdr:cNvPr id="15386646" name="Picture 8221" descr="CO2e">
          <a:extLst>
            <a:ext uri="{FF2B5EF4-FFF2-40B4-BE49-F238E27FC236}">
              <a16:creationId xmlns:a16="http://schemas.microsoft.com/office/drawing/2014/main" id="{00000000-0008-0000-0700-000016C8EA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014200" y="30010100"/>
          <a:ext cx="1028700" cy="2413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254000</xdr:colOff>
      <xdr:row>45</xdr:row>
      <xdr:rowOff>25400</xdr:rowOff>
    </xdr:from>
    <xdr:to>
      <xdr:col>17</xdr:col>
      <xdr:colOff>762000</xdr:colOff>
      <xdr:row>64</xdr:row>
      <xdr:rowOff>63500</xdr:rowOff>
    </xdr:to>
    <xdr:graphicFrame macro="">
      <xdr:nvGraphicFramePr>
        <xdr:cNvPr id="15386647" name="Graphique 4">
          <a:extLst>
            <a:ext uri="{FF2B5EF4-FFF2-40B4-BE49-F238E27FC236}">
              <a16:creationId xmlns:a16="http://schemas.microsoft.com/office/drawing/2014/main" id="{00000000-0008-0000-0700-000017C8E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254000</xdr:colOff>
      <xdr:row>66</xdr:row>
      <xdr:rowOff>12700</xdr:rowOff>
    </xdr:from>
    <xdr:to>
      <xdr:col>17</xdr:col>
      <xdr:colOff>762000</xdr:colOff>
      <xdr:row>85</xdr:row>
      <xdr:rowOff>50800</xdr:rowOff>
    </xdr:to>
    <xdr:graphicFrame macro="">
      <xdr:nvGraphicFramePr>
        <xdr:cNvPr id="15386648" name="Graphique 5">
          <a:extLst>
            <a:ext uri="{FF2B5EF4-FFF2-40B4-BE49-F238E27FC236}">
              <a16:creationId xmlns:a16="http://schemas.microsoft.com/office/drawing/2014/main" id="{00000000-0008-0000-0700-000018C8E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254000</xdr:colOff>
      <xdr:row>120</xdr:row>
      <xdr:rowOff>76200</xdr:rowOff>
    </xdr:from>
    <xdr:to>
      <xdr:col>18</xdr:col>
      <xdr:colOff>0</xdr:colOff>
      <xdr:row>137</xdr:row>
      <xdr:rowOff>63500</xdr:rowOff>
    </xdr:to>
    <xdr:graphicFrame macro="">
      <xdr:nvGraphicFramePr>
        <xdr:cNvPr id="15386649" name="Graphique 6">
          <a:extLst>
            <a:ext uri="{FF2B5EF4-FFF2-40B4-BE49-F238E27FC236}">
              <a16:creationId xmlns:a16="http://schemas.microsoft.com/office/drawing/2014/main" id="{00000000-0008-0000-0700-000019C8E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254000</xdr:colOff>
      <xdr:row>140</xdr:row>
      <xdr:rowOff>0</xdr:rowOff>
    </xdr:from>
    <xdr:to>
      <xdr:col>17</xdr:col>
      <xdr:colOff>762000</xdr:colOff>
      <xdr:row>156</xdr:row>
      <xdr:rowOff>50800</xdr:rowOff>
    </xdr:to>
    <xdr:graphicFrame macro="">
      <xdr:nvGraphicFramePr>
        <xdr:cNvPr id="15386650" name="Graphique 4">
          <a:extLst>
            <a:ext uri="{FF2B5EF4-FFF2-40B4-BE49-F238E27FC236}">
              <a16:creationId xmlns:a16="http://schemas.microsoft.com/office/drawing/2014/main" id="{00000000-0008-0000-0700-00001AC8E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254000</xdr:colOff>
      <xdr:row>88</xdr:row>
      <xdr:rowOff>50800</xdr:rowOff>
    </xdr:from>
    <xdr:to>
      <xdr:col>18</xdr:col>
      <xdr:colOff>0</xdr:colOff>
      <xdr:row>105</xdr:row>
      <xdr:rowOff>114300</xdr:rowOff>
    </xdr:to>
    <xdr:graphicFrame macro="">
      <xdr:nvGraphicFramePr>
        <xdr:cNvPr id="15386651" name="Graphique 4">
          <a:extLst>
            <a:ext uri="{FF2B5EF4-FFF2-40B4-BE49-F238E27FC236}">
              <a16:creationId xmlns:a16="http://schemas.microsoft.com/office/drawing/2014/main" id="{00000000-0008-0000-0700-00001BC8E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5</xdr:col>
      <xdr:colOff>25400</xdr:colOff>
      <xdr:row>11</xdr:row>
      <xdr:rowOff>25400</xdr:rowOff>
    </xdr:from>
    <xdr:to>
      <xdr:col>6</xdr:col>
      <xdr:colOff>152400</xdr:colOff>
      <xdr:row>12</xdr:row>
      <xdr:rowOff>177800</xdr:rowOff>
    </xdr:to>
    <xdr:pic macro="[0]!GoHome">
      <xdr:nvPicPr>
        <xdr:cNvPr id="15386652" name="Image 6">
          <a:extLst>
            <a:ext uri="{FF2B5EF4-FFF2-40B4-BE49-F238E27FC236}">
              <a16:creationId xmlns:a16="http://schemas.microsoft.com/office/drawing/2014/main" id="{00000000-0008-0000-0700-00001CC8EA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400" y="25400"/>
          <a:ext cx="381000" cy="3683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14</xdr:col>
      <xdr:colOff>628650</xdr:colOff>
      <xdr:row>20</xdr:row>
      <xdr:rowOff>12700</xdr:rowOff>
    </xdr:from>
    <xdr:to>
      <xdr:col>19</xdr:col>
      <xdr:colOff>168405</xdr:colOff>
      <xdr:row>23</xdr:row>
      <xdr:rowOff>55033</xdr:rowOff>
    </xdr:to>
    <xdr:sp macro="" textlink="">
      <xdr:nvSpPr>
        <xdr:cNvPr id="8" name="LogoPlace">
          <a:extLst>
            <a:ext uri="{FF2B5EF4-FFF2-40B4-BE49-F238E27FC236}">
              <a16:creationId xmlns:a16="http://schemas.microsoft.com/office/drawing/2014/main" id="{00000000-0008-0000-0700-000008000000}"/>
            </a:ext>
          </a:extLst>
        </xdr:cNvPr>
        <xdr:cNvSpPr txBox="1"/>
      </xdr:nvSpPr>
      <xdr:spPr>
        <a:xfrm flipH="1">
          <a:off x="7632700" y="1358900"/>
          <a:ext cx="2539998" cy="613833"/>
        </a:xfrm>
        <a:prstGeom prst="rect">
          <a:avLst/>
        </a:prstGeom>
        <a:solidFill>
          <a:srgbClr val="FFFFFF"/>
        </a:solid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p>
          <a:endParaRPr lang="fr-FR"/>
        </a:p>
      </xdr:txBody>
    </xdr:sp>
    <xdr:clientData/>
  </xdr:twoCellAnchor>
  <xdr:twoCellAnchor>
    <xdr:from>
      <xdr:col>14</xdr:col>
      <xdr:colOff>644525</xdr:colOff>
      <xdr:row>114</xdr:row>
      <xdr:rowOff>25400</xdr:rowOff>
    </xdr:from>
    <xdr:to>
      <xdr:col>19</xdr:col>
      <xdr:colOff>203203</xdr:colOff>
      <xdr:row>117</xdr:row>
      <xdr:rowOff>67733</xdr:rowOff>
    </xdr:to>
    <xdr:sp macro="" textlink="">
      <xdr:nvSpPr>
        <xdr:cNvPr id="14" name="LogoPlace2">
          <a:extLst>
            <a:ext uri="{FF2B5EF4-FFF2-40B4-BE49-F238E27FC236}">
              <a16:creationId xmlns:a16="http://schemas.microsoft.com/office/drawing/2014/main" id="{00000000-0008-0000-0700-00000E000000}"/>
            </a:ext>
          </a:extLst>
        </xdr:cNvPr>
        <xdr:cNvSpPr txBox="1"/>
      </xdr:nvSpPr>
      <xdr:spPr>
        <a:xfrm flipH="1">
          <a:off x="7658100" y="18961100"/>
          <a:ext cx="2539998" cy="613833"/>
        </a:xfrm>
        <a:prstGeom prst="rect">
          <a:avLst/>
        </a:prstGeom>
        <a:solidFill>
          <a:srgbClr val="FFFFFF"/>
        </a:solidFill>
        <a:ln w="9525" cmpd="sng">
          <a:noFill/>
        </a:ln>
        <a:effectLst/>
      </xdr:spPr>
      <xdr:style>
        <a:lnRef idx="0">
          <a:scrgbClr r="0" g="0" b="0"/>
        </a:lnRef>
        <a:fillRef idx="0">
          <a:scrgbClr r="0" g="0" b="0"/>
        </a:fillRef>
        <a:effectRef idx="0">
          <a:scrgbClr r="0" g="0" b="0"/>
        </a:effectRef>
        <a:fontRef idx="minor">
          <a:schemeClr val="dk1"/>
        </a:fontRef>
      </xdr:style>
      <xdr:txBody>
        <a:bodyPr wrap="square" rtlCol="0" anchor="ctr"/>
        <a:lstStyle/>
        <a:p>
          <a:endParaRPr lang="fr-FR"/>
        </a:p>
      </xdr:txBody>
    </xdr:sp>
    <xdr:clientData/>
  </xdr:twoCellAnchor>
  <xdr:twoCellAnchor editAs="oneCell">
    <xdr:from>
      <xdr:col>7</xdr:col>
      <xdr:colOff>241300</xdr:colOff>
      <xdr:row>20</xdr:row>
      <xdr:rowOff>165100</xdr:rowOff>
    </xdr:from>
    <xdr:to>
      <xdr:col>8</xdr:col>
      <xdr:colOff>723900</xdr:colOff>
      <xdr:row>23</xdr:row>
      <xdr:rowOff>38100</xdr:rowOff>
    </xdr:to>
    <xdr:pic>
      <xdr:nvPicPr>
        <xdr:cNvPr id="15386655" name="logoEFFC">
          <a:extLst>
            <a:ext uri="{FF2B5EF4-FFF2-40B4-BE49-F238E27FC236}">
              <a16:creationId xmlns:a16="http://schemas.microsoft.com/office/drawing/2014/main" id="{00000000-0008-0000-0700-00001FC8EA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17600" y="1943100"/>
          <a:ext cx="901700" cy="4445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9</xdr:col>
      <xdr:colOff>723900</xdr:colOff>
      <xdr:row>20</xdr:row>
      <xdr:rowOff>76200</xdr:rowOff>
    </xdr:from>
    <xdr:to>
      <xdr:col>10</xdr:col>
      <xdr:colOff>431800</xdr:colOff>
      <xdr:row>23</xdr:row>
      <xdr:rowOff>165100</xdr:rowOff>
    </xdr:to>
    <xdr:pic>
      <xdr:nvPicPr>
        <xdr:cNvPr id="15386656" name="logoDFI">
          <a:extLst>
            <a:ext uri="{FF2B5EF4-FFF2-40B4-BE49-F238E27FC236}">
              <a16:creationId xmlns:a16="http://schemas.microsoft.com/office/drawing/2014/main" id="{00000000-0008-0000-0700-000020C8EA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203700" y="1854200"/>
          <a:ext cx="660400" cy="660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11</xdr:col>
      <xdr:colOff>660400</xdr:colOff>
      <xdr:row>20</xdr:row>
      <xdr:rowOff>76200</xdr:rowOff>
    </xdr:from>
    <xdr:to>
      <xdr:col>13</xdr:col>
      <xdr:colOff>635000</xdr:colOff>
      <xdr:row>23</xdr:row>
      <xdr:rowOff>127000</xdr:rowOff>
    </xdr:to>
    <xdr:pic>
      <xdr:nvPicPr>
        <xdr:cNvPr id="15386657" name="logoC4" descr="LOGO-C4.gif">
          <a:extLst>
            <a:ext uri="{FF2B5EF4-FFF2-40B4-BE49-F238E27FC236}">
              <a16:creationId xmlns:a16="http://schemas.microsoft.com/office/drawing/2014/main" id="{00000000-0008-0000-0700-000021C8EA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45200" y="1854200"/>
          <a:ext cx="1879600" cy="6223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241300</xdr:colOff>
      <xdr:row>115</xdr:row>
      <xdr:rowOff>0</xdr:rowOff>
    </xdr:from>
    <xdr:to>
      <xdr:col>8</xdr:col>
      <xdr:colOff>723900</xdr:colOff>
      <xdr:row>117</xdr:row>
      <xdr:rowOff>63500</xdr:rowOff>
    </xdr:to>
    <xdr:pic>
      <xdr:nvPicPr>
        <xdr:cNvPr id="15386658" name="logoEFFC">
          <a:extLst>
            <a:ext uri="{FF2B5EF4-FFF2-40B4-BE49-F238E27FC236}">
              <a16:creationId xmlns:a16="http://schemas.microsoft.com/office/drawing/2014/main" id="{00000000-0008-0000-0700-000022C8EA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17600" y="21031200"/>
          <a:ext cx="901700" cy="4445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9</xdr:col>
      <xdr:colOff>723900</xdr:colOff>
      <xdr:row>114</xdr:row>
      <xdr:rowOff>76200</xdr:rowOff>
    </xdr:from>
    <xdr:to>
      <xdr:col>10</xdr:col>
      <xdr:colOff>431800</xdr:colOff>
      <xdr:row>117</xdr:row>
      <xdr:rowOff>165100</xdr:rowOff>
    </xdr:to>
    <xdr:pic>
      <xdr:nvPicPr>
        <xdr:cNvPr id="15386659" name="logoDFI">
          <a:extLst>
            <a:ext uri="{FF2B5EF4-FFF2-40B4-BE49-F238E27FC236}">
              <a16:creationId xmlns:a16="http://schemas.microsoft.com/office/drawing/2014/main" id="{00000000-0008-0000-0700-000023C8EA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203700" y="20916900"/>
          <a:ext cx="660400" cy="660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11</xdr:col>
      <xdr:colOff>660400</xdr:colOff>
      <xdr:row>114</xdr:row>
      <xdr:rowOff>88900</xdr:rowOff>
    </xdr:from>
    <xdr:to>
      <xdr:col>13</xdr:col>
      <xdr:colOff>635000</xdr:colOff>
      <xdr:row>117</xdr:row>
      <xdr:rowOff>139700</xdr:rowOff>
    </xdr:to>
    <xdr:pic>
      <xdr:nvPicPr>
        <xdr:cNvPr id="15386660" name="logoC4" descr="LOGO-C4.gif">
          <a:extLst>
            <a:ext uri="{FF2B5EF4-FFF2-40B4-BE49-F238E27FC236}">
              <a16:creationId xmlns:a16="http://schemas.microsoft.com/office/drawing/2014/main" id="{00000000-0008-0000-0700-000024C8EA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45200" y="20929600"/>
          <a:ext cx="1879600" cy="6223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20</xdr:col>
          <xdr:colOff>38100</xdr:colOff>
          <xdr:row>128</xdr:row>
          <xdr:rowOff>161925</xdr:rowOff>
        </xdr:from>
        <xdr:to>
          <xdr:col>20</xdr:col>
          <xdr:colOff>1066800</xdr:colOff>
          <xdr:row>129</xdr:row>
          <xdr:rowOff>190500</xdr:rowOff>
        </xdr:to>
        <xdr:sp macro="" textlink="">
          <xdr:nvSpPr>
            <xdr:cNvPr id="13608991" name="Check Box 8223" hidden="1">
              <a:extLst>
                <a:ext uri="{63B3BB69-23CF-44E3-9099-C40C66FF867C}">
                  <a14:compatExt spid="_x0000_s13608991"/>
                </a:ext>
                <a:ext uri="{FF2B5EF4-FFF2-40B4-BE49-F238E27FC236}">
                  <a16:creationId xmlns:a16="http://schemas.microsoft.com/office/drawing/2014/main" id="{00000000-0008-0000-0700-00001FA8C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gCO2e</a:t>
              </a:r>
            </a:p>
          </xdr:txBody>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165100</xdr:colOff>
      <xdr:row>10</xdr:row>
      <xdr:rowOff>165100</xdr:rowOff>
    </xdr:from>
    <xdr:to>
      <xdr:col>5</xdr:col>
      <xdr:colOff>876300</xdr:colOff>
      <xdr:row>13</xdr:row>
      <xdr:rowOff>25400</xdr:rowOff>
    </xdr:to>
    <xdr:sp macro="[0]!Feuil5.ImageSize" textlink="Lists!H15">
      <xdr:nvSpPr>
        <xdr:cNvPr id="4" name="Rectangle à coins arrondis 3">
          <a:extLst>
            <a:ext uri="{FF2B5EF4-FFF2-40B4-BE49-F238E27FC236}">
              <a16:creationId xmlns:a16="http://schemas.microsoft.com/office/drawing/2014/main" id="{00000000-0008-0000-0900-000004000000}"/>
            </a:ext>
          </a:extLst>
        </xdr:cNvPr>
        <xdr:cNvSpPr/>
      </xdr:nvSpPr>
      <xdr:spPr>
        <a:xfrm>
          <a:off x="2413000" y="914400"/>
          <a:ext cx="2006600" cy="444500"/>
        </a:xfrm>
        <a:prstGeom prst="roundRect">
          <a:avLst>
            <a:gd name="adj" fmla="val 36667"/>
          </a:avLst>
        </a:prstGeom>
        <a:ln>
          <a:solidFill>
            <a:schemeClr val="tx2">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fld id="{BC45E912-F42F-6C4A-BD7D-7E9AA3B6FA99}" type="TxLink">
            <a:rPr lang="fr-FR" sz="1200" b="1">
              <a:solidFill>
                <a:schemeClr val="tx1"/>
              </a:solidFill>
            </a:rPr>
            <a:pPr algn="ctr"/>
            <a:t>Set the size</a:t>
          </a:fld>
          <a:endParaRPr lang="fr-FR" sz="1200" b="1">
            <a:solidFill>
              <a:schemeClr val="tx1"/>
            </a:solidFill>
          </a:endParaRPr>
        </a:p>
      </xdr:txBody>
    </xdr:sp>
    <xdr:clientData/>
  </xdr:twoCellAnchor>
  <xdr:twoCellAnchor>
    <xdr:from>
      <xdr:col>3</xdr:col>
      <xdr:colOff>76200</xdr:colOff>
      <xdr:row>17</xdr:row>
      <xdr:rowOff>127000</xdr:rowOff>
    </xdr:from>
    <xdr:to>
      <xdr:col>5</xdr:col>
      <xdr:colOff>790632</xdr:colOff>
      <xdr:row>23</xdr:row>
      <xdr:rowOff>38100</xdr:rowOff>
    </xdr:to>
    <xdr:sp macro="[0]!Feuil5.ImportImage" textlink="Lists!H16">
      <xdr:nvSpPr>
        <xdr:cNvPr id="5" name="Rectangle à coins arrondis 4">
          <a:extLst>
            <a:ext uri="{FF2B5EF4-FFF2-40B4-BE49-F238E27FC236}">
              <a16:creationId xmlns:a16="http://schemas.microsoft.com/office/drawing/2014/main" id="{00000000-0008-0000-0900-000005000000}"/>
            </a:ext>
          </a:extLst>
        </xdr:cNvPr>
        <xdr:cNvSpPr/>
      </xdr:nvSpPr>
      <xdr:spPr>
        <a:xfrm>
          <a:off x="2324100" y="2209800"/>
          <a:ext cx="2006600" cy="1066800"/>
        </a:xfrm>
        <a:prstGeom prst="roundRect">
          <a:avLst>
            <a:gd name="adj" fmla="val 36667"/>
          </a:avLst>
        </a:prstGeom>
        <a:ln>
          <a:solidFill>
            <a:schemeClr val="tx2">
              <a:lumMod val="75000"/>
            </a:schemeClr>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fld id="{91F61FF4-2B6C-6C43-9BD0-264AC155D181}" type="TxLink">
            <a:rPr lang="fr-FR" sz="1200" b="1">
              <a:solidFill>
                <a:schemeClr val="tx1"/>
              </a:solidFill>
            </a:rPr>
            <a:pPr algn="ctr"/>
            <a:t>When your image fit in the white box, click here to import the logo</a:t>
          </a:fld>
          <a:endParaRPr lang="fr-FR" sz="1200" b="1">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292100</xdr:colOff>
      <xdr:row>2</xdr:row>
      <xdr:rowOff>165100</xdr:rowOff>
    </xdr:from>
    <xdr:to>
      <xdr:col>2</xdr:col>
      <xdr:colOff>876300</xdr:colOff>
      <xdr:row>4</xdr:row>
      <xdr:rowOff>38100</xdr:rowOff>
    </xdr:to>
    <xdr:pic>
      <xdr:nvPicPr>
        <xdr:cNvPr id="7551317" name="Picture 117" descr="clip_image001">
          <a:extLst>
            <a:ext uri="{FF2B5EF4-FFF2-40B4-BE49-F238E27FC236}">
              <a16:creationId xmlns:a16="http://schemas.microsoft.com/office/drawing/2014/main" id="{00000000-0008-0000-0D00-000055397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25500" y="584200"/>
          <a:ext cx="584200" cy="279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762000</xdr:colOff>
      <xdr:row>21</xdr:row>
      <xdr:rowOff>279400</xdr:rowOff>
    </xdr:from>
    <xdr:to>
      <xdr:col>7</xdr:col>
      <xdr:colOff>1244600</xdr:colOff>
      <xdr:row>21</xdr:row>
      <xdr:rowOff>1092200</xdr:rowOff>
    </xdr:to>
    <xdr:sp macro="" textlink="Lists!H18">
      <xdr:nvSpPr>
        <xdr:cNvPr id="7551143" name="Plaque 1">
          <a:hlinkClick xmlns:r="http://schemas.openxmlformats.org/officeDocument/2006/relationships" r:id="rId2"/>
          <a:extLst>
            <a:ext uri="{FF2B5EF4-FFF2-40B4-BE49-F238E27FC236}">
              <a16:creationId xmlns:a16="http://schemas.microsoft.com/office/drawing/2014/main" id="{00000000-0008-0000-0D00-0000A7387300}"/>
            </a:ext>
          </a:extLst>
        </xdr:cNvPr>
        <xdr:cNvSpPr>
          <a:spLocks noChangeArrowheads="1"/>
        </xdr:cNvSpPr>
      </xdr:nvSpPr>
      <xdr:spPr bwMode="auto">
        <a:xfrm>
          <a:off x="5346700" y="5422900"/>
          <a:ext cx="2514600" cy="812800"/>
        </a:xfrm>
        <a:prstGeom prst="bevel">
          <a:avLst>
            <a:gd name="adj" fmla="val 20218"/>
          </a:avLst>
        </a:prstGeom>
        <a:gradFill rotWithShape="1">
          <a:gsLst>
            <a:gs pos="0">
              <a:srgbClr val="FFAC4C"/>
            </a:gs>
            <a:gs pos="20000">
              <a:srgbClr val="FBAB4F"/>
            </a:gs>
            <a:gs pos="100000">
              <a:srgbClr val="C1823A"/>
            </a:gs>
          </a:gsLst>
          <a:lin ang="5400000"/>
        </a:gradFill>
        <a:ln w="9525">
          <a:solidFill>
            <a:srgbClr val="EDAB60"/>
          </a:solidFill>
          <a:miter lim="800000"/>
          <a:headEnd/>
          <a:tailEnd/>
        </a:ln>
        <a:effectLst>
          <a:outerShdw blurRad="40000" dist="23000" dir="5400000" rotWithShape="0">
            <a:srgbClr val="000000">
              <a:alpha val="34998"/>
            </a:srgbClr>
          </a:outerShdw>
        </a:effectLst>
      </xdr:spPr>
      <xdr:txBody>
        <a:bodyPr vertOverflow="clip" wrap="square" lIns="36576" tIns="32004" rIns="36576" bIns="32004" anchor="ctr" upright="1"/>
        <a:lstStyle/>
        <a:p>
          <a:pPr algn="ctr" rtl="0">
            <a:defRPr sz="1000"/>
          </a:pPr>
          <a:fld id="{E0932E3C-9497-9946-A432-3EF4DD134926}" type="TxLink">
            <a:rPr lang="fr-FR" sz="1600" b="0" i="0" u="none" strike="noStrike" baseline="0">
              <a:solidFill>
                <a:srgbClr val="FFFFFF"/>
              </a:solidFill>
              <a:latin typeface="Arial"/>
              <a:ea typeface="Arial"/>
              <a:cs typeface="Arial"/>
            </a:rPr>
            <a:pPr algn="ctr" rtl="0">
              <a:defRPr sz="1000"/>
            </a:pPr>
            <a:t>ACCEPT</a:t>
          </a:fld>
          <a:endParaRPr lang="fr-FR" sz="1600" b="0" i="0" u="none" strike="noStrike" baseline="0">
            <a:solidFill>
              <a:srgbClr val="FFFFFF"/>
            </a:solidFill>
            <a:latin typeface="Arial"/>
            <a:ea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psf\Home\private\var\folders\1w\vmcm0t595qv_55pr8m6xfvc00000gn\T\com.apple.mail\com.apple.mail\compose\attach\EFFC-DFI-CC_v0.9%20+%20BL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jy\Library\Application%20Support\Microsoft\Office\Office%202011%20AutoRecovery\EFFC-DFI-CC_v0.8.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s"/>
      <sheetName val="Emission factors"/>
      <sheetName val="Lists"/>
    </sheetNames>
    <sheetDataSet>
      <sheetData sheetId="0" refreshError="1"/>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s"/>
      <sheetName val="Emission factors"/>
    </sheetNames>
    <sheetDataSet>
      <sheetData sheetId="0" refreshError="1"/>
      <sheetData sheetId="1" refreshError="1"/>
    </sheetDataSet>
  </externalBook>
</externalLink>
</file>

<file path=xl/persons/person.xml><?xml version="1.0" encoding="utf-8"?>
<personList xmlns="http://schemas.microsoft.com/office/spreadsheetml/2018/threadedcomments" xmlns:x="http://schemas.openxmlformats.org/spreadsheetml/2006/main">
  <person displayName="Jean-Yves Wilmotte" id="{0E1932B5-718D-C645-BA58-E841D03B2A5D}" userId="a2382b1f14d3cb83" providerId="Windows Live"/>
</personList>
</file>

<file path=xl/theme/theme1.xml><?xml version="1.0" encoding="utf-8"?>
<a:theme xmlns:a="http://schemas.openxmlformats.org/drawingml/2006/main" name="Theme Carbone4">
  <a:themeElements>
    <a:clrScheme name="Personnalisée 1">
      <a:dk1>
        <a:srgbClr val="18509E"/>
      </a:dk1>
      <a:lt1>
        <a:srgbClr val="FFFFFF"/>
      </a:lt1>
      <a:dk2>
        <a:srgbClr val="FFB180"/>
      </a:dk2>
      <a:lt2>
        <a:srgbClr val="A1A1A1"/>
      </a:lt2>
      <a:accent1>
        <a:srgbClr val="EFAF66"/>
      </a:accent1>
      <a:accent2>
        <a:srgbClr val="ECEE66"/>
      </a:accent2>
      <a:accent3>
        <a:srgbClr val="66EFAF"/>
      </a:accent3>
      <a:accent4>
        <a:srgbClr val="7775E1"/>
      </a:accent4>
      <a:accent5>
        <a:srgbClr val="65ECEF"/>
      </a:accent5>
      <a:accent6>
        <a:srgbClr val="AF65EF"/>
      </a:accent6>
      <a:hlink>
        <a:srgbClr val="2372DA"/>
      </a:hlink>
      <a:folHlink>
        <a:srgbClr val="7E15DA"/>
      </a:folHlink>
    </a:clrScheme>
    <a:fontScheme name="Office Classique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T35" dT="2020-08-28T11:26:58.71" personId="{0E1932B5-718D-C645-BA58-E841D03B2A5D}" id="{4986084D-0C02-B24F-BCEA-1BDBE63D0F0C}">
    <text>ICE V3 does not include new and recycled emissions factors but only averages</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mailto:jean-yves.wilmotte@carbone4.com" TargetMode="External"/><Relationship Id="rId2" Type="http://schemas.openxmlformats.org/officeDocument/2006/relationships/hyperlink" Target="http://www.geotechnicalcarboncalculator.com/" TargetMode="External"/><Relationship Id="rId1" Type="http://schemas.openxmlformats.org/officeDocument/2006/relationships/hyperlink" Target="http://www.carbone4.com/" TargetMode="External"/><Relationship Id="rId5" Type="http://schemas.openxmlformats.org/officeDocument/2006/relationships/drawing" Target="../drawings/drawing1.xml"/><Relationship Id="rId4" Type="http://schemas.openxmlformats.org/officeDocument/2006/relationships/hyperlink" Target="mailto:sylvain.borie@carbone4.co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README">
    <tabColor theme="1" tint="0.79998168889431442"/>
    <pageSetUpPr fitToPage="1"/>
  </sheetPr>
  <dimension ref="A1:R129"/>
  <sheetViews>
    <sheetView showGridLines="0" topLeftCell="A34" zoomScale="80" zoomScaleNormal="80" zoomScalePageLayoutView="80" workbookViewId="0">
      <selection activeCell="D18" sqref="D18"/>
    </sheetView>
  </sheetViews>
  <sheetFormatPr baseColWidth="10" defaultColWidth="10.6640625" defaultRowHeight="12.75"/>
  <cols>
    <col min="1" max="1" width="1.33203125" style="151" customWidth="1"/>
    <col min="2" max="2" width="3" style="151" customWidth="1"/>
    <col min="3" max="3" width="10.6640625" style="151"/>
    <col min="4" max="4" width="11.88671875" style="151" customWidth="1"/>
    <col min="5" max="5" width="35.33203125" style="151" customWidth="1"/>
    <col min="6" max="6" width="13" style="151" customWidth="1"/>
    <col min="7" max="7" width="14.88671875" style="151" customWidth="1"/>
    <col min="8" max="9" width="10.6640625" style="151"/>
    <col min="10" max="10" width="13.5546875" style="151" customWidth="1"/>
    <col min="11" max="11" width="10.6640625" style="151"/>
    <col min="12" max="12" width="33.33203125" style="151" customWidth="1"/>
    <col min="13" max="16" width="0" style="151" hidden="1" customWidth="1"/>
    <col min="17" max="17" width="1.33203125" style="151" customWidth="1"/>
    <col min="18" max="18" width="3.109375" style="151" customWidth="1"/>
    <col min="19" max="16384" width="10.6640625" style="151"/>
  </cols>
  <sheetData>
    <row r="1" spans="2:18" ht="19.5">
      <c r="B1" s="150"/>
      <c r="C1" s="150"/>
      <c r="D1" s="150"/>
      <c r="E1" s="150"/>
      <c r="F1" s="150"/>
      <c r="G1" s="150"/>
      <c r="H1" s="150"/>
      <c r="I1" s="150"/>
      <c r="J1" s="150"/>
      <c r="K1" s="150"/>
      <c r="L1" s="150"/>
      <c r="M1" s="150"/>
      <c r="N1" s="150"/>
      <c r="O1" s="150"/>
      <c r="P1" s="150"/>
      <c r="Q1" s="150"/>
    </row>
    <row r="2" spans="2:18" s="155" customFormat="1" ht="22.5">
      <c r="B2" s="152"/>
      <c r="C2" s="153" t="str">
        <f>Translate!$A$3&amp;" "&amp;E10</f>
        <v>EFFC DFI Carbon Calculator Tool v4.0</v>
      </c>
      <c r="D2" s="154"/>
      <c r="E2" s="154"/>
      <c r="F2" s="154"/>
      <c r="G2" s="154"/>
      <c r="H2" s="154"/>
      <c r="I2" s="154"/>
      <c r="J2" s="154"/>
      <c r="K2" s="154"/>
      <c r="L2" s="154"/>
      <c r="M2" s="154"/>
      <c r="N2" s="154"/>
      <c r="O2" s="154"/>
      <c r="P2" s="154"/>
      <c r="Q2" s="154"/>
      <c r="R2" s="154"/>
    </row>
    <row r="3" spans="2:18" s="157" customFormat="1" ht="15">
      <c r="B3" s="156"/>
      <c r="C3" s="156"/>
      <c r="D3" s="156"/>
      <c r="E3" s="156"/>
      <c r="F3" s="156"/>
      <c r="G3" s="156"/>
      <c r="H3" s="156"/>
      <c r="I3" s="156"/>
      <c r="J3" s="156"/>
      <c r="K3" s="156"/>
      <c r="L3" s="156"/>
      <c r="M3" s="156"/>
      <c r="N3" s="156"/>
      <c r="O3" s="156"/>
      <c r="P3" s="156"/>
      <c r="Q3" s="156"/>
    </row>
    <row r="4" spans="2:18" s="157" customFormat="1" ht="71.099999999999994" customHeight="1" thickBot="1">
      <c r="B4" s="156"/>
      <c r="C4" s="156"/>
      <c r="D4" s="156"/>
      <c r="E4" s="156"/>
      <c r="F4" s="156"/>
      <c r="G4" s="156"/>
      <c r="H4" s="156"/>
      <c r="I4" s="156"/>
      <c r="J4" s="156"/>
      <c r="K4" s="156"/>
      <c r="L4" s="156"/>
      <c r="M4" s="156"/>
      <c r="N4" s="156"/>
      <c r="O4" s="156"/>
      <c r="P4" s="156"/>
      <c r="Q4" s="156"/>
    </row>
    <row r="5" spans="2:18" s="157" customFormat="1" ht="15">
      <c r="B5" s="156"/>
      <c r="C5" s="158" t="str">
        <f>Translate!$A$4</f>
        <v>TITLE</v>
      </c>
      <c r="D5" s="159"/>
      <c r="E5" s="160" t="str">
        <f>C2</f>
        <v>EFFC DFI Carbon Calculator Tool v4.0</v>
      </c>
      <c r="F5" s="161"/>
      <c r="G5" s="161"/>
      <c r="H5" s="161"/>
      <c r="I5" s="161"/>
      <c r="J5" s="161"/>
      <c r="K5" s="161"/>
      <c r="L5" s="162"/>
      <c r="M5" s="156"/>
      <c r="N5" s="156"/>
      <c r="O5" s="156"/>
      <c r="P5" s="156"/>
      <c r="Q5" s="156"/>
    </row>
    <row r="6" spans="2:18" s="157" customFormat="1" ht="15">
      <c r="B6" s="156"/>
      <c r="C6" s="163"/>
      <c r="D6" s="164"/>
      <c r="E6" s="164"/>
      <c r="F6" s="164"/>
      <c r="G6" s="164"/>
      <c r="H6" s="164"/>
      <c r="I6" s="164"/>
      <c r="J6" s="164"/>
      <c r="K6" s="164"/>
      <c r="L6" s="165"/>
      <c r="M6" s="156"/>
      <c r="N6" s="156"/>
      <c r="O6" s="156"/>
      <c r="P6" s="156"/>
      <c r="Q6" s="156"/>
    </row>
    <row r="7" spans="2:18" s="157" customFormat="1" ht="15">
      <c r="B7" s="156"/>
      <c r="C7" s="166" t="str">
        <f>Translate!$A$5</f>
        <v>AUTHORS</v>
      </c>
      <c r="D7" s="167"/>
      <c r="E7" s="168" t="s">
        <v>108</v>
      </c>
      <c r="F7" s="164"/>
      <c r="G7" s="164" t="s">
        <v>101</v>
      </c>
      <c r="H7" s="169" t="s">
        <v>109</v>
      </c>
      <c r="I7" s="164"/>
      <c r="J7" s="164"/>
      <c r="K7" s="170" t="s">
        <v>100</v>
      </c>
      <c r="L7" s="165"/>
      <c r="M7" s="156"/>
      <c r="N7" s="156"/>
      <c r="O7" s="156"/>
      <c r="P7" s="156"/>
      <c r="Q7" s="156"/>
    </row>
    <row r="8" spans="2:18" s="157" customFormat="1" ht="15.75" thickBot="1">
      <c r="B8" s="156"/>
      <c r="C8" s="171"/>
      <c r="D8" s="172"/>
      <c r="E8" s="173" t="s">
        <v>2589</v>
      </c>
      <c r="F8" s="174"/>
      <c r="G8" s="174" t="s">
        <v>101</v>
      </c>
      <c r="H8" s="175" t="s">
        <v>2590</v>
      </c>
      <c r="I8" s="174"/>
      <c r="J8" s="174"/>
      <c r="K8" s="174"/>
      <c r="L8" s="176"/>
      <c r="M8" s="156"/>
      <c r="N8" s="156"/>
      <c r="O8" s="156"/>
      <c r="P8" s="156"/>
      <c r="Q8" s="156"/>
    </row>
    <row r="9" spans="2:18" s="157" customFormat="1" ht="15.75" thickBot="1">
      <c r="B9" s="156"/>
      <c r="E9" s="177"/>
      <c r="F9" s="156"/>
      <c r="G9" s="156"/>
      <c r="H9" s="178"/>
      <c r="I9" s="156"/>
      <c r="J9" s="156"/>
      <c r="K9" s="156"/>
      <c r="L9" s="156"/>
      <c r="M9" s="156"/>
      <c r="N9" s="156"/>
      <c r="O9" s="156"/>
      <c r="P9" s="156"/>
      <c r="Q9" s="156"/>
    </row>
    <row r="10" spans="2:18" s="157" customFormat="1" ht="15">
      <c r="B10" s="156"/>
      <c r="C10" s="179" t="str">
        <f>Translate!$A$6</f>
        <v>VERSION NUMBER</v>
      </c>
      <c r="D10" s="180"/>
      <c r="E10" s="548" t="str">
        <f>Translate!$A$28</f>
        <v>v4.0</v>
      </c>
      <c r="F10" s="632"/>
      <c r="G10" s="344"/>
      <c r="H10" s="156"/>
      <c r="I10" s="156"/>
      <c r="J10" s="156"/>
      <c r="K10" s="156"/>
      <c r="L10" s="156"/>
      <c r="M10" s="156"/>
      <c r="N10" s="156"/>
      <c r="O10" s="156"/>
      <c r="P10" s="156"/>
      <c r="Q10" s="156"/>
    </row>
    <row r="11" spans="2:18" s="157" customFormat="1" ht="8.1" customHeight="1">
      <c r="B11" s="156"/>
      <c r="C11" s="163"/>
      <c r="D11" s="164"/>
      <c r="E11" s="345"/>
      <c r="F11" s="164"/>
      <c r="G11" s="165"/>
      <c r="H11" s="156"/>
      <c r="I11" s="156"/>
      <c r="J11" s="156"/>
      <c r="K11" s="156"/>
      <c r="L11" s="156"/>
      <c r="M11" s="156"/>
      <c r="N11" s="156"/>
      <c r="O11" s="156"/>
      <c r="P11" s="156"/>
      <c r="Q11" s="156"/>
    </row>
    <row r="12" spans="2:18" s="157" customFormat="1" ht="15">
      <c r="B12" s="156"/>
      <c r="C12" s="549" t="str">
        <f>Translate!$A$7</f>
        <v>Copyright</v>
      </c>
      <c r="D12" s="164"/>
      <c r="E12" s="345" t="str">
        <f>Translate!$A$29</f>
        <v>EFFC &amp; DFI, 2012. All rights reserved.</v>
      </c>
      <c r="F12" s="164"/>
      <c r="G12" s="165"/>
      <c r="H12" s="156"/>
      <c r="I12" s="156"/>
      <c r="J12" s="156"/>
      <c r="K12" s="156"/>
      <c r="L12" s="156"/>
      <c r="M12" s="156"/>
      <c r="N12" s="156"/>
      <c r="O12" s="156"/>
      <c r="P12" s="156"/>
      <c r="Q12" s="156"/>
    </row>
    <row r="13" spans="2:18" s="157" customFormat="1" ht="8.1" customHeight="1">
      <c r="B13" s="156"/>
      <c r="C13" s="163"/>
      <c r="D13" s="164"/>
      <c r="E13" s="345"/>
      <c r="F13" s="164"/>
      <c r="G13" s="165"/>
      <c r="H13" s="156"/>
      <c r="I13" s="156"/>
      <c r="J13" s="156"/>
      <c r="K13" s="156"/>
      <c r="L13" s="156"/>
      <c r="M13" s="156"/>
      <c r="N13" s="156"/>
      <c r="O13" s="156"/>
      <c r="P13" s="156"/>
      <c r="Q13" s="156"/>
    </row>
    <row r="14" spans="2:18" s="157" customFormat="1" ht="15.75" thickBot="1">
      <c r="B14" s="156"/>
      <c r="C14" s="181" t="str">
        <f>Translate!$A$8</f>
        <v>DATE</v>
      </c>
      <c r="D14" s="172"/>
      <c r="E14" s="550">
        <v>44075</v>
      </c>
      <c r="F14" s="633"/>
      <c r="G14" s="182"/>
      <c r="H14" s="156"/>
      <c r="I14" s="156"/>
      <c r="J14" s="156"/>
      <c r="K14" s="156"/>
      <c r="L14" s="156"/>
      <c r="M14" s="156"/>
      <c r="N14" s="156"/>
      <c r="O14" s="156"/>
      <c r="P14" s="156"/>
      <c r="Q14" s="156"/>
    </row>
    <row r="15" spans="2:18" s="157" customFormat="1" ht="15.75" thickBot="1">
      <c r="B15" s="156"/>
      <c r="C15" s="156"/>
      <c r="D15" s="156"/>
      <c r="E15" s="156"/>
      <c r="F15" s="156"/>
      <c r="G15" s="156"/>
      <c r="H15" s="156"/>
      <c r="I15" s="156"/>
      <c r="J15" s="156"/>
      <c r="K15" s="156"/>
      <c r="L15" s="156"/>
      <c r="M15" s="156"/>
      <c r="N15" s="156"/>
      <c r="O15" s="156"/>
      <c r="P15" s="156"/>
      <c r="Q15" s="156"/>
    </row>
    <row r="16" spans="2:18" s="183" customFormat="1" ht="18" customHeight="1">
      <c r="C16" s="206" t="str">
        <f>Translate!$A$500</f>
        <v>Language</v>
      </c>
      <c r="D16" s="207"/>
      <c r="E16" s="186"/>
      <c r="F16" s="675" t="str">
        <f>Translate!$A$152</f>
        <v>Emission factor database</v>
      </c>
      <c r="G16" s="186"/>
      <c r="H16" s="186"/>
      <c r="I16" s="186"/>
      <c r="J16" s="186"/>
      <c r="K16" s="197" t="str">
        <f>Translate!$A$502</f>
        <v>Units system</v>
      </c>
      <c r="L16" s="186"/>
      <c r="M16" s="186"/>
      <c r="N16" s="186"/>
      <c r="O16" s="186"/>
      <c r="P16" s="186"/>
      <c r="Q16" s="198"/>
    </row>
    <row r="17" spans="1:18" s="183" customFormat="1" ht="18" customHeight="1">
      <c r="C17" s="208"/>
      <c r="D17" s="209"/>
      <c r="E17" s="200"/>
      <c r="G17" s="200"/>
      <c r="H17" s="200"/>
      <c r="I17" s="200"/>
      <c r="J17" s="200"/>
      <c r="K17" s="200"/>
      <c r="L17" s="200"/>
      <c r="M17" s="200"/>
      <c r="N17" s="200"/>
      <c r="O17" s="200"/>
      <c r="P17" s="200"/>
      <c r="Q17" s="201"/>
    </row>
    <row r="18" spans="1:18" s="183" customFormat="1" ht="51.75" customHeight="1">
      <c r="C18" s="199"/>
      <c r="D18" s="674" t="s">
        <v>486</v>
      </c>
      <c r="E18" s="200"/>
      <c r="F18" s="739" t="s">
        <v>306</v>
      </c>
      <c r="G18" s="740"/>
      <c r="H18" s="741" t="str">
        <f>Translate!$A$237</f>
        <v>Do not change the database unless you really need it</v>
      </c>
      <c r="I18" s="742"/>
      <c r="J18" s="200"/>
      <c r="K18" s="678" t="s">
        <v>2215</v>
      </c>
      <c r="L18" s="200"/>
      <c r="M18" s="200"/>
      <c r="N18" s="200"/>
      <c r="O18" s="200"/>
      <c r="P18" s="200"/>
      <c r="Q18" s="201"/>
    </row>
    <row r="19" spans="1:18" s="183" customFormat="1" ht="15">
      <c r="A19" s="202"/>
      <c r="C19" s="199"/>
      <c r="D19" s="202"/>
      <c r="E19" s="202"/>
      <c r="F19" s="200"/>
      <c r="G19" s="200"/>
      <c r="H19" s="200"/>
      <c r="I19" s="200"/>
      <c r="J19" s="200"/>
      <c r="K19" s="200"/>
      <c r="L19" s="200"/>
      <c r="M19" s="200"/>
      <c r="N19" s="200"/>
      <c r="O19" s="200"/>
      <c r="P19" s="200"/>
      <c r="Q19" s="201"/>
    </row>
    <row r="20" spans="1:18" s="183" customFormat="1" ht="11.1" customHeight="1" thickBot="1">
      <c r="C20" s="203"/>
      <c r="D20" s="204"/>
      <c r="E20" s="204"/>
      <c r="F20" s="204"/>
      <c r="G20" s="204"/>
      <c r="H20" s="204"/>
      <c r="I20" s="204"/>
      <c r="J20" s="204"/>
      <c r="K20" s="204"/>
      <c r="L20" s="204"/>
      <c r="M20" s="204"/>
      <c r="N20" s="204"/>
      <c r="O20" s="204"/>
      <c r="P20" s="204"/>
      <c r="Q20" s="205"/>
    </row>
    <row r="21" spans="1:18" s="183" customFormat="1" ht="15.75" thickBot="1">
      <c r="C21" s="200"/>
      <c r="D21" s="200"/>
      <c r="E21" s="200"/>
      <c r="F21" s="200"/>
      <c r="G21" s="200"/>
      <c r="H21" s="200"/>
      <c r="I21" s="200"/>
      <c r="J21" s="200"/>
      <c r="K21" s="200"/>
      <c r="L21" s="200"/>
      <c r="M21" s="200"/>
      <c r="N21" s="200"/>
      <c r="O21" s="200"/>
      <c r="P21" s="200"/>
      <c r="Q21" s="200"/>
      <c r="R21" s="200"/>
    </row>
    <row r="22" spans="1:18" s="183" customFormat="1" ht="15.75">
      <c r="C22" s="184" t="str">
        <f>Translate!$A$9</f>
        <v>WHAT IS THIS TOOL ?</v>
      </c>
      <c r="D22" s="185"/>
      <c r="E22" s="186"/>
      <c r="F22" s="187"/>
      <c r="G22" s="186"/>
      <c r="H22" s="186"/>
      <c r="I22" s="186"/>
      <c r="J22" s="186"/>
      <c r="K22" s="186"/>
      <c r="L22" s="186"/>
      <c r="M22" s="186"/>
      <c r="N22" s="186"/>
      <c r="O22" s="186"/>
      <c r="P22" s="186"/>
      <c r="Q22" s="198"/>
    </row>
    <row r="23" spans="1:18" s="183" customFormat="1" ht="9.75" customHeight="1">
      <c r="C23" s="188"/>
      <c r="D23" s="189"/>
      <c r="E23" s="190"/>
      <c r="F23" s="189"/>
      <c r="G23" s="189"/>
      <c r="H23" s="189"/>
      <c r="I23" s="189"/>
      <c r="J23" s="189"/>
      <c r="K23" s="189"/>
      <c r="L23" s="189"/>
      <c r="M23" s="189"/>
      <c r="N23" s="189"/>
      <c r="O23" s="189"/>
      <c r="P23" s="189"/>
      <c r="Q23" s="191"/>
    </row>
    <row r="24" spans="1:18" s="183" customFormat="1" ht="15.75">
      <c r="C24" s="188"/>
      <c r="D24" s="189" t="str">
        <f>Translate!$A$14</f>
        <v>This excel spreadsheet is a carbon emission calculator for deep foundation techniques and projects.</v>
      </c>
      <c r="E24" s="190"/>
      <c r="F24" s="189"/>
      <c r="G24" s="189"/>
      <c r="H24" s="189"/>
      <c r="I24" s="189"/>
      <c r="J24" s="189"/>
      <c r="K24" s="189"/>
      <c r="L24" s="189"/>
      <c r="M24" s="189"/>
      <c r="N24" s="189"/>
      <c r="O24" s="189"/>
      <c r="P24" s="189"/>
      <c r="Q24" s="191"/>
    </row>
    <row r="25" spans="1:18" s="183" customFormat="1" ht="15.75">
      <c r="C25" s="188"/>
      <c r="D25" s="189" t="str">
        <f>Translate!$A$15</f>
        <v>It has been developed to support EFFC and DFI members in calculating the carbon footprint of their projects, compare solutions and value technical innovation to reduce GHG emissions.</v>
      </c>
      <c r="E25" s="189"/>
      <c r="F25" s="189"/>
      <c r="G25" s="189"/>
      <c r="H25" s="189"/>
      <c r="I25" s="189"/>
      <c r="J25" s="189"/>
      <c r="K25" s="189"/>
      <c r="L25" s="189"/>
      <c r="M25" s="189"/>
      <c r="N25" s="189"/>
      <c r="O25" s="189"/>
      <c r="P25" s="189"/>
      <c r="Q25" s="191"/>
    </row>
    <row r="26" spans="1:18" s="183" customFormat="1" ht="15.75">
      <c r="C26" s="188"/>
      <c r="D26" s="183" t="str">
        <f>Translate!$A$16</f>
        <v>On behalf of EFFC DFI, Carbone 4 developed a specific methodology and this tool to ensure coherence and comparability between  various companies calculation</v>
      </c>
      <c r="E26" s="192"/>
      <c r="F26" s="192"/>
      <c r="G26" s="192"/>
      <c r="H26" s="192"/>
      <c r="I26" s="192"/>
      <c r="J26" s="192"/>
      <c r="K26" s="192"/>
      <c r="L26" s="189"/>
      <c r="M26" s="189"/>
      <c r="N26" s="189"/>
      <c r="O26" s="189"/>
      <c r="P26" s="189"/>
      <c r="Q26" s="191"/>
    </row>
    <row r="27" spans="1:18" s="183" customFormat="1" ht="15.75">
      <c r="C27" s="188"/>
      <c r="D27" s="192" t="str">
        <f>Translate!$A$17</f>
        <v>Functionalities: calculation of the carbon footprint using standard or specific values, comparisons of projects, construction of complex project by adding simple techniques one to another.</v>
      </c>
      <c r="E27" s="192"/>
      <c r="F27" s="192"/>
      <c r="G27" s="192"/>
      <c r="H27" s="192"/>
      <c r="I27" s="192"/>
      <c r="J27" s="192"/>
      <c r="K27" s="192"/>
      <c r="L27" s="192"/>
      <c r="M27" s="192"/>
      <c r="N27" s="189"/>
      <c r="O27" s="189"/>
      <c r="P27" s="189"/>
      <c r="Q27" s="191"/>
    </row>
    <row r="28" spans="1:18" s="183" customFormat="1" ht="16.5" thickBot="1">
      <c r="C28" s="193"/>
      <c r="D28" s="194"/>
      <c r="E28" s="194"/>
      <c r="F28" s="194"/>
      <c r="G28" s="194"/>
      <c r="H28" s="194"/>
      <c r="I28" s="194"/>
      <c r="J28" s="194"/>
      <c r="K28" s="194"/>
      <c r="L28" s="194"/>
      <c r="M28" s="194"/>
      <c r="N28" s="194"/>
      <c r="O28" s="194"/>
      <c r="P28" s="194"/>
      <c r="Q28" s="195"/>
    </row>
    <row r="29" spans="1:18" s="183" customFormat="1" ht="16.5" thickBot="1">
      <c r="C29" s="196"/>
    </row>
    <row r="30" spans="1:18" s="183" customFormat="1" ht="15.75">
      <c r="C30" s="184" t="str">
        <f>Translate!$A$10</f>
        <v>HOW TO USE THIS TOOL ? SOME QUICK TIPS</v>
      </c>
      <c r="D30" s="197"/>
      <c r="E30" s="197"/>
      <c r="F30" s="197"/>
      <c r="G30" s="197"/>
      <c r="H30" s="197"/>
      <c r="I30" s="186"/>
      <c r="J30" s="186"/>
      <c r="K30" s="186"/>
      <c r="L30" s="186"/>
      <c r="M30" s="186"/>
      <c r="N30" s="186"/>
      <c r="O30" s="186"/>
      <c r="P30" s="186"/>
      <c r="Q30" s="198"/>
    </row>
    <row r="31" spans="1:18" s="183" customFormat="1" ht="6.75" customHeight="1">
      <c r="C31" s="199"/>
      <c r="D31" s="200"/>
      <c r="E31" s="200"/>
      <c r="F31" s="200"/>
      <c r="G31" s="200"/>
      <c r="H31" s="200"/>
      <c r="I31" s="200"/>
      <c r="J31" s="200"/>
      <c r="K31" s="200"/>
      <c r="L31" s="200"/>
      <c r="M31" s="200"/>
      <c r="N31" s="200"/>
      <c r="O31" s="200"/>
      <c r="P31" s="200"/>
      <c r="Q31" s="201"/>
    </row>
    <row r="32" spans="1:18" s="183" customFormat="1" ht="15">
      <c r="C32" s="199"/>
      <c r="D32" s="200" t="str">
        <f>Translate!$A$18</f>
        <v>1) Please first make sure that you have the latest version of the tool - check EFFC relevant webpage.</v>
      </c>
      <c r="E32" s="200"/>
      <c r="F32" s="200"/>
      <c r="G32" s="200"/>
      <c r="H32" s="200"/>
      <c r="I32" s="169" t="s">
        <v>2452</v>
      </c>
      <c r="J32" s="200"/>
      <c r="K32" s="200"/>
      <c r="L32" s="200"/>
      <c r="M32" s="200"/>
      <c r="N32" s="200"/>
      <c r="O32" s="200"/>
      <c r="P32" s="200"/>
      <c r="Q32" s="201"/>
    </row>
    <row r="33" spans="3:17" s="183" customFormat="1" ht="15">
      <c r="C33" s="199"/>
      <c r="D33" s="200" t="str">
        <f>Translate!$A$19</f>
        <v>2) Ensure you are trained to use this tool and understand its capabilities and limitations. Read the user guide and associated methodological document.</v>
      </c>
      <c r="E33" s="200"/>
      <c r="F33" s="200"/>
      <c r="G33" s="200"/>
      <c r="H33" s="200"/>
      <c r="I33" s="200"/>
      <c r="J33" s="200"/>
      <c r="K33" s="200"/>
      <c r="L33" s="200"/>
      <c r="M33" s="200"/>
      <c r="N33" s="200"/>
      <c r="O33" s="200"/>
      <c r="P33" s="200"/>
      <c r="Q33" s="201"/>
    </row>
    <row r="34" spans="3:17" s="183" customFormat="1" ht="26.1" customHeight="1">
      <c r="C34" s="199"/>
      <c r="D34" s="656" t="str">
        <f>Translate!$A$20</f>
        <v>3) Load your own logo in the tool</v>
      </c>
      <c r="E34" s="200"/>
      <c r="F34" s="200"/>
      <c r="G34" s="200"/>
      <c r="H34" s="200"/>
      <c r="I34" s="200"/>
      <c r="J34" s="200"/>
      <c r="K34" s="200"/>
      <c r="L34" s="200"/>
      <c r="M34" s="200"/>
      <c r="N34" s="200"/>
      <c r="O34" s="200"/>
      <c r="P34" s="200"/>
      <c r="Q34" s="201"/>
    </row>
    <row r="35" spans="3:17" s="183" customFormat="1" ht="15">
      <c r="C35" s="199"/>
      <c r="D35" s="200" t="str">
        <f>Translate!$A$21</f>
        <v>4) Create one or more new subprojects using the "New Subproject sheet" button located in the HOME worksheet</v>
      </c>
      <c r="E35" s="200"/>
      <c r="F35" s="200"/>
      <c r="G35" s="200"/>
      <c r="H35" s="200"/>
      <c r="I35" s="200"/>
      <c r="J35" s="200"/>
      <c r="K35" s="200"/>
      <c r="L35" s="200"/>
      <c r="M35" s="200"/>
      <c r="N35" s="200"/>
      <c r="O35" s="200"/>
      <c r="P35" s="200"/>
      <c r="Q35" s="201"/>
    </row>
    <row r="36" spans="3:17" s="183" customFormat="1" ht="15">
      <c r="C36" s="199"/>
      <c r="D36" s="202" t="str">
        <f>Translate!$A$22</f>
        <v>a) Enter all information relative to your different projects in the yellow tabs. You can add, duplicate or remove as many yellow tabs as you like.</v>
      </c>
      <c r="E36" s="200"/>
      <c r="F36" s="200"/>
      <c r="G36" s="200"/>
      <c r="H36" s="200"/>
      <c r="I36" s="200"/>
      <c r="J36" s="200"/>
      <c r="K36" s="200"/>
      <c r="L36" s="200"/>
      <c r="M36" s="200"/>
      <c r="N36" s="200"/>
      <c r="O36" s="200"/>
      <c r="P36" s="200"/>
      <c r="Q36" s="201"/>
    </row>
    <row r="37" spans="3:17" s="183" customFormat="1" ht="15">
      <c r="C37" s="199"/>
      <c r="D37" s="202" t="str">
        <f>Translate!$A$23</f>
        <v xml:space="preserve">b) The input data for a given project are prioritised according to the technique used. </v>
      </c>
      <c r="E37" s="200"/>
      <c r="F37" s="200"/>
      <c r="G37" s="200"/>
      <c r="H37" s="200"/>
      <c r="I37" s="200"/>
      <c r="J37" s="200"/>
      <c r="K37" s="200"/>
      <c r="L37" s="200"/>
      <c r="M37" s="200"/>
      <c r="N37" s="200"/>
      <c r="O37" s="200"/>
      <c r="P37" s="200"/>
      <c r="Q37" s="201"/>
    </row>
    <row r="38" spans="3:17" s="183" customFormat="1" ht="15">
      <c r="C38" s="199"/>
      <c r="D38" s="200" t="str">
        <f>Translate!$A$24</f>
        <v>5) Create one or more new projects using the "New Project sheet" button located in the HOME worksheet</v>
      </c>
      <c r="E38" s="200"/>
      <c r="F38" s="200"/>
      <c r="G38" s="200"/>
      <c r="H38" s="200"/>
      <c r="I38" s="200"/>
      <c r="J38" s="200"/>
      <c r="K38" s="200"/>
      <c r="L38" s="200"/>
      <c r="M38" s="200"/>
      <c r="N38" s="200"/>
      <c r="O38" s="200"/>
      <c r="P38" s="200"/>
      <c r="Q38" s="201"/>
    </row>
    <row r="39" spans="3:17" s="183" customFormat="1" ht="15.75" customHeight="1">
      <c r="C39" s="199"/>
      <c r="D39" s="202" t="str">
        <f>Translate!$A$25</f>
        <v>A project is an ensemble of subprojects and projects</v>
      </c>
      <c r="E39" s="200"/>
      <c r="F39" s="200"/>
      <c r="G39" s="200"/>
      <c r="H39" s="200"/>
      <c r="I39" s="200"/>
      <c r="J39" s="200"/>
      <c r="K39" s="200"/>
      <c r="L39" s="200"/>
      <c r="M39" s="200"/>
      <c r="N39" s="200"/>
      <c r="O39" s="200"/>
      <c r="P39" s="200"/>
      <c r="Q39" s="201"/>
    </row>
    <row r="40" spans="3:17" s="183" customFormat="1" ht="15">
      <c r="C40" s="199"/>
      <c r="D40" s="200" t="str">
        <f>Translate!$A$26</f>
        <v>6) Export the result in a A4 PDF document</v>
      </c>
      <c r="E40" s="200"/>
      <c r="F40" s="200"/>
      <c r="G40" s="200"/>
      <c r="H40" s="200"/>
      <c r="I40" s="200"/>
      <c r="J40" s="200"/>
      <c r="K40" s="200"/>
      <c r="L40" s="200"/>
      <c r="M40" s="200"/>
      <c r="N40" s="200"/>
      <c r="O40" s="200"/>
      <c r="P40" s="200"/>
      <c r="Q40" s="201"/>
    </row>
    <row r="41" spans="3:17" s="183" customFormat="1" ht="15">
      <c r="C41" s="199"/>
      <c r="D41" s="200" t="str">
        <f>Translate!$A$27</f>
        <v>7) Compare different alternatives in the "Comparison" worksheet</v>
      </c>
      <c r="E41" s="200"/>
      <c r="F41" s="200"/>
      <c r="G41" s="200"/>
      <c r="H41" s="200"/>
      <c r="I41" s="200"/>
      <c r="J41" s="200"/>
      <c r="K41" s="200"/>
      <c r="L41" s="200"/>
      <c r="M41" s="200"/>
      <c r="N41" s="200"/>
      <c r="O41" s="200"/>
      <c r="P41" s="200"/>
      <c r="Q41" s="201"/>
    </row>
    <row r="42" spans="3:17" s="183" customFormat="1" ht="59.1" customHeight="1" thickBot="1">
      <c r="C42" s="203"/>
      <c r="D42" s="204"/>
      <c r="E42" s="204"/>
      <c r="F42" s="204"/>
      <c r="G42" s="204"/>
      <c r="H42" s="204"/>
      <c r="I42" s="204"/>
      <c r="J42" s="204"/>
      <c r="K42" s="204"/>
      <c r="L42" s="204"/>
      <c r="M42" s="204"/>
      <c r="N42" s="204"/>
      <c r="O42" s="204"/>
      <c r="P42" s="204"/>
      <c r="Q42" s="205"/>
    </row>
    <row r="43" spans="3:17" s="183" customFormat="1" ht="15.75" thickBot="1"/>
    <row r="44" spans="3:17" s="183" customFormat="1" ht="18" customHeight="1">
      <c r="C44" s="206" t="str">
        <f>Translate!$A$12</f>
        <v>Color code</v>
      </c>
      <c r="D44" s="207"/>
      <c r="E44" s="186"/>
      <c r="F44" s="186"/>
      <c r="G44" s="186"/>
      <c r="H44" s="186"/>
      <c r="I44" s="186"/>
      <c r="J44" s="186"/>
      <c r="K44" s="186"/>
      <c r="L44" s="186"/>
      <c r="M44" s="186"/>
      <c r="N44" s="186"/>
      <c r="O44" s="186"/>
      <c r="P44" s="186"/>
      <c r="Q44" s="198"/>
    </row>
    <row r="45" spans="3:17" s="183" customFormat="1" ht="18" customHeight="1">
      <c r="C45" s="208" t="str">
        <f>Translate!$A$13</f>
        <v>In all worksheets</v>
      </c>
      <c r="D45" s="209"/>
      <c r="E45" s="200"/>
      <c r="F45" s="200"/>
      <c r="G45" s="200"/>
      <c r="H45" s="200"/>
      <c r="I45" s="200"/>
      <c r="J45" s="200"/>
      <c r="K45" s="200"/>
      <c r="L45" s="200"/>
      <c r="M45" s="200"/>
      <c r="N45" s="200"/>
      <c r="O45" s="200"/>
      <c r="P45" s="200"/>
      <c r="Q45" s="201"/>
    </row>
    <row r="46" spans="3:17" s="183" customFormat="1" ht="15.75">
      <c r="C46" s="199"/>
      <c r="D46" s="210"/>
      <c r="E46" s="200" t="str">
        <f>Translate!$A$30</f>
        <v xml:space="preserve">   Project input data (to be filled by user)</v>
      </c>
      <c r="F46" s="200"/>
      <c r="G46" s="200"/>
      <c r="H46" s="200"/>
      <c r="I46" s="200"/>
      <c r="J46" s="200"/>
      <c r="K46" s="200"/>
      <c r="L46" s="200"/>
      <c r="M46" s="200"/>
      <c r="N46" s="200"/>
      <c r="O46" s="200"/>
      <c r="P46" s="200"/>
      <c r="Q46" s="201"/>
    </row>
    <row r="47" spans="3:17" s="183" customFormat="1" ht="15">
      <c r="C47" s="199"/>
      <c r="D47" s="214"/>
      <c r="E47" s="202" t="str">
        <f>Translate!$A$31</f>
        <v>Coloured cells : non editable cells</v>
      </c>
      <c r="F47" s="200"/>
      <c r="G47" s="200"/>
      <c r="H47" s="200"/>
      <c r="I47" s="200"/>
      <c r="J47" s="200"/>
      <c r="K47" s="200"/>
      <c r="L47" s="200"/>
      <c r="M47" s="200"/>
      <c r="N47" s="200"/>
      <c r="O47" s="200"/>
      <c r="P47" s="200"/>
      <c r="Q47" s="201"/>
    </row>
    <row r="48" spans="3:17" s="183" customFormat="1" ht="11.1" customHeight="1" thickBot="1">
      <c r="C48" s="203"/>
      <c r="D48" s="204"/>
      <c r="E48" s="204"/>
      <c r="F48" s="204"/>
      <c r="G48" s="204"/>
      <c r="H48" s="204"/>
      <c r="I48" s="204"/>
      <c r="J48" s="204"/>
      <c r="K48" s="204"/>
      <c r="L48" s="204"/>
      <c r="M48" s="204"/>
      <c r="N48" s="204"/>
      <c r="O48" s="204"/>
      <c r="P48" s="204"/>
      <c r="Q48" s="205"/>
    </row>
    <row r="49" spans="2:17" s="157" customFormat="1" ht="15.75" thickBot="1">
      <c r="B49" s="156"/>
      <c r="C49" s="156"/>
      <c r="D49" s="211"/>
      <c r="F49" s="212"/>
      <c r="G49" s="156"/>
      <c r="H49" s="156"/>
      <c r="I49" s="156"/>
      <c r="J49" s="156"/>
      <c r="K49" s="156"/>
      <c r="L49" s="156"/>
      <c r="M49" s="156"/>
      <c r="N49" s="156"/>
      <c r="O49" s="156"/>
      <c r="P49" s="156"/>
      <c r="Q49" s="156"/>
    </row>
    <row r="50" spans="2:17" s="157" customFormat="1" ht="15.75">
      <c r="B50" s="156"/>
      <c r="C50" s="206" t="str">
        <f>Translate!$A$501</f>
        <v>Emission breakdown : Average results (based on samples studied to develop the methodology)</v>
      </c>
      <c r="D50" s="207"/>
      <c r="E50" s="186"/>
      <c r="F50" s="186"/>
      <c r="G50" s="186"/>
      <c r="H50" s="186"/>
      <c r="I50" s="186"/>
      <c r="J50" s="186"/>
      <c r="K50" s="186"/>
      <c r="L50" s="186"/>
      <c r="M50" s="186"/>
      <c r="N50" s="186"/>
      <c r="O50" s="186"/>
      <c r="P50" s="186"/>
      <c r="Q50" s="198"/>
    </row>
    <row r="51" spans="2:17" s="157" customFormat="1" ht="15">
      <c r="B51" s="156"/>
      <c r="C51" s="208"/>
      <c r="D51" s="209"/>
      <c r="E51" s="200"/>
      <c r="F51" s="200"/>
      <c r="G51" s="200"/>
      <c r="H51" s="200"/>
      <c r="I51" s="200"/>
      <c r="J51" s="200"/>
      <c r="K51" s="200"/>
      <c r="L51" s="200"/>
      <c r="M51" s="200"/>
      <c r="N51" s="200"/>
      <c r="O51" s="200"/>
      <c r="P51" s="200"/>
      <c r="Q51" s="201"/>
    </row>
    <row r="52" spans="2:17" s="157" customFormat="1" ht="15">
      <c r="C52" s="199"/>
      <c r="F52" s="200"/>
      <c r="G52" s="200"/>
      <c r="H52" s="200"/>
      <c r="I52" s="200"/>
      <c r="J52" s="200"/>
      <c r="K52" s="200"/>
      <c r="L52" s="200"/>
      <c r="M52" s="200"/>
      <c r="N52" s="200"/>
      <c r="O52" s="200"/>
      <c r="P52" s="200"/>
      <c r="Q52" s="201"/>
    </row>
    <row r="53" spans="2:17" s="157" customFormat="1" ht="15">
      <c r="C53" s="199"/>
      <c r="F53" s="200"/>
      <c r="G53" s="200"/>
      <c r="H53" s="200"/>
      <c r="I53" s="200"/>
      <c r="J53" s="200"/>
      <c r="K53" s="200"/>
      <c r="L53" s="200"/>
      <c r="M53" s="200"/>
      <c r="N53" s="200"/>
      <c r="O53" s="200"/>
      <c r="P53" s="200"/>
      <c r="Q53" s="201"/>
    </row>
    <row r="54" spans="2:17" s="157" customFormat="1" ht="15">
      <c r="C54" s="199"/>
      <c r="Q54" s="201"/>
    </row>
    <row r="55" spans="2:17" s="157" customFormat="1" ht="15">
      <c r="C55" s="199"/>
      <c r="D55" s="211"/>
      <c r="E55" s="211"/>
      <c r="Q55" s="201"/>
    </row>
    <row r="56" spans="2:17" s="157" customFormat="1" ht="15">
      <c r="C56" s="199"/>
      <c r="D56" s="211"/>
      <c r="E56" s="211"/>
      <c r="Q56" s="201"/>
    </row>
    <row r="57" spans="2:17" s="157" customFormat="1" ht="15">
      <c r="C57" s="199"/>
      <c r="E57" s="211"/>
      <c r="Q57" s="201"/>
    </row>
    <row r="58" spans="2:17" s="157" customFormat="1" ht="15">
      <c r="C58" s="199"/>
      <c r="D58" s="211"/>
      <c r="E58" s="211"/>
      <c r="Q58" s="201"/>
    </row>
    <row r="59" spans="2:17" s="157" customFormat="1" ht="15">
      <c r="C59" s="199"/>
      <c r="D59" s="211"/>
      <c r="E59" s="211"/>
      <c r="Q59" s="201"/>
    </row>
    <row r="60" spans="2:17" s="157" customFormat="1" ht="15">
      <c r="C60" s="199"/>
      <c r="D60" s="211"/>
      <c r="E60" s="211"/>
      <c r="Q60" s="201"/>
    </row>
    <row r="61" spans="2:17" s="157" customFormat="1" ht="15">
      <c r="C61" s="199"/>
      <c r="D61" s="211"/>
      <c r="E61" s="211"/>
      <c r="Q61" s="201"/>
    </row>
    <row r="62" spans="2:17" s="157" customFormat="1" ht="15">
      <c r="C62" s="199"/>
      <c r="D62" s="211"/>
      <c r="E62" s="211"/>
      <c r="Q62" s="201"/>
    </row>
    <row r="63" spans="2:17" s="157" customFormat="1" ht="15">
      <c r="C63" s="199"/>
      <c r="D63" s="211"/>
      <c r="E63" s="211"/>
      <c r="Q63" s="201"/>
    </row>
    <row r="64" spans="2:17" s="157" customFormat="1" ht="15">
      <c r="C64" s="199"/>
      <c r="D64" s="211"/>
      <c r="E64" s="211"/>
      <c r="Q64" s="201"/>
    </row>
    <row r="65" spans="3:17" s="157" customFormat="1" ht="15">
      <c r="C65" s="199"/>
      <c r="D65" s="211"/>
      <c r="E65" s="211"/>
      <c r="Q65" s="201"/>
    </row>
    <row r="66" spans="3:17" s="157" customFormat="1" ht="15">
      <c r="C66" s="199"/>
      <c r="D66" s="211"/>
      <c r="E66" s="211"/>
      <c r="Q66" s="201"/>
    </row>
    <row r="67" spans="3:17" s="157" customFormat="1" ht="15">
      <c r="C67" s="199"/>
      <c r="D67" s="211"/>
      <c r="E67" s="211"/>
      <c r="Q67" s="201"/>
    </row>
    <row r="68" spans="3:17" s="157" customFormat="1" ht="15">
      <c r="C68" s="199"/>
      <c r="D68" s="211"/>
      <c r="E68" s="211"/>
      <c r="Q68" s="201"/>
    </row>
    <row r="69" spans="3:17" s="157" customFormat="1" ht="15">
      <c r="C69" s="199"/>
      <c r="D69" s="211"/>
      <c r="E69" s="211"/>
      <c r="Q69" s="201"/>
    </row>
    <row r="70" spans="3:17" s="157" customFormat="1" ht="15">
      <c r="C70" s="199"/>
      <c r="D70" s="211"/>
      <c r="E70" s="211"/>
      <c r="Q70" s="201"/>
    </row>
    <row r="71" spans="3:17" s="157" customFormat="1" ht="15">
      <c r="C71" s="199"/>
      <c r="D71" s="211"/>
      <c r="E71" s="211"/>
      <c r="Q71" s="201"/>
    </row>
    <row r="72" spans="3:17" s="157" customFormat="1" ht="15">
      <c r="C72" s="199"/>
      <c r="D72" s="211"/>
      <c r="E72" s="211"/>
      <c r="Q72" s="201"/>
    </row>
    <row r="73" spans="3:17" s="157" customFormat="1" ht="15">
      <c r="C73" s="199"/>
      <c r="D73" s="211"/>
      <c r="E73" s="211"/>
      <c r="Q73" s="201"/>
    </row>
    <row r="74" spans="3:17" s="157" customFormat="1" ht="15">
      <c r="C74" s="199"/>
      <c r="D74" s="211"/>
      <c r="Q74" s="201"/>
    </row>
    <row r="75" spans="3:17" s="157" customFormat="1" ht="15">
      <c r="C75" s="199"/>
      <c r="D75" s="211"/>
      <c r="E75" s="211"/>
      <c r="Q75" s="201"/>
    </row>
    <row r="76" spans="3:17" s="157" customFormat="1" ht="15">
      <c r="C76" s="199"/>
      <c r="E76" s="211"/>
      <c r="Q76" s="201"/>
    </row>
    <row r="77" spans="3:17" s="157" customFormat="1" ht="15.75" thickBot="1">
      <c r="C77" s="203"/>
      <c r="D77" s="204"/>
      <c r="E77" s="204"/>
      <c r="F77" s="204"/>
      <c r="G77" s="204"/>
      <c r="H77" s="204"/>
      <c r="I77" s="204"/>
      <c r="J77" s="204"/>
      <c r="K77" s="204"/>
      <c r="L77" s="204"/>
      <c r="M77" s="204"/>
      <c r="N77" s="204"/>
      <c r="O77" s="204"/>
      <c r="P77" s="204"/>
      <c r="Q77" s="205"/>
    </row>
    <row r="78" spans="3:17" s="157" customFormat="1" ht="15">
      <c r="C78" s="156"/>
      <c r="D78" s="211"/>
      <c r="E78" s="211"/>
    </row>
    <row r="79" spans="3:17" s="157" customFormat="1" ht="15">
      <c r="C79" s="156"/>
      <c r="D79" s="211"/>
      <c r="E79" s="211"/>
    </row>
    <row r="80" spans="3:17" s="157" customFormat="1" ht="15">
      <c r="C80" s="156"/>
      <c r="D80" s="211"/>
      <c r="E80" s="211"/>
    </row>
    <row r="81" spans="3:5" s="157" customFormat="1" ht="15">
      <c r="C81" s="156"/>
      <c r="D81" s="211"/>
      <c r="E81" s="211"/>
    </row>
    <row r="82" spans="3:5" s="157" customFormat="1" ht="15">
      <c r="C82" s="156"/>
      <c r="D82" s="211"/>
      <c r="E82" s="211"/>
    </row>
    <row r="83" spans="3:5" s="157" customFormat="1" ht="15">
      <c r="C83" s="156"/>
      <c r="D83" s="211"/>
      <c r="E83" s="211"/>
    </row>
    <row r="84" spans="3:5" s="157" customFormat="1" ht="15">
      <c r="C84" s="156"/>
      <c r="D84" s="211"/>
      <c r="E84" s="211"/>
    </row>
    <row r="85" spans="3:5" s="157" customFormat="1" ht="15">
      <c r="C85" s="156"/>
      <c r="D85" s="211"/>
      <c r="E85" s="211"/>
    </row>
    <row r="86" spans="3:5" s="157" customFormat="1" ht="15">
      <c r="C86" s="156"/>
      <c r="D86" s="211"/>
      <c r="E86" s="211"/>
    </row>
    <row r="87" spans="3:5" s="157" customFormat="1" ht="15">
      <c r="C87" s="156"/>
      <c r="D87" s="211"/>
      <c r="E87" s="211"/>
    </row>
    <row r="88" spans="3:5" s="157" customFormat="1" ht="15">
      <c r="C88" s="156"/>
      <c r="D88" s="211"/>
      <c r="E88" s="211"/>
    </row>
    <row r="89" spans="3:5" s="157" customFormat="1" ht="15">
      <c r="C89" s="156"/>
      <c r="D89" s="211"/>
      <c r="E89" s="211"/>
    </row>
    <row r="90" spans="3:5" s="157" customFormat="1" ht="15">
      <c r="C90" s="156"/>
      <c r="D90" s="212"/>
      <c r="E90" s="211"/>
    </row>
    <row r="91" spans="3:5" s="157" customFormat="1" ht="15">
      <c r="C91" s="156"/>
      <c r="D91" s="211"/>
      <c r="E91" s="211"/>
    </row>
    <row r="92" spans="3:5" s="157" customFormat="1" ht="15">
      <c r="C92" s="156"/>
      <c r="D92" s="211"/>
      <c r="E92" s="211"/>
    </row>
    <row r="93" spans="3:5" s="157" customFormat="1" ht="15">
      <c r="C93" s="156"/>
      <c r="D93" s="211"/>
      <c r="E93" s="211"/>
    </row>
    <row r="94" spans="3:5" s="157" customFormat="1" ht="15">
      <c r="C94" s="156"/>
      <c r="D94" s="211"/>
      <c r="E94" s="211"/>
    </row>
    <row r="95" spans="3:5" s="157" customFormat="1" ht="15">
      <c r="C95" s="156"/>
      <c r="D95" s="211"/>
      <c r="E95" s="211"/>
    </row>
    <row r="96" spans="3:5" s="157" customFormat="1" ht="15">
      <c r="C96" s="156"/>
      <c r="D96" s="211"/>
      <c r="E96" s="211"/>
    </row>
    <row r="97" spans="3:5" s="157" customFormat="1" ht="15">
      <c r="C97" s="156"/>
      <c r="D97" s="211"/>
      <c r="E97" s="211"/>
    </row>
    <row r="98" spans="3:5" s="157" customFormat="1" ht="15">
      <c r="C98" s="156"/>
      <c r="D98" s="211"/>
      <c r="E98" s="211"/>
    </row>
    <row r="99" spans="3:5" s="157" customFormat="1" ht="15">
      <c r="C99" s="156"/>
      <c r="D99" s="211"/>
      <c r="E99" s="211"/>
    </row>
    <row r="100" spans="3:5" s="157" customFormat="1" ht="15">
      <c r="C100" s="156"/>
      <c r="D100" s="211"/>
      <c r="E100" s="211"/>
    </row>
    <row r="101" spans="3:5" s="157" customFormat="1" ht="15">
      <c r="C101" s="156"/>
      <c r="D101" s="211"/>
      <c r="E101" s="211"/>
    </row>
    <row r="102" spans="3:5" s="157" customFormat="1" ht="15">
      <c r="C102" s="156"/>
      <c r="D102" s="211"/>
      <c r="E102" s="211"/>
    </row>
    <row r="103" spans="3:5" s="157" customFormat="1" ht="15">
      <c r="C103" s="156"/>
      <c r="D103" s="211"/>
      <c r="E103" s="211"/>
    </row>
    <row r="104" spans="3:5" s="157" customFormat="1" ht="15">
      <c r="C104" s="156"/>
      <c r="D104" s="211"/>
      <c r="E104" s="211"/>
    </row>
    <row r="105" spans="3:5" s="157" customFormat="1" ht="15">
      <c r="C105" s="156"/>
      <c r="D105" s="211"/>
      <c r="E105" s="211"/>
    </row>
    <row r="106" spans="3:5" s="157" customFormat="1" ht="15">
      <c r="C106" s="156"/>
      <c r="D106" s="211"/>
      <c r="E106" s="211"/>
    </row>
    <row r="107" spans="3:5" s="157" customFormat="1" ht="15">
      <c r="C107" s="156"/>
      <c r="D107" s="211"/>
      <c r="E107" s="211"/>
    </row>
    <row r="108" spans="3:5" s="157" customFormat="1" ht="15">
      <c r="C108" s="156"/>
      <c r="D108" s="211"/>
      <c r="E108" s="211"/>
    </row>
    <row r="109" spans="3:5" s="157" customFormat="1" ht="15">
      <c r="C109" s="156"/>
      <c r="D109" s="211"/>
      <c r="E109" s="211"/>
    </row>
    <row r="110" spans="3:5" s="157" customFormat="1" ht="15">
      <c r="D110" s="211"/>
      <c r="E110" s="211"/>
    </row>
    <row r="111" spans="3:5" s="157" customFormat="1" ht="15">
      <c r="D111" s="211"/>
      <c r="E111" s="211"/>
    </row>
    <row r="112" spans="3:5">
      <c r="D112" s="213"/>
    </row>
    <row r="119" spans="5:5">
      <c r="E119" s="213"/>
    </row>
    <row r="120" spans="5:5">
      <c r="E120" s="213"/>
    </row>
    <row r="124" spans="5:5">
      <c r="E124" s="213"/>
    </row>
    <row r="128" spans="5:5">
      <c r="E128" s="213"/>
    </row>
    <row r="129" spans="4:4">
      <c r="D129" s="213"/>
    </row>
  </sheetData>
  <sheetProtection formatColumns="0" formatRows="0"/>
  <mergeCells count="2">
    <mergeCell ref="F18:G18"/>
    <mergeCell ref="H18:I18"/>
  </mergeCells>
  <phoneticPr fontId="66" type="noConversion"/>
  <dataValidations count="3">
    <dataValidation type="list" allowBlank="1" showInputMessage="1" showErrorMessage="1" sqref="D18" xr:uid="{00000000-0002-0000-0000-000000000000}">
      <formula1>language</formula1>
    </dataValidation>
    <dataValidation type="list" allowBlank="1" showInputMessage="1" showErrorMessage="1" sqref="F18:G18" xr:uid="{00000000-0002-0000-0000-000001000000}">
      <formula1>EF_databases</formula1>
    </dataValidation>
    <dataValidation type="list" allowBlank="1" showInputMessage="1" showErrorMessage="1" sqref="K18" xr:uid="{00000000-0002-0000-0000-000002000000}">
      <formula1>units_system</formula1>
    </dataValidation>
  </dataValidations>
  <hyperlinks>
    <hyperlink ref="K7" r:id="rId1" xr:uid="{00000000-0004-0000-0000-000000000000}"/>
    <hyperlink ref="I32" r:id="rId2" xr:uid="{00000000-0004-0000-0000-000001000000}"/>
    <hyperlink ref="H7" r:id="rId3" xr:uid="{00000000-0004-0000-0000-000002000000}"/>
    <hyperlink ref="H8" r:id="rId4" xr:uid="{00000000-0004-0000-0000-000003000000}"/>
  </hyperlinks>
  <pageMargins left="0.75000000000000011" right="0.75000000000000011" top="0.984251969" bottom="0.984251969" header="0.5" footer="0.5"/>
  <pageSetup paperSize="9" scale="40" orientation="portrait" horizontalDpi="4294967292" verticalDpi="4294967292"/>
  <drawing r:id="rId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tabColor theme="1" tint="0.79998168889431442"/>
  </sheetPr>
  <dimension ref="A1:M118"/>
  <sheetViews>
    <sheetView topLeftCell="B5" zoomScale="80" zoomScaleNormal="80" zoomScalePageLayoutView="80" workbookViewId="0">
      <selection activeCell="F15" sqref="F15"/>
    </sheetView>
  </sheetViews>
  <sheetFormatPr baseColWidth="10" defaultColWidth="10.6640625" defaultRowHeight="15"/>
  <cols>
    <col min="1" max="1" width="2.33203125" style="95" hidden="1" customWidth="1"/>
    <col min="2" max="2" width="4.33203125" style="95" customWidth="1"/>
    <col min="3" max="3" width="4.5546875" style="95" customWidth="1"/>
    <col min="4" max="4" width="14.109375" style="95" customWidth="1"/>
    <col min="5" max="5" width="10.6640625" style="95"/>
    <col min="6" max="6" width="13.5546875" style="95" customWidth="1"/>
    <col min="7" max="7" width="15.5546875" style="95" customWidth="1"/>
    <col min="8" max="8" width="25.33203125" style="95" customWidth="1"/>
    <col min="9" max="9" width="14.6640625" style="95" customWidth="1"/>
    <col min="10" max="13" width="13.88671875" style="95" customWidth="1"/>
    <col min="14" max="16384" width="10.6640625" style="95"/>
  </cols>
  <sheetData>
    <row r="1" spans="1:13" hidden="1">
      <c r="J1" s="572"/>
      <c r="K1" s="573"/>
      <c r="L1" s="574"/>
      <c r="M1" s="575"/>
    </row>
    <row r="2" spans="1:13" ht="27.75" customHeight="1" thickBot="1">
      <c r="D2" s="753" t="str">
        <f>Translate!$A$32</f>
        <v>EFFC DFI Project Carbon Calculator</v>
      </c>
      <c r="E2" s="754"/>
      <c r="F2" s="754"/>
      <c r="G2" s="754"/>
      <c r="H2" s="755"/>
    </row>
    <row r="3" spans="1:13" ht="78.75" customHeight="1" thickBot="1">
      <c r="D3" s="600"/>
      <c r="E3" s="601"/>
      <c r="F3" s="601"/>
      <c r="G3" s="601"/>
      <c r="H3" s="602"/>
    </row>
    <row r="4" spans="1:13">
      <c r="H4" s="570"/>
    </row>
    <row r="5" spans="1:13" ht="31.5">
      <c r="D5" s="441" t="str">
        <f>Translate!$A$33</f>
        <v>Kind of Worksheet</v>
      </c>
      <c r="E5" s="756" t="str">
        <f>Translate!$A$41</f>
        <v>Purpose</v>
      </c>
      <c r="F5" s="757"/>
      <c r="G5" s="758"/>
      <c r="H5" s="441" t="str">
        <f>Translate!$A$56</f>
        <v>Input</v>
      </c>
      <c r="J5" s="743" t="str">
        <f>Lists!H9</f>
        <v>General Principles :  emission sources are split into two categories :
 - primary emission sources (represented in colors)
  - secondary emission sources (represented in gray)
The method recommends to start with the primary emission sources,with the secondary emission sources being automatically estimated. Then you may want to fine tune the calculation using specific activity data for the secondary emission sources also.</v>
      </c>
      <c r="K5" s="743"/>
      <c r="L5" s="743"/>
      <c r="M5" s="743"/>
    </row>
    <row r="6" spans="1:13" ht="36.75" customHeight="1">
      <c r="D6" s="446" t="str">
        <f>Translate!$A$34</f>
        <v>Subproject</v>
      </c>
      <c r="E6" s="759" t="str">
        <f>Translate!$A$42</f>
        <v>Calculate the carbon footprint of a part of a project</v>
      </c>
      <c r="F6" s="760"/>
      <c r="G6" s="761"/>
      <c r="H6" s="442" t="str">
        <f>Translate!$A$57</f>
        <v>Field activities data (USER SPECIFIED)</v>
      </c>
      <c r="I6" s="457"/>
      <c r="J6" s="743"/>
      <c r="K6" s="743"/>
      <c r="L6" s="743"/>
      <c r="M6" s="743"/>
    </row>
    <row r="7" spans="1:13" ht="36.75" customHeight="1">
      <c r="D7" s="447" t="str">
        <f>Translate!$A$35</f>
        <v>Project</v>
      </c>
      <c r="E7" s="762" t="str">
        <f>Translate!$A$43</f>
        <v>Total other sheets</v>
      </c>
      <c r="F7" s="763"/>
      <c r="G7" s="764"/>
      <c r="H7" s="443" t="str">
        <f>Translate!$A$58</f>
        <v>Subproject sheets
Project sheets</v>
      </c>
      <c r="I7" s="457"/>
      <c r="J7" s="743"/>
      <c r="K7" s="743"/>
      <c r="L7" s="743"/>
      <c r="M7" s="743"/>
    </row>
    <row r="8" spans="1:13" ht="36.75" customHeight="1">
      <c r="D8" s="448" t="str">
        <f>Translate!$A$36</f>
        <v>Results</v>
      </c>
      <c r="E8" s="765" t="str">
        <f>Translate!$A$44</f>
        <v>Extract the main data in a printable layout</v>
      </c>
      <c r="F8" s="766"/>
      <c r="G8" s="767"/>
      <c r="H8" s="444" t="str">
        <f>Translate!$A$58</f>
        <v>Subproject sheets
Project sheets</v>
      </c>
      <c r="I8" s="457"/>
      <c r="J8" s="743"/>
      <c r="K8" s="743"/>
      <c r="L8" s="743"/>
      <c r="M8" s="743"/>
    </row>
    <row r="9" spans="1:13" ht="36.75" customHeight="1">
      <c r="D9" s="449" t="str">
        <f>Translate!$A$37</f>
        <v>Comparison</v>
      </c>
      <c r="E9" s="768" t="str">
        <f>Translate!$A$45</f>
        <v>Compare different projects or subprojects</v>
      </c>
      <c r="F9" s="769"/>
      <c r="G9" s="770"/>
      <c r="H9" s="445" t="str">
        <f>Translate!$A$58</f>
        <v>Subproject sheets
Project sheets</v>
      </c>
      <c r="J9" s="743"/>
      <c r="K9" s="743"/>
      <c r="L9" s="743"/>
      <c r="M9" s="743"/>
    </row>
    <row r="11" spans="1:13" ht="15.75" thickBot="1">
      <c r="I11" s="96"/>
      <c r="L11" s="96"/>
    </row>
    <row r="12" spans="1:13" ht="31.5">
      <c r="D12" s="142"/>
      <c r="E12" s="571" t="str">
        <f>Translate!$A$46</f>
        <v>Create here your subproject sheets</v>
      </c>
      <c r="F12" s="143"/>
      <c r="G12" s="143"/>
      <c r="H12" s="144"/>
      <c r="J12" s="693" t="str">
        <f>Translate!$A$59</f>
        <v>Existing Subprojects</v>
      </c>
      <c r="K12" s="128" t="str">
        <f>Translate!$A$60</f>
        <v>Existing Projects</v>
      </c>
      <c r="L12" s="694" t="str">
        <f>Translate!$A$61</f>
        <v>Results sheets</v>
      </c>
      <c r="M12" s="695" t="str">
        <f>Translate!$A$62</f>
        <v>Comparison sheets</v>
      </c>
    </row>
    <row r="13" spans="1:13" ht="37.5" customHeight="1">
      <c r="D13" s="744" t="str">
        <f>Translate!$A$38</f>
        <v>A subproject sheet is a spreadsheet in which you enter all  activity data regarding one technique.</v>
      </c>
      <c r="E13" s="745"/>
      <c r="F13" s="745"/>
      <c r="G13" s="745"/>
      <c r="H13" s="746"/>
      <c r="J13" s="706"/>
      <c r="K13" s="706"/>
      <c r="L13" s="706"/>
      <c r="M13" s="706"/>
    </row>
    <row r="14" spans="1:13" ht="18">
      <c r="A14" s="134">
        <f ca="1">IF(ISBLANK(F14),1,IF(ISERROR(INDIRECT("'"&amp;F14&amp;"'!A1")),0,1))</f>
        <v>1</v>
      </c>
      <c r="D14" s="507"/>
      <c r="E14" s="135" t="str">
        <f>Translate!$A$47</f>
        <v>Name</v>
      </c>
      <c r="F14" s="219"/>
      <c r="G14" s="512" t="str">
        <f ca="1">IF(ISERROR(INDIRECT("'"&amp;F14&amp;"'!A1")),"",Translate!$A$54&amp;F14&amp;"' sheet already exists. Please choose another name or delete existing sheet.")</f>
        <v/>
      </c>
      <c r="H14" s="513"/>
      <c r="J14" s="706"/>
      <c r="K14" s="706"/>
      <c r="L14" s="706"/>
      <c r="M14" s="706"/>
    </row>
    <row r="15" spans="1:13" ht="18">
      <c r="D15" s="507"/>
      <c r="E15" s="135" t="str">
        <f>Translate!$A$48</f>
        <v>Technique</v>
      </c>
      <c r="F15" s="218" t="s">
        <v>2424</v>
      </c>
      <c r="G15" s="57"/>
      <c r="H15" s="655">
        <f>INDEX('Emission factors'!$AF$343:$AF$361,MATCH(F15,'Emission factors'!$C$343:$C$361,0))</f>
        <v>1</v>
      </c>
      <c r="J15" s="706"/>
      <c r="K15" s="706"/>
      <c r="L15" s="706"/>
      <c r="M15" s="706"/>
    </row>
    <row r="16" spans="1:13" ht="36">
      <c r="D16" s="507"/>
      <c r="E16" s="703" t="str">
        <f>Translate!$A$49</f>
        <v>Copy from</v>
      </c>
      <c r="F16" s="218"/>
      <c r="G16" s="704" t="str">
        <f>Translate!$A$55</f>
        <v>Leave empty to create an empty project</v>
      </c>
      <c r="H16" s="514"/>
      <c r="J16" s="706"/>
      <c r="K16" s="706"/>
      <c r="L16" s="706"/>
      <c r="M16" s="706"/>
    </row>
    <row r="17" spans="1:13" ht="15.75" customHeight="1">
      <c r="D17" s="507"/>
      <c r="E17" s="57"/>
      <c r="F17" s="57"/>
      <c r="G17" s="57"/>
      <c r="H17" s="509"/>
      <c r="J17" s="706"/>
      <c r="K17" s="706"/>
      <c r="L17" s="706"/>
      <c r="M17" s="706"/>
    </row>
    <row r="18" spans="1:13" ht="15.75" customHeight="1">
      <c r="D18" s="507"/>
      <c r="E18" s="57"/>
      <c r="F18" s="57"/>
      <c r="G18" s="57"/>
      <c r="H18" s="509"/>
      <c r="J18" s="706"/>
      <c r="K18" s="706"/>
      <c r="L18" s="706"/>
      <c r="M18" s="706"/>
    </row>
    <row r="19" spans="1:13" ht="15.75" thickBot="1">
      <c r="D19" s="508"/>
      <c r="E19" s="510"/>
      <c r="F19" s="510"/>
      <c r="G19" s="510"/>
      <c r="H19" s="511"/>
      <c r="J19" s="706"/>
      <c r="K19" s="706"/>
      <c r="L19" s="706"/>
      <c r="M19" s="706"/>
    </row>
    <row r="20" spans="1:13">
      <c r="J20" s="706"/>
      <c r="K20" s="706"/>
      <c r="L20" s="706"/>
      <c r="M20" s="706"/>
    </row>
    <row r="21" spans="1:13" ht="15.75" customHeight="1" thickBot="1">
      <c r="J21" s="706"/>
      <c r="K21" s="706"/>
      <c r="L21" s="706"/>
      <c r="M21" s="706"/>
    </row>
    <row r="22" spans="1:13" ht="30.75" customHeight="1">
      <c r="D22" s="145"/>
      <c r="E22" s="571" t="str">
        <f>Translate!$A$50</f>
        <v>Create here your projects sheets</v>
      </c>
      <c r="F22" s="147"/>
      <c r="G22" s="143"/>
      <c r="H22" s="144"/>
      <c r="J22" s="706"/>
      <c r="K22" s="706"/>
      <c r="L22" s="706"/>
      <c r="M22" s="706"/>
    </row>
    <row r="23" spans="1:13" ht="33.75" customHeight="1">
      <c r="D23" s="747" t="str">
        <f>Translate!$A$39</f>
        <v>A project sheet is a results sheet where you  compare and consolidate subproject &amp; projects sheets</v>
      </c>
      <c r="E23" s="748"/>
      <c r="F23" s="748"/>
      <c r="G23" s="748"/>
      <c r="H23" s="749"/>
      <c r="J23" s="706"/>
      <c r="K23" s="706"/>
      <c r="L23" s="706"/>
      <c r="M23" s="706"/>
    </row>
    <row r="24" spans="1:13" ht="18">
      <c r="A24" s="134">
        <f ca="1">IF(ISBLANK(F24),1,IF(ISERROR(INDIRECT("'"&amp;F24&amp;"'!A1")),0,1))</f>
        <v>1</v>
      </c>
      <c r="D24" s="498"/>
      <c r="E24" s="135" t="str">
        <f>Translate!$A$47</f>
        <v>Name</v>
      </c>
      <c r="F24" s="220"/>
      <c r="G24" s="505" t="str">
        <f ca="1">IF(ISERROR(INDIRECT("'"&amp;F24&amp;"'!A1")),"",Translate!$A$54&amp;F24&amp;"' sheet already exists. Please choose another name or delete existing sheet.")</f>
        <v/>
      </c>
      <c r="H24" s="506"/>
      <c r="J24" s="706"/>
      <c r="K24" s="706"/>
      <c r="L24" s="706"/>
      <c r="M24" s="706"/>
    </row>
    <row r="25" spans="1:13">
      <c r="D25" s="498"/>
      <c r="E25" s="23"/>
      <c r="F25" s="23"/>
      <c r="G25" s="23"/>
      <c r="H25" s="500"/>
      <c r="J25" s="706"/>
      <c r="K25" s="706"/>
      <c r="L25" s="706"/>
      <c r="M25" s="706"/>
    </row>
    <row r="26" spans="1:13">
      <c r="D26" s="498"/>
      <c r="E26" s="23"/>
      <c r="F26" s="23"/>
      <c r="G26" s="501"/>
      <c r="H26" s="502"/>
      <c r="J26" s="706"/>
      <c r="K26" s="706"/>
      <c r="L26" s="706"/>
      <c r="M26" s="706"/>
    </row>
    <row r="27" spans="1:13">
      <c r="D27" s="498"/>
      <c r="E27" s="23"/>
      <c r="F27" s="23"/>
      <c r="G27" s="23"/>
      <c r="H27" s="500"/>
      <c r="J27" s="706"/>
      <c r="K27" s="706"/>
      <c r="L27" s="706"/>
      <c r="M27" s="706"/>
    </row>
    <row r="28" spans="1:13" ht="15.75" thickBot="1">
      <c r="D28" s="499"/>
      <c r="E28" s="503"/>
      <c r="F28" s="503"/>
      <c r="G28" s="503"/>
      <c r="H28" s="504"/>
      <c r="J28" s="706"/>
      <c r="K28" s="706"/>
      <c r="L28" s="706"/>
      <c r="M28" s="706"/>
    </row>
    <row r="29" spans="1:13">
      <c r="J29" s="706"/>
      <c r="K29" s="706"/>
      <c r="L29" s="706"/>
      <c r="M29" s="706"/>
    </row>
    <row r="30" spans="1:13" ht="15.75" customHeight="1" thickBot="1">
      <c r="J30" s="706"/>
      <c r="K30" s="706"/>
      <c r="L30" s="706"/>
      <c r="M30" s="706"/>
    </row>
    <row r="31" spans="1:13" ht="30.75" customHeight="1">
      <c r="D31" s="145"/>
      <c r="E31" s="571" t="str">
        <f>Translate!$A$51</f>
        <v>Create here a results sheet</v>
      </c>
      <c r="F31" s="147"/>
      <c r="G31" s="143"/>
      <c r="H31" s="144"/>
      <c r="J31" s="706"/>
      <c r="K31" s="706"/>
      <c r="L31" s="706"/>
      <c r="M31" s="706"/>
    </row>
    <row r="32" spans="1:13" ht="15.75">
      <c r="D32" s="577"/>
      <c r="E32" s="580"/>
      <c r="F32" s="24"/>
      <c r="G32" s="24"/>
      <c r="H32" s="581"/>
      <c r="J32" s="706"/>
      <c r="K32" s="706"/>
      <c r="L32" s="706"/>
      <c r="M32" s="706"/>
    </row>
    <row r="33" spans="1:13" ht="18">
      <c r="A33" s="134">
        <f ca="1">IF(ISBLANK(F33),1,IF(ISERROR(INDIRECT("'"&amp;F33&amp;"'!A1")),0,1))</f>
        <v>1</v>
      </c>
      <c r="D33" s="578"/>
      <c r="E33" s="135" t="str">
        <f>Translate!$A$47</f>
        <v>Name</v>
      </c>
      <c r="F33" s="220"/>
      <c r="G33" s="586" t="str">
        <f ca="1">IF(ISERROR(INDIRECT("'"&amp;F33&amp;"'!A1")),"",Translate!$A$54&amp;F33&amp;"' sheet already exists. Please choose another name or delete existing sheet.")</f>
        <v/>
      </c>
      <c r="H33" s="587"/>
      <c r="J33" s="706"/>
      <c r="K33" s="706"/>
      <c r="L33" s="706"/>
      <c r="M33" s="706"/>
    </row>
    <row r="34" spans="1:13">
      <c r="D34" s="578"/>
      <c r="E34" s="24"/>
      <c r="F34" s="24"/>
      <c r="G34" s="24"/>
      <c r="H34" s="581"/>
      <c r="J34" s="706"/>
      <c r="K34" s="706"/>
      <c r="L34" s="706"/>
      <c r="M34" s="706"/>
    </row>
    <row r="35" spans="1:13">
      <c r="D35" s="578"/>
      <c r="E35" s="24"/>
      <c r="F35" s="24"/>
      <c r="G35" s="582"/>
      <c r="H35" s="583"/>
      <c r="J35" s="706"/>
      <c r="K35" s="706"/>
      <c r="L35" s="706"/>
      <c r="M35" s="706"/>
    </row>
    <row r="36" spans="1:13">
      <c r="D36" s="578"/>
      <c r="E36" s="24"/>
      <c r="F36" s="24"/>
      <c r="G36" s="24"/>
      <c r="H36" s="581"/>
      <c r="J36" s="706"/>
      <c r="K36" s="706"/>
      <c r="L36" s="706"/>
      <c r="M36" s="706"/>
    </row>
    <row r="37" spans="1:13" ht="15.75" thickBot="1">
      <c r="D37" s="579"/>
      <c r="E37" s="584"/>
      <c r="F37" s="584"/>
      <c r="G37" s="584"/>
      <c r="H37" s="585"/>
      <c r="J37" s="706"/>
      <c r="K37" s="706"/>
      <c r="L37" s="706"/>
      <c r="M37" s="706"/>
    </row>
    <row r="38" spans="1:13">
      <c r="J38" s="706"/>
      <c r="K38" s="706"/>
      <c r="L38" s="706"/>
      <c r="M38" s="706"/>
    </row>
    <row r="39" spans="1:13" ht="15.75" customHeight="1" thickBot="1">
      <c r="J39" s="706"/>
      <c r="K39" s="706"/>
      <c r="L39" s="706"/>
      <c r="M39" s="706"/>
    </row>
    <row r="40" spans="1:13" ht="30.75" customHeight="1">
      <c r="D40" s="145"/>
      <c r="E40" s="571" t="str">
        <f>Translate!$A$52</f>
        <v>Create here your comparison sheets</v>
      </c>
      <c r="F40" s="147"/>
      <c r="G40" s="143"/>
      <c r="H40" s="144"/>
      <c r="J40" s="706"/>
      <c r="K40" s="706"/>
      <c r="L40" s="706"/>
      <c r="M40" s="706"/>
    </row>
    <row r="41" spans="1:13" ht="15.75">
      <c r="D41" s="588"/>
      <c r="E41" s="591"/>
      <c r="F41" s="592"/>
      <c r="G41" s="598" t="str">
        <f ca="1">IF(ISERROR(INDIRECT("'"&amp;F41&amp;"'!A1")),"",Translate!$A$54&amp;F41&amp;"' sheet already exists. Please choose another name or delete existing sheet.")</f>
        <v/>
      </c>
      <c r="H41" s="599"/>
      <c r="J41" s="706"/>
      <c r="K41" s="706"/>
      <c r="L41" s="706"/>
      <c r="M41" s="706"/>
    </row>
    <row r="42" spans="1:13" ht="18">
      <c r="A42" s="134">
        <f ca="1">IF(ISBLANK(F42),1,IF(ISERROR(INDIRECT("'"&amp;F42&amp;"'!A1")),0,1))</f>
        <v>1</v>
      </c>
      <c r="D42" s="589"/>
      <c r="E42" s="135" t="str">
        <f>Translate!$A$47</f>
        <v>Name</v>
      </c>
      <c r="F42" s="220"/>
      <c r="G42" s="598" t="str">
        <f ca="1">IF(ISERROR(INDIRECT("'"&amp;F42&amp;"'!A1")),"",Translate!$A$54&amp;F42&amp;"' sheet already exists. Please choose another name or delete existing sheet.")</f>
        <v/>
      </c>
      <c r="H42" s="599"/>
      <c r="J42" s="706"/>
      <c r="K42" s="706"/>
      <c r="L42" s="706"/>
      <c r="M42" s="706"/>
    </row>
    <row r="43" spans="1:13">
      <c r="D43" s="589"/>
      <c r="E43" s="592"/>
      <c r="F43" s="592"/>
      <c r="G43" s="592"/>
      <c r="H43" s="593"/>
      <c r="J43" s="706"/>
      <c r="K43" s="706"/>
      <c r="L43" s="706"/>
      <c r="M43" s="706"/>
    </row>
    <row r="44" spans="1:13">
      <c r="D44" s="589"/>
      <c r="E44" s="592"/>
      <c r="F44" s="592"/>
      <c r="G44" s="594"/>
      <c r="H44" s="595"/>
      <c r="J44" s="706"/>
      <c r="K44" s="706"/>
      <c r="L44" s="706"/>
      <c r="M44" s="706"/>
    </row>
    <row r="45" spans="1:13">
      <c r="D45" s="589"/>
      <c r="E45" s="592"/>
      <c r="F45" s="592"/>
      <c r="G45" s="592"/>
      <c r="H45" s="593"/>
      <c r="J45" s="706"/>
      <c r="K45" s="706"/>
      <c r="L45" s="706"/>
      <c r="M45" s="706"/>
    </row>
    <row r="46" spans="1:13" ht="15.75" thickBot="1">
      <c r="D46" s="590"/>
      <c r="E46" s="596"/>
      <c r="F46" s="596"/>
      <c r="G46" s="596"/>
      <c r="H46" s="597"/>
      <c r="J46" s="706"/>
      <c r="K46" s="706"/>
      <c r="L46" s="706"/>
      <c r="M46" s="706"/>
    </row>
    <row r="47" spans="1:13">
      <c r="J47" s="706"/>
      <c r="K47" s="706"/>
      <c r="L47" s="706"/>
      <c r="M47" s="706"/>
    </row>
    <row r="48" spans="1:13" ht="15.75" thickBot="1">
      <c r="J48" s="706"/>
      <c r="K48" s="706"/>
      <c r="L48" s="706"/>
      <c r="M48" s="706"/>
    </row>
    <row r="49" spans="4:13" ht="18">
      <c r="D49" s="145"/>
      <c r="E49" s="146" t="str">
        <f>Translate!$A$53</f>
        <v>Load your own logo</v>
      </c>
      <c r="F49" s="147"/>
      <c r="G49" s="147"/>
      <c r="H49" s="148"/>
      <c r="J49" s="706"/>
      <c r="K49" s="706"/>
      <c r="L49" s="706"/>
      <c r="M49" s="706"/>
    </row>
    <row r="50" spans="4:13" ht="33.75" customHeight="1">
      <c r="D50" s="750" t="str">
        <f>Translate!$A$40</f>
        <v>First time on this tool? Make sure your logo appears on the results page!</v>
      </c>
      <c r="E50" s="751"/>
      <c r="F50" s="751"/>
      <c r="G50" s="751"/>
      <c r="H50" s="752"/>
      <c r="J50" s="706"/>
      <c r="K50" s="706"/>
      <c r="L50" s="706"/>
      <c r="M50" s="706"/>
    </row>
    <row r="51" spans="4:13">
      <c r="D51" s="136"/>
      <c r="E51" s="96"/>
      <c r="F51" s="96"/>
      <c r="G51" s="96"/>
      <c r="H51" s="137"/>
      <c r="J51" s="706"/>
      <c r="K51" s="706"/>
      <c r="L51" s="706"/>
      <c r="M51" s="706"/>
    </row>
    <row r="52" spans="4:13">
      <c r="D52" s="136"/>
      <c r="E52" s="96"/>
      <c r="F52" s="96"/>
      <c r="G52" s="96"/>
      <c r="H52" s="137"/>
      <c r="J52" s="706"/>
      <c r="K52" s="706"/>
      <c r="L52" s="706"/>
      <c r="M52" s="706"/>
    </row>
    <row r="53" spans="4:13" ht="15.75" thickBot="1">
      <c r="D53" s="138"/>
      <c r="E53" s="139"/>
      <c r="F53" s="139"/>
      <c r="G53" s="139"/>
      <c r="H53" s="140"/>
      <c r="J53" s="576"/>
      <c r="K53" s="576"/>
      <c r="L53" s="576"/>
      <c r="M53" s="576"/>
    </row>
    <row r="54" spans="4:13">
      <c r="J54" s="576"/>
      <c r="K54" s="576"/>
      <c r="L54" s="576"/>
      <c r="M54" s="576"/>
    </row>
    <row r="55" spans="4:13">
      <c r="J55" s="576"/>
      <c r="K55" s="576"/>
      <c r="L55" s="576"/>
      <c r="M55" s="576"/>
    </row>
    <row r="56" spans="4:13">
      <c r="J56" s="576"/>
      <c r="K56" s="576"/>
      <c r="L56" s="576"/>
      <c r="M56" s="576"/>
    </row>
    <row r="57" spans="4:13">
      <c r="J57" s="576"/>
      <c r="K57" s="576"/>
      <c r="L57" s="576"/>
      <c r="M57" s="576"/>
    </row>
    <row r="58" spans="4:13">
      <c r="J58" s="576"/>
      <c r="K58" s="576"/>
      <c r="L58" s="576"/>
      <c r="M58" s="576"/>
    </row>
    <row r="59" spans="4:13">
      <c r="J59" s="576"/>
      <c r="K59" s="576"/>
      <c r="L59" s="576"/>
      <c r="M59" s="576"/>
    </row>
    <row r="60" spans="4:13">
      <c r="J60" s="576"/>
      <c r="K60" s="576"/>
      <c r="L60" s="576"/>
      <c r="M60" s="576"/>
    </row>
    <row r="61" spans="4:13">
      <c r="J61" s="576"/>
      <c r="K61" s="576"/>
      <c r="L61" s="576"/>
      <c r="M61" s="576"/>
    </row>
    <row r="62" spans="4:13">
      <c r="J62" s="576"/>
      <c r="K62" s="576"/>
      <c r="L62" s="576"/>
      <c r="M62" s="576"/>
    </row>
    <row r="63" spans="4:13">
      <c r="J63" s="576"/>
      <c r="K63" s="576"/>
      <c r="L63" s="576"/>
      <c r="M63" s="576"/>
    </row>
    <row r="64" spans="4:13">
      <c r="J64" s="576"/>
      <c r="K64" s="576"/>
      <c r="L64" s="576"/>
      <c r="M64" s="576"/>
    </row>
    <row r="65" spans="10:13">
      <c r="J65" s="576"/>
      <c r="K65" s="576"/>
      <c r="L65" s="576"/>
      <c r="M65" s="576"/>
    </row>
    <row r="66" spans="10:13">
      <c r="J66" s="576"/>
      <c r="K66" s="576"/>
      <c r="L66" s="576"/>
      <c r="M66" s="576"/>
    </row>
    <row r="67" spans="10:13">
      <c r="J67" s="576"/>
      <c r="K67" s="576"/>
      <c r="L67" s="576"/>
      <c r="M67" s="576"/>
    </row>
    <row r="68" spans="10:13">
      <c r="J68" s="576"/>
      <c r="K68" s="576"/>
      <c r="L68" s="576"/>
      <c r="M68" s="576"/>
    </row>
    <row r="69" spans="10:13">
      <c r="J69" s="576"/>
      <c r="K69" s="576"/>
      <c r="L69" s="576"/>
      <c r="M69" s="576"/>
    </row>
    <row r="70" spans="10:13">
      <c r="J70" s="576"/>
      <c r="K70" s="576"/>
      <c r="L70" s="576"/>
      <c r="M70" s="576"/>
    </row>
    <row r="71" spans="10:13">
      <c r="J71" s="576"/>
      <c r="K71" s="576"/>
      <c r="L71" s="576"/>
      <c r="M71" s="576"/>
    </row>
    <row r="72" spans="10:13">
      <c r="J72" s="576"/>
      <c r="K72" s="576"/>
      <c r="L72" s="576"/>
      <c r="M72" s="576"/>
    </row>
    <row r="73" spans="10:13">
      <c r="J73" s="576"/>
      <c r="K73" s="576"/>
      <c r="L73" s="576"/>
      <c r="M73" s="576"/>
    </row>
    <row r="74" spans="10:13">
      <c r="J74" s="576"/>
      <c r="K74" s="576"/>
      <c r="L74" s="576"/>
      <c r="M74" s="576"/>
    </row>
    <row r="75" spans="10:13">
      <c r="J75" s="576"/>
      <c r="K75" s="576"/>
      <c r="L75" s="576"/>
      <c r="M75" s="576"/>
    </row>
    <row r="76" spans="10:13">
      <c r="J76" s="576"/>
      <c r="K76" s="576"/>
      <c r="L76" s="576"/>
      <c r="M76" s="576"/>
    </row>
    <row r="77" spans="10:13">
      <c r="J77" s="576"/>
      <c r="K77" s="576"/>
      <c r="L77" s="576"/>
      <c r="M77" s="576"/>
    </row>
    <row r="78" spans="10:13">
      <c r="J78" s="576"/>
      <c r="K78" s="576"/>
      <c r="L78" s="576"/>
      <c r="M78" s="576"/>
    </row>
    <row r="79" spans="10:13">
      <c r="J79" s="576"/>
      <c r="K79" s="576"/>
      <c r="L79" s="576"/>
      <c r="M79" s="576"/>
    </row>
    <row r="80" spans="10:13">
      <c r="J80" s="576"/>
      <c r="K80" s="576"/>
      <c r="L80" s="576"/>
      <c r="M80" s="576"/>
    </row>
    <row r="81" spans="10:13">
      <c r="J81" s="576"/>
      <c r="K81" s="576"/>
      <c r="L81" s="576"/>
      <c r="M81" s="576"/>
    </row>
    <row r="82" spans="10:13">
      <c r="J82" s="576"/>
      <c r="K82" s="576"/>
      <c r="L82" s="576"/>
      <c r="M82" s="576"/>
    </row>
    <row r="83" spans="10:13">
      <c r="J83" s="576"/>
      <c r="K83" s="576"/>
      <c r="L83" s="576"/>
      <c r="M83" s="576"/>
    </row>
    <row r="84" spans="10:13">
      <c r="J84" s="576"/>
      <c r="K84" s="576"/>
      <c r="L84" s="576"/>
      <c r="M84" s="576"/>
    </row>
    <row r="85" spans="10:13">
      <c r="J85" s="576"/>
      <c r="K85" s="576"/>
      <c r="L85" s="576"/>
      <c r="M85" s="576"/>
    </row>
    <row r="86" spans="10:13">
      <c r="J86" s="576"/>
      <c r="K86" s="576"/>
      <c r="L86" s="576"/>
      <c r="M86" s="576"/>
    </row>
    <row r="87" spans="10:13">
      <c r="J87" s="576"/>
      <c r="K87" s="576"/>
      <c r="L87" s="576"/>
      <c r="M87" s="576"/>
    </row>
    <row r="88" spans="10:13">
      <c r="J88" s="576"/>
      <c r="K88" s="576"/>
      <c r="L88" s="576"/>
      <c r="M88" s="576"/>
    </row>
    <row r="89" spans="10:13">
      <c r="J89" s="576"/>
      <c r="K89" s="576"/>
      <c r="L89" s="576"/>
      <c r="M89" s="576"/>
    </row>
    <row r="90" spans="10:13">
      <c r="J90" s="576"/>
      <c r="K90" s="576"/>
      <c r="L90" s="576"/>
      <c r="M90" s="576"/>
    </row>
    <row r="91" spans="10:13">
      <c r="J91" s="576"/>
      <c r="K91" s="576"/>
      <c r="L91" s="576"/>
      <c r="M91" s="576"/>
    </row>
    <row r="92" spans="10:13">
      <c r="J92" s="576"/>
      <c r="K92" s="576"/>
      <c r="L92" s="576"/>
      <c r="M92" s="576"/>
    </row>
    <row r="93" spans="10:13">
      <c r="J93" s="576"/>
      <c r="K93" s="576"/>
      <c r="L93" s="576"/>
      <c r="M93" s="576"/>
    </row>
    <row r="94" spans="10:13">
      <c r="J94" s="576"/>
      <c r="K94" s="576"/>
      <c r="L94" s="576"/>
      <c r="M94" s="576"/>
    </row>
    <row r="95" spans="10:13">
      <c r="J95" s="576"/>
      <c r="K95" s="576"/>
      <c r="L95" s="576"/>
      <c r="M95" s="576"/>
    </row>
    <row r="96" spans="10:13">
      <c r="J96" s="576"/>
      <c r="K96" s="576"/>
      <c r="L96" s="576"/>
      <c r="M96" s="576"/>
    </row>
    <row r="97" spans="10:13">
      <c r="J97" s="576"/>
      <c r="K97" s="576"/>
      <c r="L97" s="576"/>
      <c r="M97" s="576"/>
    </row>
    <row r="98" spans="10:13">
      <c r="J98" s="576"/>
      <c r="K98" s="576"/>
      <c r="L98" s="576"/>
      <c r="M98" s="576"/>
    </row>
    <row r="99" spans="10:13">
      <c r="J99" s="576"/>
      <c r="K99" s="576"/>
      <c r="L99" s="576"/>
      <c r="M99" s="576"/>
    </row>
    <row r="100" spans="10:13">
      <c r="J100" s="576"/>
      <c r="K100" s="576"/>
      <c r="L100" s="576"/>
      <c r="M100" s="576"/>
    </row>
    <row r="101" spans="10:13">
      <c r="J101" s="576"/>
      <c r="K101" s="576"/>
      <c r="L101" s="576"/>
      <c r="M101" s="576"/>
    </row>
    <row r="102" spans="10:13">
      <c r="J102" s="576"/>
      <c r="K102" s="576"/>
      <c r="L102" s="576"/>
      <c r="M102" s="576"/>
    </row>
    <row r="103" spans="10:13">
      <c r="J103" s="576"/>
      <c r="K103" s="576"/>
      <c r="L103" s="576"/>
      <c r="M103" s="576"/>
    </row>
    <row r="104" spans="10:13">
      <c r="J104" s="576"/>
      <c r="K104" s="576"/>
      <c r="L104" s="576"/>
      <c r="M104" s="576"/>
    </row>
    <row r="105" spans="10:13">
      <c r="J105" s="576"/>
      <c r="K105" s="576"/>
      <c r="L105" s="576"/>
      <c r="M105" s="576"/>
    </row>
    <row r="106" spans="10:13">
      <c r="J106" s="576"/>
      <c r="K106" s="576"/>
      <c r="L106" s="576"/>
      <c r="M106" s="576"/>
    </row>
    <row r="107" spans="10:13">
      <c r="J107" s="576"/>
      <c r="K107" s="576"/>
      <c r="L107" s="576"/>
      <c r="M107" s="576"/>
    </row>
    <row r="108" spans="10:13">
      <c r="J108" s="576"/>
      <c r="K108" s="576"/>
      <c r="L108" s="576"/>
      <c r="M108" s="576"/>
    </row>
    <row r="109" spans="10:13">
      <c r="J109" s="576"/>
      <c r="K109" s="576"/>
      <c r="L109" s="576"/>
      <c r="M109" s="576"/>
    </row>
    <row r="110" spans="10:13">
      <c r="J110" s="576"/>
      <c r="K110" s="576"/>
      <c r="L110" s="576"/>
      <c r="M110" s="576"/>
    </row>
    <row r="111" spans="10:13">
      <c r="J111" s="576"/>
      <c r="K111" s="576"/>
      <c r="L111" s="576"/>
      <c r="M111" s="576"/>
    </row>
    <row r="112" spans="10:13">
      <c r="J112" s="576"/>
      <c r="K112" s="576"/>
      <c r="L112" s="576"/>
      <c r="M112" s="576"/>
    </row>
    <row r="113" spans="10:13">
      <c r="J113" s="576"/>
      <c r="K113" s="576"/>
      <c r="L113" s="576"/>
      <c r="M113" s="576"/>
    </row>
    <row r="114" spans="10:13">
      <c r="J114" s="576"/>
      <c r="K114" s="576"/>
      <c r="L114" s="576"/>
      <c r="M114" s="576"/>
    </row>
    <row r="115" spans="10:13">
      <c r="J115" s="576"/>
      <c r="K115" s="576"/>
      <c r="L115" s="576"/>
      <c r="M115" s="576"/>
    </row>
    <row r="116" spans="10:13">
      <c r="J116" s="576"/>
      <c r="K116" s="576"/>
      <c r="L116" s="576"/>
      <c r="M116" s="576"/>
    </row>
    <row r="117" spans="10:13">
      <c r="J117" s="576"/>
      <c r="K117" s="576"/>
      <c r="L117" s="576"/>
      <c r="M117" s="576"/>
    </row>
    <row r="118" spans="10:13">
      <c r="J118" s="576"/>
      <c r="K118" s="576"/>
      <c r="L118" s="576"/>
      <c r="M118" s="576"/>
    </row>
  </sheetData>
  <sheetProtection algorithmName="SHA-512" hashValue="9odPSWo5hQ6iSawBnFFn3hlA9Yr4daGp3EGi8pJ1AfGdk9NOFpZiEXH3u0WXXOiP58cyoEBmgFJyPpQk5moOWQ==" saltValue="TwAphXKDgWHtTdHXozuWuA==" spinCount="100000" sheet="1" objects="1" scenarios="1" formatColumns="0" formatRows="0"/>
  <dataConsolidate/>
  <mergeCells count="10">
    <mergeCell ref="J5:M9"/>
    <mergeCell ref="D13:H13"/>
    <mergeCell ref="D23:H23"/>
    <mergeCell ref="D50:H50"/>
    <mergeCell ref="D2:H2"/>
    <mergeCell ref="E5:G5"/>
    <mergeCell ref="E6:G6"/>
    <mergeCell ref="E7:G7"/>
    <mergeCell ref="E8:G8"/>
    <mergeCell ref="E9:G9"/>
  </mergeCells>
  <conditionalFormatting sqref="E15:F15">
    <cfRule type="expression" dxfId="656" priority="14">
      <formula>IF($F$16="",0,1)</formula>
    </cfRule>
  </conditionalFormatting>
  <conditionalFormatting sqref="J13:J118">
    <cfRule type="expression" dxfId="655" priority="12">
      <formula>IF(J13="",0,1)</formula>
    </cfRule>
  </conditionalFormatting>
  <conditionalFormatting sqref="K13:K118">
    <cfRule type="expression" dxfId="654" priority="11">
      <formula>IF(K13="",0,1)</formula>
    </cfRule>
  </conditionalFormatting>
  <conditionalFormatting sqref="L13:L118">
    <cfRule type="expression" dxfId="653" priority="10">
      <formula>IF(L13="",0,1)</formula>
    </cfRule>
  </conditionalFormatting>
  <conditionalFormatting sqref="M13:M118">
    <cfRule type="expression" dxfId="652" priority="9">
      <formula>IF(M13="",0,1)</formula>
    </cfRule>
  </conditionalFormatting>
  <conditionalFormatting sqref="J30:J38">
    <cfRule type="expression" dxfId="651" priority="8">
      <formula>IF(J30="",0,1)</formula>
    </cfRule>
  </conditionalFormatting>
  <conditionalFormatting sqref="K30:K38">
    <cfRule type="expression" dxfId="650" priority="7">
      <formula>IF(K30="",0,1)</formula>
    </cfRule>
  </conditionalFormatting>
  <conditionalFormatting sqref="L30:L38">
    <cfRule type="expression" dxfId="649" priority="6">
      <formula>IF(L30="",0,1)</formula>
    </cfRule>
  </conditionalFormatting>
  <conditionalFormatting sqref="M30:M38">
    <cfRule type="expression" dxfId="648" priority="5">
      <formula>IF(M30="",0,1)</formula>
    </cfRule>
  </conditionalFormatting>
  <conditionalFormatting sqref="J39:J47">
    <cfRule type="expression" dxfId="647" priority="4">
      <formula>IF(J39="",0,1)</formula>
    </cfRule>
  </conditionalFormatting>
  <conditionalFormatting sqref="K39:K47">
    <cfRule type="expression" dxfId="646" priority="3">
      <formula>IF(K39="",0,1)</formula>
    </cfRule>
  </conditionalFormatting>
  <conditionalFormatting sqref="L39:L47">
    <cfRule type="expression" dxfId="645" priority="2">
      <formula>IF(L39="",0,1)</formula>
    </cfRule>
  </conditionalFormatting>
  <conditionalFormatting sqref="M39:M47">
    <cfRule type="expression" dxfId="644" priority="1">
      <formula>IF(M39="",0,1)</formula>
    </cfRule>
  </conditionalFormatting>
  <dataValidations count="2">
    <dataValidation type="list" showInputMessage="1" showErrorMessage="1" sqref="F15" xr:uid="{00000000-0002-0000-0100-000000000000}">
      <formula1>techniques</formula1>
    </dataValidation>
    <dataValidation type="list" allowBlank="1" showInputMessage="1" showErrorMessage="1" sqref="F16" xr:uid="{00000000-0002-0000-0100-000001000000}">
      <formula1>ALLSUBPROJECTS</formula1>
    </dataValidation>
  </dataValidations>
  <pageMargins left="0.7" right="0.7" top="0.75" bottom="0.75" header="0.5" footer="0.5"/>
  <pageSetup paperSize="9" orientation="portrait" horizontalDpi="4294967292" verticalDpi="4294967292"/>
  <ignoredErrors>
    <ignoredError sqref="A14" emptyCellReference="1"/>
  </ignoredErrors>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3">
    <tabColor theme="5"/>
  </sheetPr>
  <dimension ref="A1:BE152"/>
  <sheetViews>
    <sheetView showGridLines="0" topLeftCell="A3" zoomScale="80" zoomScaleNormal="80" zoomScalePageLayoutView="80" workbookViewId="0">
      <pane ySplit="14" topLeftCell="A17" activePane="bottomLeft" state="frozen"/>
      <selection activeCell="E7" sqref="E7"/>
      <selection pane="bottomLeft" activeCell="E7" sqref="E7"/>
    </sheetView>
  </sheetViews>
  <sheetFormatPr baseColWidth="10" defaultColWidth="11.5546875" defaultRowHeight="15" outlineLevelCol="1"/>
  <cols>
    <col min="1" max="1" width="2.5546875" customWidth="1"/>
    <col min="2" max="2" width="2.109375" customWidth="1"/>
    <col min="3" max="3" width="3.33203125" customWidth="1"/>
    <col min="4" max="4" width="21.33203125" customWidth="1"/>
    <col min="5" max="5" width="18.33203125" customWidth="1"/>
    <col min="6" max="6" width="13.33203125" customWidth="1"/>
    <col min="7" max="7" width="3.109375" customWidth="1"/>
    <col min="8" max="8" width="3.88671875" customWidth="1"/>
    <col min="9" max="9" width="8.6640625" hidden="1" customWidth="1" outlineLevel="1"/>
    <col min="10" max="10" width="6.5546875" hidden="1" customWidth="1" outlineLevel="1"/>
    <col min="11" max="11" width="9.6640625" hidden="1" customWidth="1" outlineLevel="1"/>
    <col min="12" max="12" width="14.109375" customWidth="1" collapsed="1"/>
    <col min="13" max="13" width="8" customWidth="1"/>
    <col min="14" max="14" width="1.33203125" customWidth="1"/>
    <col min="15" max="15" width="1.88671875" customWidth="1"/>
    <col min="16" max="16" width="10.109375" customWidth="1"/>
    <col min="17" max="17" width="9" customWidth="1"/>
    <col min="18" max="18" width="8.109375" customWidth="1"/>
    <col min="19" max="19" width="7.33203125" customWidth="1"/>
    <col min="20" max="20" width="22.6640625" customWidth="1"/>
    <col min="21" max="21" width="9.5546875" customWidth="1"/>
    <col min="22" max="22" width="9.33203125" customWidth="1"/>
    <col min="23" max="23" width="3.33203125" customWidth="1"/>
    <col min="24" max="24" width="7.6640625" customWidth="1"/>
    <col min="25" max="25" width="7.33203125" customWidth="1"/>
    <col min="26" max="26" width="10.109375" customWidth="1"/>
    <col min="27" max="27" width="9.88671875" customWidth="1"/>
    <col min="28" max="30" width="7.6640625" customWidth="1"/>
    <col min="31" max="31" width="5.109375" customWidth="1"/>
    <col min="32" max="32" width="5.33203125" customWidth="1"/>
    <col min="33" max="33" width="5.33203125" hidden="1" customWidth="1"/>
    <col min="34" max="34" width="12.33203125" hidden="1" customWidth="1"/>
    <col min="35" max="40" width="10.6640625" hidden="1" customWidth="1"/>
    <col min="41" max="41" width="22.5546875" hidden="1" customWidth="1"/>
    <col min="42" max="52" width="10.6640625" hidden="1" customWidth="1"/>
    <col min="53" max="55" width="10.6640625" customWidth="1"/>
  </cols>
  <sheetData>
    <row r="1" spans="1:57" hidden="1">
      <c r="A1" s="380" t="s">
        <v>93</v>
      </c>
      <c r="B1" s="380"/>
      <c r="C1" s="380"/>
      <c r="M1" t="s">
        <v>325</v>
      </c>
      <c r="P1" s="49">
        <f ca="1">SUMPRODUCT(($AH$17:$AH$177=1)*$AO$17:$AO$177)</f>
        <v>0</v>
      </c>
      <c r="Q1" s="49">
        <f ca="1">SUMPRODUCT(($AH$17:$AH$177=1)*1,$AL$17:$AL$177)</f>
        <v>0</v>
      </c>
      <c r="T1" s="433" t="s">
        <v>347</v>
      </c>
      <c r="U1" s="432" t="b">
        <f ca="1">IF(SUMPRODUCT(($AG$17:$AG$172="ext")*1,$AJ$17:$AJ$172)&lt;&gt;0,TRUE)</f>
        <v>0</v>
      </c>
      <c r="V1" s="434" t="s">
        <v>348</v>
      </c>
      <c r="W1" s="432" t="b">
        <f ca="1">IF(SUMPRODUCT(($AG$17:$AG$172="ratio")*1,$AJ$17:$AJ$172)&lt;&gt;0,TRUE)</f>
        <v>0</v>
      </c>
      <c r="AA1" s="320" t="s">
        <v>373</v>
      </c>
      <c r="AB1" s="320">
        <f>IF(E13="value",1,0)</f>
        <v>1</v>
      </c>
      <c r="AC1" t="s">
        <v>292</v>
      </c>
      <c r="AD1">
        <v>0</v>
      </c>
      <c r="AJ1" s="372" t="str">
        <f>Translate!$A$73</f>
        <v>Concrete / Slurry / Grout mix</v>
      </c>
      <c r="AK1" s="372" t="str">
        <f>Translate!$A$138</f>
        <v>Steel</v>
      </c>
      <c r="AL1" s="372" t="str">
        <f>Translate!$A$118</f>
        <v>Other</v>
      </c>
      <c r="AP1" s="284" t="str">
        <f>'Emission factors'!D342</f>
        <v>Energy</v>
      </c>
      <c r="AQ1" s="284" t="str">
        <f>'Emission factors'!E342</f>
        <v>Materials</v>
      </c>
      <c r="AR1" s="284" t="str">
        <f>'Emission factors'!F342</f>
        <v>Freight</v>
      </c>
      <c r="AS1" s="284" t="str">
        <f>'Emission factors'!G342</f>
        <v>Mob/demob</v>
      </c>
      <c r="AT1" s="284" t="str">
        <f>'Emission factors'!H342</f>
        <v>People's transportation</v>
      </c>
      <c r="AU1" s="284" t="str">
        <f>'Emission factors'!I342</f>
        <v>Assets</v>
      </c>
      <c r="AV1" s="284" t="str">
        <f>'Emission factors'!J342</f>
        <v>Waste</v>
      </c>
    </row>
    <row r="2" spans="1:57" hidden="1">
      <c r="A2" s="380"/>
      <c r="B2" s="380"/>
      <c r="C2" s="380"/>
      <c r="M2" t="s">
        <v>334</v>
      </c>
      <c r="P2" s="49">
        <f ca="1">SUMPRODUCT(($AH$17:$AH$177=2)*$AO$17:$AO$177)</f>
        <v>0</v>
      </c>
      <c r="Q2" s="49">
        <f ca="1">SUMPRODUCT(($AH$17:$AH$177=2)*1,$AL$17:$AL$177)</f>
        <v>0</v>
      </c>
      <c r="AA2" s="320" t="s">
        <v>374</v>
      </c>
      <c r="AB2" s="320">
        <f>IF(E14="value",1,0)</f>
        <v>1</v>
      </c>
      <c r="AJ2" s="393">
        <f ca="1">SUMPRODUCT(($AK$17:$AK$172=AJ1)*1,$AJ$17:$AJ$172)/1000</f>
        <v>0</v>
      </c>
      <c r="AK2" s="393">
        <f ca="1">SUMPRODUCT(($AK$17:$AK$172=AK1)*1,$AJ$17:$AJ$172)/1000</f>
        <v>0</v>
      </c>
      <c r="AL2" s="393">
        <f ca="1">SUMPRODUCT(($AK$17:$AK$172=AL1)*1,$AJ$17:$AJ$172)/1000</f>
        <v>0</v>
      </c>
      <c r="AO2" s="381" t="s">
        <v>324</v>
      </c>
      <c r="AP2" s="285">
        <f>VLOOKUP($E$6,'Emission factors'!$C$343:$AY$370,'Emission factors'!Y$340,0)</f>
        <v>1</v>
      </c>
      <c r="AQ2" s="285">
        <f>VLOOKUP($E$6,'Emission factors'!$C$343:$AY$370,'Emission factors'!Z$340,0)</f>
        <v>1</v>
      </c>
      <c r="AR2" s="285">
        <f>VLOOKUP($E$6,'Emission factors'!$C$343:$AY$370,'Emission factors'!AA$340,0)</f>
        <v>2</v>
      </c>
      <c r="AS2" s="285">
        <f>VLOOKUP($E$6,'Emission factors'!$C$343:$AY$370,'Emission factors'!AB$340,0)</f>
        <v>2</v>
      </c>
      <c r="AT2" s="285">
        <f>VLOOKUP($E$6,'Emission factors'!$C$343:$AY$370,'Emission factors'!AC$340,0)</f>
        <v>2</v>
      </c>
      <c r="AU2" s="285">
        <f>VLOOKUP($E$6,'Emission factors'!$C$343:$AY$370,'Emission factors'!AD$340,0)</f>
        <v>2</v>
      </c>
      <c r="AV2" s="285">
        <f>VLOOKUP($E$6,'Emission factors'!$C$343:$AY$370,'Emission factors'!AE$340,0)</f>
        <v>2</v>
      </c>
      <c r="AY2" t="s">
        <v>279</v>
      </c>
    </row>
    <row r="3" spans="1:57" ht="15" customHeight="1">
      <c r="A3" s="338"/>
      <c r="B3" s="338"/>
      <c r="C3" s="338"/>
      <c r="D3" s="338"/>
      <c r="E3" s="338"/>
      <c r="F3" s="338"/>
      <c r="T3" s="772" t="str">
        <f>Translate!$A$123&amp;AQ9&amp;AP9&amp;AR9&amp;AS9&amp;AT9&amp;AU9&amp;AV9</f>
        <v xml:space="preserve">Primary emission sources : 
Materials, Energy, </v>
      </c>
      <c r="U3" s="772"/>
      <c r="V3" s="772"/>
      <c r="W3" s="772"/>
      <c r="X3" s="772"/>
      <c r="Y3" s="772"/>
      <c r="Z3" s="772"/>
      <c r="AB3" t="str">
        <f>Translate!$A$131</f>
        <v>Comments :</v>
      </c>
      <c r="AO3" s="381" t="s">
        <v>269</v>
      </c>
      <c r="AP3" s="286">
        <f t="shared" ref="AP3:AV3" ca="1" si="0">IF(SUM($P$7:$P$13)=0,0,VLOOKUP(AP1,$H$7:$P$13,9,0)/SUM($P$7:$P$13))</f>
        <v>0</v>
      </c>
      <c r="AQ3" s="286">
        <f t="shared" ca="1" si="0"/>
        <v>0</v>
      </c>
      <c r="AR3" s="286">
        <f t="shared" ca="1" si="0"/>
        <v>0</v>
      </c>
      <c r="AS3" s="286">
        <f t="shared" ca="1" si="0"/>
        <v>0</v>
      </c>
      <c r="AT3" s="286">
        <f t="shared" ca="1" si="0"/>
        <v>0</v>
      </c>
      <c r="AU3" s="286">
        <f t="shared" ca="1" si="0"/>
        <v>0</v>
      </c>
      <c r="AV3" s="286">
        <f t="shared" ca="1" si="0"/>
        <v>0</v>
      </c>
      <c r="AX3" t="str">
        <f>IF(E9=0,AY3,"")</f>
        <v xml:space="preserve">Enter the number of working days
</v>
      </c>
      <c r="AY3" s="283" t="str">
        <f>Lists!H2</f>
        <v xml:space="preserve">Enter the number of working days
</v>
      </c>
    </row>
    <row r="4" spans="1:57" ht="30" customHeight="1">
      <c r="A4" s="338"/>
      <c r="B4" s="338"/>
      <c r="C4" s="338"/>
      <c r="D4" s="338"/>
      <c r="E4" s="338"/>
      <c r="F4" s="338"/>
      <c r="T4" s="772"/>
      <c r="U4" s="772"/>
      <c r="V4" s="772"/>
      <c r="W4" s="772"/>
      <c r="X4" s="772"/>
      <c r="Y4" s="772"/>
      <c r="Z4" s="772"/>
      <c r="AB4" s="773"/>
      <c r="AC4" s="774"/>
      <c r="AD4" s="774"/>
      <c r="AE4" s="774"/>
      <c r="AF4" s="775"/>
      <c r="AO4" s="381" t="s">
        <v>278</v>
      </c>
      <c r="AP4" s="286">
        <f>VLOOKUP($E$6,'Emission factors'!$C$343:$Y$370,'Emission factors'!D$340,0)</f>
        <v>4.0916663959490784E-2</v>
      </c>
      <c r="AQ4" s="286">
        <f>VLOOKUP($E$6,'Emission factors'!$C$343:$Y$370,'Emission factors'!E$340,0)</f>
        <v>0.95908333604050922</v>
      </c>
      <c r="AR4" s="286">
        <f>VLOOKUP($E$6,'Emission factors'!$C$343:$Y$370,'Emission factors'!F$340,0)</f>
        <v>6.411482467395477E-3</v>
      </c>
      <c r="AS4" s="286">
        <f>VLOOKUP($E$6,'Emission factors'!$C$343:$Y$370,'Emission factors'!G$340,0)</f>
        <v>3.1868748686830371E-3</v>
      </c>
      <c r="AT4" s="286">
        <f>VLOOKUP($E$6,'Emission factors'!$C$343:$Y$370,'Emission factors'!H$340,0)</f>
        <v>1.8692695917956075E-3</v>
      </c>
      <c r="AU4" s="286">
        <f>VLOOKUP($E$6,'Emission factors'!$C$343:$Y$370,'Emission factors'!I$340,0)</f>
        <v>4.377484024657128E-3</v>
      </c>
      <c r="AV4" s="286">
        <f>VLOOKUP($E$6,'Emission factors'!$C$343:$Y$370,'Emission factors'!J$340,0)</f>
        <v>2.6591480192145979E-3</v>
      </c>
      <c r="AX4" t="str">
        <f>IF(E10=0,AY4,"")</f>
        <v xml:space="preserve">Enter the average number of people working on the project
</v>
      </c>
      <c r="AY4" s="283" t="str">
        <f>Lists!H3</f>
        <v xml:space="preserve">Enter the average number of people working on the project
</v>
      </c>
    </row>
    <row r="5" spans="1:57" ht="20.25">
      <c r="A5" s="338"/>
      <c r="B5" s="338"/>
      <c r="C5" s="338"/>
      <c r="D5" s="215" t="str">
        <f>Translate!$A$64</f>
        <v>Subproject name</v>
      </c>
      <c r="E5" s="492"/>
      <c r="F5" s="338"/>
      <c r="T5" t="str">
        <f ca="1">IF(NOT(AW10),Translate!$A$124,"")</f>
        <v>Please enter activities data relative to the primary emission sources</v>
      </c>
      <c r="AB5" s="776"/>
      <c r="AC5" s="777"/>
      <c r="AD5" s="777"/>
      <c r="AE5" s="777"/>
      <c r="AF5" s="778"/>
      <c r="AO5" s="381" t="s">
        <v>280</v>
      </c>
      <c r="AP5" s="2">
        <f t="shared" ref="AP5:AV5" si="1">IF(AP2=1,0,IF(SUMPRODUCT($AO$17:$AO$183*($AI$17:$AI$183=AP1))&gt;0,0,1))</f>
        <v>0</v>
      </c>
      <c r="AQ5" s="2">
        <f t="shared" si="1"/>
        <v>0</v>
      </c>
      <c r="AR5" s="2">
        <f t="shared" ca="1" si="1"/>
        <v>1</v>
      </c>
      <c r="AS5" s="2">
        <f t="shared" ca="1" si="1"/>
        <v>1</v>
      </c>
      <c r="AT5" s="2">
        <f t="shared" ca="1" si="1"/>
        <v>1</v>
      </c>
      <c r="AU5" s="2">
        <f t="shared" ca="1" si="1"/>
        <v>1</v>
      </c>
      <c r="AV5" s="2">
        <f t="shared" ca="1" si="1"/>
        <v>1</v>
      </c>
      <c r="AX5" t="str">
        <f>IF(Translate!$A$300=E12,AY5,"")</f>
        <v xml:space="preserve">Select a country
</v>
      </c>
      <c r="AY5" s="283" t="str">
        <f>Lists!H4</f>
        <v xml:space="preserve">Select a country
</v>
      </c>
      <c r="BA5" t="str">
        <f>Translate!$A$132</f>
        <v>Primary emission sources</v>
      </c>
      <c r="BB5" s="49">
        <f ca="1">P1/1000</f>
        <v>0</v>
      </c>
      <c r="BC5" s="49">
        <f ca="1">P2/1000</f>
        <v>0</v>
      </c>
      <c r="BD5" s="49">
        <f ca="1">Q1/1000</f>
        <v>0</v>
      </c>
    </row>
    <row r="6" spans="1:57" ht="17.100000000000001" customHeight="1">
      <c r="A6" s="338"/>
      <c r="B6" s="782" t="str">
        <f>Translate!$A$63</f>
        <v>duplication +</v>
      </c>
      <c r="C6" s="338"/>
      <c r="D6" s="216" t="str">
        <f>Translate!$A$48</f>
        <v>Technique</v>
      </c>
      <c r="E6" s="616" t="str">
        <f>Translate!$A$281</f>
        <v>Bored piles</v>
      </c>
      <c r="F6" s="338"/>
      <c r="H6" s="88" t="str">
        <f>Translate!$A$103</f>
        <v>Sources</v>
      </c>
      <c r="L6" s="92"/>
      <c r="M6" s="89"/>
      <c r="N6" s="89"/>
      <c r="O6" s="89"/>
      <c r="P6" s="90" t="str">
        <f>Translate!$A$115</f>
        <v>tCO2e</v>
      </c>
      <c r="Q6" t="str">
        <f>Translate!$A$115</f>
        <v>tCO2e</v>
      </c>
      <c r="R6" s="133"/>
      <c r="S6" s="133"/>
      <c r="T6" s="783" t="str">
        <f ca="1">IF(P14&gt;0,AX3&amp;AX4&amp;AX5&amp;AQ8&amp;AP8&amp;AR8&amp;AS8&amp;AT8&amp;AU8&amp;AV8,"")</f>
        <v/>
      </c>
      <c r="U6" s="783"/>
      <c r="V6" s="783"/>
      <c r="W6" s="783"/>
      <c r="X6" s="783"/>
      <c r="Y6" s="783"/>
      <c r="Z6" s="783"/>
      <c r="AB6" s="776"/>
      <c r="AC6" s="777"/>
      <c r="AD6" s="777"/>
      <c r="AE6" s="777"/>
      <c r="AF6" s="778"/>
      <c r="AO6" s="381" t="s">
        <v>267</v>
      </c>
      <c r="AP6" s="286">
        <f>VLOOKUP($E$6,'Emission factors'!$C$343:$Y$370,'Emission factors'!K$340,0)</f>
        <v>0.15</v>
      </c>
      <c r="AQ6" s="286">
        <f>VLOOKUP($E$6,'Emission factors'!$C$343:$Y$370,'Emission factors'!L$340,0)</f>
        <v>1</v>
      </c>
      <c r="AR6" s="286">
        <f>VLOOKUP($E$6,'Emission factors'!$C$343:$Y$370,'Emission factors'!M$340,0)</f>
        <v>0.1</v>
      </c>
      <c r="AS6" s="286">
        <f>VLOOKUP($E$6,'Emission factors'!$C$343:$Y$370,'Emission factors'!N$340,0)</f>
        <v>0.1</v>
      </c>
      <c r="AT6" s="286">
        <f>VLOOKUP($E$6,'Emission factors'!$C$343:$Y$370,'Emission factors'!O$340,0)</f>
        <v>0.1</v>
      </c>
      <c r="AU6" s="286">
        <f>VLOOKUP($E$6,'Emission factors'!$C$343:$Y$370,'Emission factors'!P$340,0)</f>
        <v>0.05</v>
      </c>
      <c r="AV6" s="286">
        <f>VLOOKUP($E$6,'Emission factors'!$C$343:$Y$370,'Emission factors'!Q$340,0)</f>
        <v>0.05</v>
      </c>
      <c r="AY6" s="283" t="str">
        <f>Lists!H5</f>
        <v xml:space="preserve"> emissions are relatively high
</v>
      </c>
      <c r="BA6" t="str">
        <f>Translate!$A$133</f>
        <v>Secondary emission sources</v>
      </c>
      <c r="BB6" s="49">
        <f ca="1">BB5</f>
        <v>0</v>
      </c>
      <c r="BC6" s="49">
        <f ca="1">BC5</f>
        <v>0</v>
      </c>
      <c r="BD6" s="49">
        <f ca="1">Q2/1000</f>
        <v>0</v>
      </c>
    </row>
    <row r="7" spans="1:57">
      <c r="A7" s="338"/>
      <c r="B7" s="782"/>
      <c r="C7" s="338"/>
      <c r="D7" s="217" t="str">
        <f>Translate!$A$65</f>
        <v>Date of calculation</v>
      </c>
      <c r="E7" s="466"/>
      <c r="F7" s="338"/>
      <c r="H7" s="91" t="str">
        <f>Translate!$A$104</f>
        <v>Materials</v>
      </c>
      <c r="L7" s="388">
        <f ca="1">AJ2</f>
        <v>0</v>
      </c>
      <c r="M7" s="388">
        <f ca="1">AK2</f>
        <v>0</v>
      </c>
      <c r="N7" s="388">
        <f ca="1">AL2</f>
        <v>0</v>
      </c>
      <c r="O7" s="388">
        <f>AL3</f>
        <v>0</v>
      </c>
      <c r="P7" s="93">
        <f t="shared" ref="P7:P13" ca="1" si="2">SUMPRODUCT(($AI$17:$AI$172=$H7)*1,$AJ$17:$AJ$172)/1000</f>
        <v>0</v>
      </c>
      <c r="Q7" s="49">
        <f t="shared" ref="Q7:Q13" ca="1" si="3">SUMPRODUCT(($AI$17:$AI$172=$H7)*1,$AL$17:$AL$172)/1000</f>
        <v>0</v>
      </c>
      <c r="R7" s="133"/>
      <c r="S7" s="133"/>
      <c r="T7" s="783"/>
      <c r="U7" s="783"/>
      <c r="V7" s="783"/>
      <c r="W7" s="783"/>
      <c r="X7" s="783"/>
      <c r="Y7" s="783"/>
      <c r="Z7" s="783"/>
      <c r="AB7" s="776"/>
      <c r="AC7" s="777"/>
      <c r="AD7" s="777"/>
      <c r="AE7" s="777"/>
      <c r="AF7" s="778"/>
      <c r="AO7" s="381" t="s">
        <v>268</v>
      </c>
      <c r="AP7" s="286">
        <f>VLOOKUP($E$6,'Emission factors'!$C$343:$Y$370,'Emission factors'!R$340,0)</f>
        <v>0.02</v>
      </c>
      <c r="AQ7" s="286">
        <f>VLOOKUP($E$6,'Emission factors'!$C$343:$Y$370,'Emission factors'!S$340,0)</f>
        <v>0.5</v>
      </c>
      <c r="AR7" s="286">
        <f>VLOOKUP($E$6,'Emission factors'!$C$343:$Y$370,'Emission factors'!T$340,0)</f>
        <v>1E-3</v>
      </c>
      <c r="AS7" s="287">
        <f>VLOOKUP($E$6,'Emission factors'!$C$343:$Y$370,'Emission factors'!U$340,0)</f>
        <v>1E-4</v>
      </c>
      <c r="AT7" s="286">
        <f>VLOOKUP($E$6,'Emission factors'!$C$343:$Y$370,'Emission factors'!V$340,0)</f>
        <v>1E-4</v>
      </c>
      <c r="AU7" s="286">
        <f>VLOOKUP($E$6,'Emission factors'!$C$343:$Y$370,'Emission factors'!W$340,0)</f>
        <v>5.0000000000000001E-4</v>
      </c>
      <c r="AV7" s="286">
        <f>VLOOKUP($E$6,'Emission factors'!$C$343:$Y$370,'Emission factors'!X$340,0)</f>
        <v>0</v>
      </c>
      <c r="AY7" s="283" t="str">
        <f>Lists!H6</f>
        <v xml:space="preserve"> emissions are relatively low
</v>
      </c>
      <c r="BA7" t="str">
        <f>Translate!$A$134</f>
        <v>Total</v>
      </c>
      <c r="BB7" s="49">
        <f ca="1">BB6</f>
        <v>0</v>
      </c>
      <c r="BC7" s="49">
        <f ca="1">BC6</f>
        <v>0</v>
      </c>
      <c r="BD7" s="49">
        <f ca="1">BD5+BD6</f>
        <v>0</v>
      </c>
      <c r="BE7" s="458">
        <f ca="1">IF(P7=0,0,ROUND(P7,-ROUNDDOWN(LOG(ABS(P7)),0)+1))</f>
        <v>0</v>
      </c>
    </row>
    <row r="8" spans="1:57">
      <c r="A8" s="338"/>
      <c r="B8" s="782"/>
      <c r="C8" s="338"/>
      <c r="D8" s="217" t="str">
        <f>Translate!$A$66</f>
        <v>Author</v>
      </c>
      <c r="E8" s="466"/>
      <c r="F8" s="338"/>
      <c r="H8" s="91" t="str">
        <f>Translate!$A$105</f>
        <v>Energy</v>
      </c>
      <c r="L8" s="389"/>
      <c r="M8" s="389"/>
      <c r="N8" s="389"/>
      <c r="O8" s="388">
        <f t="shared" ref="O8:O13" ca="1" si="4">P8</f>
        <v>0</v>
      </c>
      <c r="P8" s="93">
        <f t="shared" ca="1" si="2"/>
        <v>0</v>
      </c>
      <c r="Q8" s="49">
        <f t="shared" ca="1" si="3"/>
        <v>0</v>
      </c>
      <c r="R8" s="133"/>
      <c r="S8" s="133"/>
      <c r="T8" s="783"/>
      <c r="U8" s="783"/>
      <c r="V8" s="783"/>
      <c r="W8" s="783"/>
      <c r="X8" s="783"/>
      <c r="Y8" s="783"/>
      <c r="Z8" s="783"/>
      <c r="AB8" s="776"/>
      <c r="AC8" s="777"/>
      <c r="AD8" s="777"/>
      <c r="AE8" s="777"/>
      <c r="AF8" s="778"/>
      <c r="AO8" s="283"/>
      <c r="AP8" s="283" t="str">
        <f t="shared" ref="AP8:AU8" ca="1" si="5">IF(AP7&gt;AP3,AP1&amp;$AY$7,IF(AP6&lt;AP3,AP1&amp;$AY$6,""))</f>
        <v xml:space="preserve">Energy emissions are relatively low
</v>
      </c>
      <c r="AQ8" s="283" t="str">
        <f t="shared" ca="1" si="5"/>
        <v xml:space="preserve">Materials emissions are relatively low
</v>
      </c>
      <c r="AR8" s="283" t="str">
        <f t="shared" ca="1" si="5"/>
        <v xml:space="preserve">Freight emissions are relatively low
</v>
      </c>
      <c r="AS8" s="283" t="str">
        <f t="shared" ca="1" si="5"/>
        <v xml:space="preserve">Mob/demob emissions are relatively low
</v>
      </c>
      <c r="AT8" s="283" t="str">
        <f t="shared" ca="1" si="5"/>
        <v xml:space="preserve">People's transportation emissions are relatively low
</v>
      </c>
      <c r="AU8" s="283" t="str">
        <f t="shared" ca="1" si="5"/>
        <v xml:space="preserve">Assets emissions are relatively low
</v>
      </c>
      <c r="AV8" s="283" t="str">
        <f ca="1">IF(AV7&gt;AV3,AV1&amp;$AY$7,IF(AV6&lt;AV3,AV1&amp;$AY$6,""))</f>
        <v/>
      </c>
      <c r="AW8" s="283"/>
      <c r="AY8" s="283" t="str">
        <f>Lists!H7</f>
        <v xml:space="preserve">    (Primary source)</v>
      </c>
      <c r="BE8" s="458">
        <f t="shared" ref="BE8:BE13" ca="1" si="6">IF(P8=0,0,ROUND(P8,-ROUNDDOWN(LOG(ABS(P8)),0)+1))</f>
        <v>0</v>
      </c>
    </row>
    <row r="9" spans="1:57">
      <c r="A9" s="338"/>
      <c r="B9" s="782"/>
      <c r="C9" s="338"/>
      <c r="D9" s="217" t="str">
        <f>Translate!$A$67</f>
        <v>Working days</v>
      </c>
      <c r="E9" s="515"/>
      <c r="F9" s="217" t="str">
        <f>Translate!$A$67</f>
        <v>Working days</v>
      </c>
      <c r="H9" s="91" t="str">
        <f>Translate!$A$106</f>
        <v>Freight</v>
      </c>
      <c r="L9" s="389"/>
      <c r="M9" s="389"/>
      <c r="N9" s="389"/>
      <c r="O9" s="388">
        <f t="shared" ca="1" si="4"/>
        <v>0</v>
      </c>
      <c r="P9" s="93">
        <f t="shared" ca="1" si="2"/>
        <v>0</v>
      </c>
      <c r="Q9" s="49">
        <f t="shared" ca="1" si="3"/>
        <v>0</v>
      </c>
      <c r="R9" s="133"/>
      <c r="S9" s="133"/>
      <c r="T9" s="783"/>
      <c r="U9" s="783"/>
      <c r="V9" s="783"/>
      <c r="W9" s="783"/>
      <c r="X9" s="783"/>
      <c r="Y9" s="783"/>
      <c r="Z9" s="783"/>
      <c r="AB9" s="776"/>
      <c r="AC9" s="777"/>
      <c r="AD9" s="777"/>
      <c r="AE9" s="777"/>
      <c r="AF9" s="778"/>
      <c r="AO9" s="283"/>
      <c r="AP9" s="283" t="str">
        <f t="shared" ref="AP9:AV9" si="7">IF(AP2=1,AP1&amp;", ","")</f>
        <v xml:space="preserve">Energy, </v>
      </c>
      <c r="AQ9" s="283" t="str">
        <f t="shared" si="7"/>
        <v xml:space="preserve">Materials, </v>
      </c>
      <c r="AR9" s="283" t="str">
        <f t="shared" si="7"/>
        <v/>
      </c>
      <c r="AS9" s="283" t="str">
        <f t="shared" si="7"/>
        <v/>
      </c>
      <c r="AT9" s="283" t="str">
        <f t="shared" si="7"/>
        <v/>
      </c>
      <c r="AU9" s="283" t="str">
        <f t="shared" si="7"/>
        <v/>
      </c>
      <c r="AV9" s="283" t="str">
        <f t="shared" si="7"/>
        <v/>
      </c>
      <c r="AY9" s="283" t="str">
        <f>Lists!H8</f>
        <v xml:space="preserve">    (Secondary source)</v>
      </c>
      <c r="BE9" s="458">
        <f t="shared" ca="1" si="6"/>
        <v>0</v>
      </c>
    </row>
    <row r="10" spans="1:57">
      <c r="A10" s="338"/>
      <c r="B10" s="782"/>
      <c r="C10" s="338"/>
      <c r="D10" s="217" t="str">
        <f>Translate!$A$68</f>
        <v>Workforce</v>
      </c>
      <c r="E10" s="515"/>
      <c r="F10" s="431" t="str">
        <f>Translate!$A$94</f>
        <v>Full-time equivalent</v>
      </c>
      <c r="H10" s="91" t="str">
        <f>Translate!$A$107</f>
        <v>Mob/demob</v>
      </c>
      <c r="L10" s="389"/>
      <c r="M10" s="389"/>
      <c r="N10" s="389"/>
      <c r="O10" s="388">
        <f t="shared" ca="1" si="4"/>
        <v>0</v>
      </c>
      <c r="P10" s="93">
        <f t="shared" ca="1" si="2"/>
        <v>0</v>
      </c>
      <c r="Q10" s="49">
        <f t="shared" ca="1" si="3"/>
        <v>0</v>
      </c>
      <c r="R10" s="133"/>
      <c r="S10" s="133"/>
      <c r="T10" s="783"/>
      <c r="U10" s="783"/>
      <c r="V10" s="783"/>
      <c r="W10" s="783"/>
      <c r="X10" s="783"/>
      <c r="Y10" s="783"/>
      <c r="Z10" s="783"/>
      <c r="AB10" s="779"/>
      <c r="AC10" s="780"/>
      <c r="AD10" s="780"/>
      <c r="AE10" s="780"/>
      <c r="AF10" s="781"/>
      <c r="AO10" s="356" t="s">
        <v>308</v>
      </c>
      <c r="AP10" s="283" t="b">
        <f ca="1">IF((AP2=1),NOT(AP3=0),TRUE)</f>
        <v>0</v>
      </c>
      <c r="AQ10" s="283" t="b">
        <f t="shared" ref="AQ10:AV10" ca="1" si="8">IF((AQ2=1),NOT(AQ3=0),TRUE)</f>
        <v>0</v>
      </c>
      <c r="AR10" s="283" t="b">
        <f t="shared" si="8"/>
        <v>1</v>
      </c>
      <c r="AS10" s="283" t="b">
        <f t="shared" si="8"/>
        <v>1</v>
      </c>
      <c r="AT10" s="283" t="b">
        <f t="shared" si="8"/>
        <v>1</v>
      </c>
      <c r="AU10" s="283" t="b">
        <f t="shared" si="8"/>
        <v>1</v>
      </c>
      <c r="AV10" s="283" t="b">
        <f t="shared" si="8"/>
        <v>1</v>
      </c>
      <c r="AW10" s="283" t="b">
        <f ca="1">AND(AP10:AV10)</f>
        <v>0</v>
      </c>
      <c r="BE10" s="458">
        <f t="shared" ca="1" si="6"/>
        <v>0</v>
      </c>
    </row>
    <row r="11" spans="1:57" ht="15.75" thickBot="1">
      <c r="A11" s="338"/>
      <c r="B11" s="133"/>
      <c r="C11" s="338"/>
      <c r="D11" s="217" t="str">
        <f>Translate!$A$69</f>
        <v>Project value</v>
      </c>
      <c r="E11" s="515"/>
      <c r="F11" s="340" t="str">
        <f>Translate!$A$95</f>
        <v>€</v>
      </c>
      <c r="H11" s="91" t="str">
        <f>Translate!$A$108</f>
        <v>People's transportation</v>
      </c>
      <c r="L11" s="389"/>
      <c r="M11" s="389"/>
      <c r="N11" s="389"/>
      <c r="O11" s="388">
        <f t="shared" ca="1" si="4"/>
        <v>0</v>
      </c>
      <c r="P11" s="93">
        <f t="shared" ca="1" si="2"/>
        <v>0</v>
      </c>
      <c r="Q11" s="49">
        <f t="shared" ca="1" si="3"/>
        <v>0</v>
      </c>
      <c r="AO11" s="283"/>
      <c r="AP11" s="283" t="str">
        <f>IF(AP2=1,AP1&amp;$AY$8,AP1&amp;$AY$9)</f>
        <v>Energy    (Primary source)</v>
      </c>
      <c r="AQ11" s="283" t="str">
        <f t="shared" ref="AQ11:AV11" si="9">IF(AQ2=1,AQ1&amp;$AY$8,AQ1&amp;$AY$9)</f>
        <v>Materials    (Primary source)</v>
      </c>
      <c r="AR11" s="283" t="str">
        <f t="shared" si="9"/>
        <v>Freight    (Secondary source)</v>
      </c>
      <c r="AS11" s="283" t="str">
        <f t="shared" si="9"/>
        <v>Mob/demob    (Secondary source)</v>
      </c>
      <c r="AT11" s="283" t="str">
        <f t="shared" si="9"/>
        <v>People's transportation    (Secondary source)</v>
      </c>
      <c r="AU11" s="283" t="str">
        <f t="shared" si="9"/>
        <v>Assets    (Secondary source)</v>
      </c>
      <c r="AV11" s="283" t="str">
        <f t="shared" si="9"/>
        <v>Waste    (Secondary source)</v>
      </c>
      <c r="BE11" s="458">
        <f t="shared" ca="1" si="6"/>
        <v>0</v>
      </c>
    </row>
    <row r="12" spans="1:57" ht="21.75" customHeight="1" thickBot="1">
      <c r="A12" s="338"/>
      <c r="B12" s="133"/>
      <c r="C12" s="338"/>
      <c r="D12" s="217" t="str">
        <f>Translate!$A$70</f>
        <v>Country</v>
      </c>
      <c r="E12" s="493" t="str">
        <f>Translate!$A$300</f>
        <v>-Select the project country</v>
      </c>
      <c r="F12" s="338"/>
      <c r="H12" s="91" t="str">
        <f>Translate!$A$109</f>
        <v>Assets</v>
      </c>
      <c r="L12" s="389"/>
      <c r="M12" s="389"/>
      <c r="N12" s="389"/>
      <c r="O12" s="388">
        <f t="shared" ca="1" si="4"/>
        <v>0</v>
      </c>
      <c r="P12" s="93">
        <f t="shared" ca="1" si="2"/>
        <v>0</v>
      </c>
      <c r="Q12" s="49">
        <f t="shared" ca="1" si="3"/>
        <v>0</v>
      </c>
      <c r="T12" s="485" t="str">
        <f>Translate!$A$125</f>
        <v>TOTAL GHG EMISSIONS</v>
      </c>
      <c r="U12" s="486"/>
      <c r="V12" s="784">
        <f ca="1">IF(P14=0,0,ROUND(P14,-ROUNDDOWN(LOG(ABS(P14)),0)+1))</f>
        <v>0</v>
      </c>
      <c r="W12" s="784"/>
      <c r="X12" s="784"/>
      <c r="Y12" s="487" t="str">
        <f>Translate!$A$115</f>
        <v>tCO2e</v>
      </c>
      <c r="BE12" s="458">
        <f t="shared" ca="1" si="6"/>
        <v>0</v>
      </c>
    </row>
    <row r="13" spans="1:57">
      <c r="A13" s="338"/>
      <c r="B13" s="133"/>
      <c r="C13" s="338"/>
      <c r="D13" s="466" t="str">
        <f>Translate!$A$71</f>
        <v>Functional unit 1</v>
      </c>
      <c r="E13" s="515" t="str">
        <f>Translate!$A$87</f>
        <v>value</v>
      </c>
      <c r="F13" s="466" t="str">
        <f>Translate!$A$96</f>
        <v>unit</v>
      </c>
      <c r="H13" s="91" t="str">
        <f>Translate!$A$110</f>
        <v>Waste</v>
      </c>
      <c r="L13" s="389"/>
      <c r="M13" s="389"/>
      <c r="N13" s="389"/>
      <c r="O13" s="388">
        <f t="shared" ca="1" si="4"/>
        <v>0</v>
      </c>
      <c r="P13" s="93">
        <f t="shared" ca="1" si="2"/>
        <v>0</v>
      </c>
      <c r="Q13" s="49">
        <f t="shared" ca="1" si="3"/>
        <v>0</v>
      </c>
      <c r="BE13" s="458">
        <f t="shared" ca="1" si="6"/>
        <v>0</v>
      </c>
    </row>
    <row r="14" spans="1:57">
      <c r="A14" s="338"/>
      <c r="B14" s="133"/>
      <c r="C14" s="338"/>
      <c r="D14" s="466" t="str">
        <f>Translate!$A$72</f>
        <v>Functional unit 2</v>
      </c>
      <c r="E14" s="515" t="str">
        <f>Translate!$A$87</f>
        <v>value</v>
      </c>
      <c r="F14" s="466" t="str">
        <f>Translate!$A$96</f>
        <v>unit</v>
      </c>
      <c r="P14" s="49">
        <f ca="1">SUM(P7:P13)</f>
        <v>0</v>
      </c>
      <c r="S14" s="49"/>
    </row>
    <row r="15" spans="1:57" ht="12" customHeight="1">
      <c r="A15" s="338"/>
      <c r="B15" s="133"/>
      <c r="C15" s="338"/>
      <c r="D15" s="338"/>
      <c r="E15" s="338"/>
      <c r="F15" s="338"/>
    </row>
    <row r="16" spans="1:57" ht="25.5" hidden="1">
      <c r="I16" s="282" t="s">
        <v>64</v>
      </c>
      <c r="J16" s="282"/>
      <c r="K16" s="282" t="s">
        <v>16</v>
      </c>
      <c r="L16" s="282" t="s">
        <v>65</v>
      </c>
    </row>
    <row r="17" spans="1:45" ht="21" customHeight="1">
      <c r="A17" s="1"/>
      <c r="B17" s="1"/>
      <c r="C17" s="1"/>
      <c r="D17" s="8" t="str">
        <f>AQ11</f>
        <v>Materials    (Primary source)</v>
      </c>
      <c r="E17" s="1"/>
      <c r="F17" s="1"/>
      <c r="G17" s="1"/>
      <c r="H17" s="1"/>
      <c r="I17" s="1"/>
      <c r="J17" s="1"/>
      <c r="K17" s="1"/>
      <c r="L17" s="1"/>
      <c r="M17" s="1"/>
      <c r="N17" s="1"/>
      <c r="O17" s="16"/>
      <c r="P17" s="16"/>
      <c r="Q17" s="16" t="str">
        <f>AR11</f>
        <v>Freight    (Secondary source)</v>
      </c>
      <c r="R17" s="15"/>
      <c r="S17" s="16"/>
      <c r="T17" s="16"/>
      <c r="U17" s="15"/>
      <c r="V17" s="15"/>
      <c r="W17" s="15"/>
      <c r="X17" s="15"/>
      <c r="Y17" s="15"/>
      <c r="Z17" s="15"/>
      <c r="AA17" s="15"/>
      <c r="AB17" s="15"/>
      <c r="AC17" s="15"/>
      <c r="AD17" s="15"/>
      <c r="AE17" s="15"/>
      <c r="AH17" s="357" t="s">
        <v>323</v>
      </c>
      <c r="AI17" s="357" t="s">
        <v>319</v>
      </c>
      <c r="AJ17" s="357" t="s">
        <v>320</v>
      </c>
      <c r="AK17" s="357" t="s">
        <v>314</v>
      </c>
      <c r="AL17" s="357" t="s">
        <v>321</v>
      </c>
      <c r="AM17" s="357"/>
      <c r="AN17" s="357" t="s">
        <v>322</v>
      </c>
    </row>
    <row r="18" spans="1:45" ht="12.75" customHeight="1">
      <c r="A18" s="1"/>
      <c r="D18" s="3"/>
    </row>
    <row r="19" spans="1:45" ht="15.75">
      <c r="A19" s="1"/>
      <c r="C19" s="27"/>
      <c r="D19" s="28" t="str">
        <f>Translate!$A$73</f>
        <v>Concrete / Slurry / Grout mix</v>
      </c>
      <c r="E19" s="29"/>
      <c r="F19" s="29"/>
      <c r="G19" s="29"/>
      <c r="H19" s="29"/>
      <c r="I19" s="29"/>
      <c r="J19" s="29"/>
      <c r="K19" s="29"/>
      <c r="L19" s="29"/>
      <c r="M19" s="29"/>
      <c r="N19" s="29"/>
      <c r="O19" s="30"/>
      <c r="P19" s="30"/>
      <c r="Q19" s="30"/>
      <c r="R19" s="30"/>
      <c r="S19" s="30"/>
      <c r="T19" s="30"/>
      <c r="U19" s="30"/>
      <c r="V19" s="30"/>
      <c r="W19" s="30"/>
      <c r="X19" s="30"/>
      <c r="Y19" s="30"/>
      <c r="Z19" s="30"/>
      <c r="AA19" s="30"/>
      <c r="AB19" s="30"/>
      <c r="AC19" s="30"/>
      <c r="AD19" s="30"/>
      <c r="AE19" s="31"/>
    </row>
    <row r="20" spans="1:45" ht="15.75">
      <c r="A20" s="1"/>
      <c r="B20" s="551" t="s">
        <v>316</v>
      </c>
      <c r="C20" s="32"/>
      <c r="D20" s="22"/>
      <c r="E20" s="23"/>
      <c r="F20" s="23"/>
      <c r="G20" s="23"/>
      <c r="H20" s="23"/>
      <c r="I20" s="23"/>
      <c r="J20" s="23"/>
      <c r="K20" s="23"/>
      <c r="L20" s="23"/>
      <c r="M20" s="23"/>
      <c r="N20" s="23"/>
      <c r="O20" s="24"/>
      <c r="P20" s="24"/>
      <c r="Q20" s="24"/>
      <c r="R20" s="24"/>
      <c r="S20" s="24"/>
      <c r="T20" s="24"/>
      <c r="U20" s="24"/>
      <c r="V20" s="24"/>
      <c r="W20" s="24"/>
      <c r="X20" s="24"/>
      <c r="Y20" s="24"/>
      <c r="Z20" s="24"/>
      <c r="AA20" s="24"/>
      <c r="AB20" s="24"/>
      <c r="AC20" s="24"/>
      <c r="AD20" s="24"/>
      <c r="AE20" s="33"/>
      <c r="AN20">
        <f>ROW(F43)-ROW(F19)</f>
        <v>24</v>
      </c>
    </row>
    <row r="21" spans="1:45" ht="15.75">
      <c r="A21" s="1"/>
      <c r="C21" s="32"/>
      <c r="D21" s="10" t="str">
        <f>Translate!$A$47</f>
        <v>Name</v>
      </c>
      <c r="E21" s="465" t="str">
        <f>Translate!$A$88</f>
        <v>Default concrete</v>
      </c>
      <c r="F21" s="23"/>
      <c r="G21" s="23"/>
      <c r="H21" s="23"/>
      <c r="I21" s="23"/>
      <c r="J21" s="23"/>
      <c r="K21" s="23"/>
      <c r="L21" s="613" t="str">
        <f>Translate!$A$475</f>
        <v>made at plant</v>
      </c>
      <c r="M21" s="614">
        <f>IF(L21=Translate!$A$475,1,0)</f>
        <v>1</v>
      </c>
      <c r="N21" s="23"/>
      <c r="O21" s="24"/>
      <c r="P21" s="24"/>
      <c r="Q21" s="24"/>
      <c r="R21" s="24"/>
      <c r="S21" s="24"/>
      <c r="T21" s="24"/>
      <c r="U21" s="24"/>
      <c r="V21" s="24"/>
      <c r="W21" s="24"/>
      <c r="X21" s="24"/>
      <c r="Y21" s="24"/>
      <c r="Z21" s="24"/>
      <c r="AA21" s="24"/>
      <c r="AB21" s="24"/>
      <c r="AC21" s="24"/>
      <c r="AD21" s="24"/>
      <c r="AE21" s="33"/>
      <c r="AM21" s="707"/>
    </row>
    <row r="22" spans="1:45" ht="15.75">
      <c r="A22" s="1"/>
      <c r="C22" s="463"/>
      <c r="D22" s="10" t="str">
        <f>Translate!$A$74</f>
        <v>Quantity</v>
      </c>
      <c r="E22" s="465"/>
      <c r="F22" s="220" t="str">
        <f>'Emission factors'!$F$414</f>
        <v>m3</v>
      </c>
      <c r="G22" s="23"/>
      <c r="H22" s="23"/>
      <c r="I22" s="25">
        <f>E22</f>
        <v>0</v>
      </c>
      <c r="J22" s="21" t="str">
        <f>F22</f>
        <v>m3</v>
      </c>
      <c r="K22" s="23"/>
      <c r="L22" s="23"/>
      <c r="M22" s="23"/>
      <c r="N22" s="23"/>
      <c r="O22" s="24"/>
      <c r="P22" s="19" t="str">
        <f>Translate!$A$112</f>
        <v>Distance</v>
      </c>
      <c r="Q22" s="470">
        <f>IF(L21="made on site",0,20)</f>
        <v>20</v>
      </c>
      <c r="R22" s="20" t="str">
        <f>'Emission factors'!$F$410</f>
        <v>km</v>
      </c>
      <c r="S22" s="19" t="str">
        <f>Translate!$A$120</f>
        <v>Type</v>
      </c>
      <c r="T22" s="471" t="str">
        <f>Translate!$A$206</f>
        <v>Road - Rigid &gt;17t</v>
      </c>
      <c r="U22" s="19" t="str">
        <f>Translate!$A$127</f>
        <v>Load</v>
      </c>
      <c r="V22" s="471">
        <f>'Emission factors'!$D$311</f>
        <v>8</v>
      </c>
      <c r="W22" s="20" t="str">
        <f>J22</f>
        <v>m3</v>
      </c>
      <c r="X22" s="471">
        <f>IF(V22=0,0,ROUNDUP(I22/V22,0))</f>
        <v>0</v>
      </c>
      <c r="Y22" s="20" t="str">
        <f>Translate!$A$130</f>
        <v>travels</v>
      </c>
      <c r="Z22" s="39" t="str">
        <f>Translate!$A$128</f>
        <v>empty-return rate</v>
      </c>
      <c r="AA22" s="472">
        <v>1</v>
      </c>
      <c r="AB22" s="48">
        <f>VLOOKUP(T22,EFtable,3,0)</f>
        <v>0.98243999999999998</v>
      </c>
      <c r="AC22" s="46">
        <f>Q22*X22*(1+AA22)*AB22</f>
        <v>0</v>
      </c>
      <c r="AD22" s="47" t="str">
        <f>Translate!$A$102</f>
        <v>kgCO2e</v>
      </c>
      <c r="AE22" s="33"/>
      <c r="AJ22" s="49"/>
      <c r="AM22" s="708">
        <v>0</v>
      </c>
    </row>
    <row r="23" spans="1:45" ht="15.75">
      <c r="A23" s="1"/>
      <c r="C23" s="463"/>
      <c r="D23" s="22"/>
      <c r="E23" s="23"/>
      <c r="F23" s="23"/>
      <c r="G23" s="23"/>
      <c r="H23" s="23"/>
      <c r="I23" s="23"/>
      <c r="J23" s="23"/>
      <c r="K23" s="23"/>
      <c r="L23" s="23"/>
      <c r="M23" s="23"/>
      <c r="N23" s="23"/>
      <c r="O23" s="24"/>
      <c r="P23" s="24"/>
      <c r="Q23" s="24"/>
      <c r="R23" s="24"/>
      <c r="S23" s="24"/>
      <c r="T23" s="24"/>
      <c r="U23" s="24"/>
      <c r="V23" s="24"/>
      <c r="W23" s="24"/>
      <c r="X23" s="24"/>
      <c r="Y23" s="24"/>
      <c r="Z23" s="24"/>
      <c r="AA23" s="24"/>
      <c r="AB23" s="24"/>
      <c r="AC23" s="24"/>
      <c r="AD23" s="24"/>
      <c r="AE23" s="33"/>
      <c r="AH23">
        <f>HLOOKUP(AI23,$AP$1:$AV$2,2,0)</f>
        <v>2</v>
      </c>
      <c r="AI23" t="str">
        <f>Translate!$A$106</f>
        <v>Freight</v>
      </c>
      <c r="AJ23" s="49">
        <f>AC22</f>
        <v>0</v>
      </c>
      <c r="AL23" s="379">
        <f>VLOOKUP(T22,EFtable,8,0)*AC22</f>
        <v>0</v>
      </c>
      <c r="AM23" s="708">
        <f ca="1">1+OFFSET(AM23,-1,0)</f>
        <v>1</v>
      </c>
      <c r="AO23" s="49">
        <f>AJ23</f>
        <v>0</v>
      </c>
    </row>
    <row r="24" spans="1:45" ht="15.75">
      <c r="A24" s="1"/>
      <c r="C24" s="552" t="s">
        <v>316</v>
      </c>
      <c r="D24" s="10" t="str">
        <f>Translate!$A$75</f>
        <v>Cement</v>
      </c>
      <c r="E24" s="466" t="str">
        <f>Translate!$A$181</f>
        <v>CEM I</v>
      </c>
      <c r="F24" s="23"/>
      <c r="G24" s="23"/>
      <c r="H24" s="23"/>
      <c r="I24" s="23"/>
      <c r="J24" s="23"/>
      <c r="K24" s="23"/>
      <c r="L24" s="23"/>
      <c r="M24" s="23"/>
      <c r="N24" s="23"/>
      <c r="O24" s="24"/>
      <c r="P24" s="24"/>
      <c r="Q24" s="24"/>
      <c r="R24" s="24"/>
      <c r="S24" s="24"/>
      <c r="T24" s="24"/>
      <c r="U24" s="24"/>
      <c r="V24" s="24"/>
      <c r="W24" s="24"/>
      <c r="X24" s="24"/>
      <c r="Y24" s="24"/>
      <c r="Z24" s="24"/>
      <c r="AA24" s="24"/>
      <c r="AB24" s="24"/>
      <c r="AC24" s="24"/>
      <c r="AD24" s="24"/>
      <c r="AE24" s="33"/>
      <c r="AL24" s="49"/>
      <c r="AM24" s="708">
        <f t="shared" ref="AM24:AM43" ca="1" si="10">1+OFFSET(AM24,-1,0)</f>
        <v>2</v>
      </c>
      <c r="AN24">
        <f>ROW(F28)-ROW(F24)</f>
        <v>4</v>
      </c>
    </row>
    <row r="25" spans="1:45">
      <c r="A25" s="1"/>
      <c r="C25" s="463"/>
      <c r="D25" s="9" t="str">
        <f>Translate!$A$76</f>
        <v>Total cementitious content</v>
      </c>
      <c r="E25" s="683">
        <f>VLOOKUP($E$6,DefaultConcrete,3,0)</f>
        <v>400</v>
      </c>
      <c r="F25" s="220" t="str">
        <f ca="1">OFFSET(AS25,-AM25+6,0)</f>
        <v>kg/m3</v>
      </c>
      <c r="G25" s="23"/>
      <c r="H25" s="23"/>
      <c r="I25" s="23"/>
      <c r="J25" s="23"/>
      <c r="K25" s="23"/>
      <c r="L25" s="23"/>
      <c r="M25" s="23"/>
      <c r="N25" s="23"/>
      <c r="O25" s="24"/>
      <c r="P25" s="19" t="str">
        <f>Translate!$A$112</f>
        <v>Distance</v>
      </c>
      <c r="Q25" s="470">
        <f>IF(ISERROR(VLOOKUP(D24,StandardFreight,3,0)),VLOOKUP(Translate!$A$118,StandardFreight,3,0),VLOOKUP(D24,StandardFreight,3,0))</f>
        <v>20</v>
      </c>
      <c r="R25" s="20" t="str">
        <f>'Emission factors'!$F$410</f>
        <v>km</v>
      </c>
      <c r="S25" s="19" t="str">
        <f>Translate!$A$120</f>
        <v>Type</v>
      </c>
      <c r="T25" s="473" t="str">
        <f>IF(ISERROR(VLOOKUP(D24,StandardFreight,2,0)),VLOOKUP("Other",StandardFreight,2,0),VLOOKUP(D24,StandardFreight,2,0))</f>
        <v>Road - Rigid &gt;17t</v>
      </c>
      <c r="U25" s="19" t="str">
        <f>Translate!$A$127</f>
        <v>Load</v>
      </c>
      <c r="V25" s="471">
        <f>VLOOKUP(T25,FreightLoadFactors,2,0)</f>
        <v>7.5</v>
      </c>
      <c r="W25" s="20" t="str">
        <f>J28</f>
        <v>t</v>
      </c>
      <c r="X25" s="471">
        <f ca="1">IF(V25=0,0,ROUNDUP(I28/V25,0))</f>
        <v>0</v>
      </c>
      <c r="Y25" s="20" t="str">
        <f>Translate!$A$130</f>
        <v>travels</v>
      </c>
      <c r="Z25" s="39" t="str">
        <f>Translate!$A$128</f>
        <v>empty-return rate</v>
      </c>
      <c r="AA25" s="472">
        <v>1</v>
      </c>
      <c r="AB25" s="474">
        <f>VLOOKUP(T25,EFtable,3,0)</f>
        <v>0.98243999999999998</v>
      </c>
      <c r="AC25" s="475">
        <f ca="1">Q25*X25*(1+AA25)*AB25</f>
        <v>0</v>
      </c>
      <c r="AD25" s="47" t="str">
        <f>Translate!$A$102</f>
        <v>kgCO2e</v>
      </c>
      <c r="AE25" s="33"/>
      <c r="AH25">
        <f>HLOOKUP(AI25,$AP$1:$AV$2,2,0)</f>
        <v>1</v>
      </c>
      <c r="AI25" t="str">
        <f>Translate!$A$104</f>
        <v>Materials</v>
      </c>
      <c r="AJ25" s="49">
        <f ca="1">L28</f>
        <v>0</v>
      </c>
      <c r="AK25" s="372" t="str">
        <f>Translate!$A$73</f>
        <v>Concrete / Slurry / Grout mix</v>
      </c>
      <c r="AL25" s="379">
        <f ca="1">VLOOKUP("CEM I",EFtable,8,0)*L28</f>
        <v>0</v>
      </c>
      <c r="AM25" s="708">
        <f t="shared" ca="1" si="10"/>
        <v>3</v>
      </c>
      <c r="AO25" s="49">
        <f ca="1">AJ25</f>
        <v>0</v>
      </c>
    </row>
    <row r="26" spans="1:45">
      <c r="A26" s="1"/>
      <c r="C26" s="463"/>
      <c r="D26" s="4" t="str">
        <f>Translate!$A$77</f>
        <v>Secondary constituent</v>
      </c>
      <c r="E26" s="5" t="str">
        <f>VLOOKUP(E24,'Emission factors'!$C$286:$M$294,2,0)</f>
        <v>-</v>
      </c>
      <c r="F26" s="23"/>
      <c r="G26" s="23"/>
      <c r="H26" s="23"/>
      <c r="I26" s="23"/>
      <c r="J26" s="23"/>
      <c r="K26" s="23"/>
      <c r="L26" s="23"/>
      <c r="M26" s="23"/>
      <c r="N26" s="23"/>
      <c r="O26" s="24"/>
      <c r="P26" s="24"/>
      <c r="Q26" s="24"/>
      <c r="R26" s="24"/>
      <c r="S26" s="24"/>
      <c r="T26" s="456"/>
      <c r="U26" s="24"/>
      <c r="V26" s="24"/>
      <c r="W26" s="24"/>
      <c r="X26" s="24"/>
      <c r="Y26" s="24"/>
      <c r="Z26" s="24"/>
      <c r="AA26" s="24"/>
      <c r="AB26" s="24"/>
      <c r="AC26" s="24"/>
      <c r="AD26" s="24"/>
      <c r="AE26" s="33"/>
      <c r="AH26">
        <f>HLOOKUP(AI26,$AP$1:$AV$2,2,0)</f>
        <v>2</v>
      </c>
      <c r="AI26" t="str">
        <f>Translate!$A$106</f>
        <v>Freight</v>
      </c>
      <c r="AJ26" s="49">
        <f ca="1">AC25</f>
        <v>0</v>
      </c>
      <c r="AL26" s="379">
        <f ca="1">VLOOKUP(T25,EFtable,8,0)*AC25</f>
        <v>0</v>
      </c>
      <c r="AM26" s="708">
        <f t="shared" ca="1" si="10"/>
        <v>4</v>
      </c>
      <c r="AO26" s="49">
        <f ca="1">AJ26</f>
        <v>0</v>
      </c>
    </row>
    <row r="27" spans="1:45">
      <c r="A27" s="1"/>
      <c r="C27" s="463"/>
      <c r="D27" s="785" t="str">
        <f>Translate!$A$78</f>
        <v>Secondary constituent content</v>
      </c>
      <c r="E27" s="4" t="str">
        <f>Translate!$A$89</f>
        <v>Default value</v>
      </c>
      <c r="F27" s="4" t="str">
        <f>Translate!$A$97</f>
        <v>Real Value</v>
      </c>
      <c r="G27" s="23"/>
      <c r="H27" s="23"/>
      <c r="I27" s="23"/>
      <c r="J27" s="23"/>
      <c r="K27" s="23"/>
      <c r="L27" s="23"/>
      <c r="M27" s="23"/>
      <c r="N27" s="23"/>
      <c r="O27" s="24"/>
      <c r="P27" s="24"/>
      <c r="Q27" s="24"/>
      <c r="R27" s="24"/>
      <c r="S27" s="24"/>
      <c r="T27" s="456"/>
      <c r="U27" s="24"/>
      <c r="V27" s="24"/>
      <c r="W27" s="24"/>
      <c r="X27" s="24"/>
      <c r="Y27" s="24"/>
      <c r="Z27" s="24"/>
      <c r="AA27" s="24"/>
      <c r="AB27" s="24"/>
      <c r="AC27" s="24"/>
      <c r="AD27" s="24"/>
      <c r="AE27" s="33"/>
      <c r="AL27" s="49"/>
      <c r="AM27" s="708">
        <f t="shared" ca="1" si="10"/>
        <v>5</v>
      </c>
      <c r="AS27" s="95" t="str">
        <f>'Emission factors'!$F$411</f>
        <v>t</v>
      </c>
    </row>
    <row r="28" spans="1:45">
      <c r="A28" s="1"/>
      <c r="C28" s="463"/>
      <c r="D28" s="786"/>
      <c r="E28" s="6">
        <f>IF(F28="",VLOOKUP(E24,CementTypes,5,0),"")</f>
        <v>0</v>
      </c>
      <c r="F28" s="467"/>
      <c r="G28" s="23"/>
      <c r="H28" s="23"/>
      <c r="I28" s="25">
        <f ca="1">IF(F25=OFFSET(AS28,-AM28+6,0),E25*OFFSET(E28,-AM28,0)/IF(J28='Emission factors'!E411,1,1000),E25)</f>
        <v>0</v>
      </c>
      <c r="J28" s="21" t="str">
        <f>'Emission factors'!$F$411</f>
        <v>t</v>
      </c>
      <c r="K28" s="7">
        <f>IF(E24="CEM I",VLOOKUP(E24,EFtable,3,0),(IF(F28="",E28,F28)*VLOOKUP(E26,EFtable,3,0)+(1-IF(F28="",E28,F28))*VLOOKUP("CEM I",EFtable,3,0)))</f>
        <v>860</v>
      </c>
      <c r="L28" s="25">
        <f ca="1">I28*K28</f>
        <v>0</v>
      </c>
      <c r="M28" s="21" t="str">
        <f>Translate!$A$102</f>
        <v>kgCO2e</v>
      </c>
      <c r="N28" s="23"/>
      <c r="O28" s="24"/>
      <c r="P28" s="24"/>
      <c r="Q28" s="24"/>
      <c r="R28" s="24"/>
      <c r="S28" s="24"/>
      <c r="T28" s="456"/>
      <c r="U28" s="24"/>
      <c r="V28" s="24"/>
      <c r="W28" s="24"/>
      <c r="X28" s="24"/>
      <c r="Y28" s="24"/>
      <c r="Z28" s="24"/>
      <c r="AA28" s="24"/>
      <c r="AB28" s="24"/>
      <c r="AC28" s="24"/>
      <c r="AD28" s="24"/>
      <c r="AE28" s="33"/>
      <c r="AL28" s="49"/>
      <c r="AM28" s="708">
        <f t="shared" ca="1" si="10"/>
        <v>6</v>
      </c>
      <c r="AS28" s="95" t="str">
        <f>'Emission factors'!$F$413&amp;"/"&amp;F22</f>
        <v>kg/m3</v>
      </c>
    </row>
    <row r="29" spans="1:45" ht="15.75">
      <c r="A29" s="1"/>
      <c r="C29" s="463"/>
      <c r="D29" s="22"/>
      <c r="E29" s="23"/>
      <c r="F29" s="23"/>
      <c r="G29" s="23"/>
      <c r="H29" s="23"/>
      <c r="I29" s="23"/>
      <c r="J29" s="23"/>
      <c r="K29" s="23"/>
      <c r="L29" s="23"/>
      <c r="M29" s="23"/>
      <c r="N29" s="23"/>
      <c r="O29" s="24"/>
      <c r="P29" s="24"/>
      <c r="Q29" s="24"/>
      <c r="R29" s="24"/>
      <c r="S29" s="24"/>
      <c r="T29" s="456"/>
      <c r="U29" s="24"/>
      <c r="V29" s="24"/>
      <c r="W29" s="24"/>
      <c r="X29" s="24"/>
      <c r="Y29" s="24"/>
      <c r="Z29" s="24"/>
      <c r="AA29" s="24"/>
      <c r="AB29" s="24"/>
      <c r="AC29" s="24"/>
      <c r="AD29" s="24"/>
      <c r="AE29" s="33"/>
      <c r="AL29" s="49"/>
      <c r="AM29" s="708">
        <f t="shared" ca="1" si="10"/>
        <v>7</v>
      </c>
    </row>
    <row r="30" spans="1:45" ht="15.75">
      <c r="A30" s="1"/>
      <c r="C30" s="552" t="s">
        <v>316</v>
      </c>
      <c r="D30" s="468" t="str">
        <f>Translate!$A$177</f>
        <v>Aggregate</v>
      </c>
      <c r="E30" s="515">
        <f>IF(ISERROR(VLOOKUP($E$6,DefaultConcrete,HLOOKUP(D30,DefaultConcrete,2,0),0)),0,VLOOKUP($E$6,DefaultConcrete,HLOOKUP(D30,DefaultConcrete,2,0),0))</f>
        <v>900</v>
      </c>
      <c r="F30" s="220" t="str">
        <f ca="1">OFFSET(AS30,-AM30+6,0)</f>
        <v>kg/m3</v>
      </c>
      <c r="G30" s="23"/>
      <c r="H30" s="23"/>
      <c r="I30" s="25">
        <f ca="1">IF(F30=OFFSET(AS30,-AM30+6,0),E30*OFFSET(E30,-AM30,0)/IF(J30='Emission factors'!$E$411,1,1000),E30)</f>
        <v>0</v>
      </c>
      <c r="J30" s="21" t="str">
        <f>'Emission factors'!$F$411</f>
        <v>t</v>
      </c>
      <c r="K30" s="38">
        <f>IF(ISERROR(E31*1),VLOOKUP(D30,EFtable,3,0),VLOOKUP(D30,EFtable,3,0)*(1-E31)+VLOOKUP(D30&amp;Translate!$A$199,EFtable,3,0)*E31)</f>
        <v>4</v>
      </c>
      <c r="L30" s="25">
        <f ca="1">IF(F31=Translate!$A$111,0,I30*K30)</f>
        <v>0</v>
      </c>
      <c r="M30" s="21" t="str">
        <f>Translate!$A$102</f>
        <v>kgCO2e</v>
      </c>
      <c r="N30" s="23"/>
      <c r="O30" s="24"/>
      <c r="P30" s="19" t="str">
        <f>Translate!$A$112</f>
        <v>Distance</v>
      </c>
      <c r="Q30" s="470">
        <f>IF(ISERROR(VLOOKUP(D30,StandardFreight,3,0)),VLOOKUP(Translate!$A$118,StandardFreight,3,0),VLOOKUP(D30,StandardFreight,3,0))</f>
        <v>20</v>
      </c>
      <c r="R30" s="20" t="str">
        <f>'Emission factors'!$F$410</f>
        <v>km</v>
      </c>
      <c r="S30" s="19" t="str">
        <f>Translate!$A$120</f>
        <v>Type</v>
      </c>
      <c r="T30" s="473" t="str">
        <f>IF(ISERROR(VLOOKUP(D30,StandardFreight,2,0)),VLOOKUP("Other",StandardFreight,2,0),VLOOKUP(D30,StandardFreight,2,0))</f>
        <v>Road - Articulated &gt;33t</v>
      </c>
      <c r="U30" s="19" t="str">
        <f>Translate!$A$127</f>
        <v>Load</v>
      </c>
      <c r="V30" s="471">
        <f>VLOOKUP(T30,FreightLoadFactors,2,0)</f>
        <v>15</v>
      </c>
      <c r="W30" s="20" t="str">
        <f>J30</f>
        <v>t</v>
      </c>
      <c r="X30" s="471">
        <f ca="1">IF(V30=0,0,ROUNDUP(I30/V30,0))</f>
        <v>0</v>
      </c>
      <c r="Y30" s="20" t="str">
        <f>Translate!$A$130</f>
        <v>travels</v>
      </c>
      <c r="Z30" s="39" t="str">
        <f>Translate!$A$128</f>
        <v>empty-return rate</v>
      </c>
      <c r="AA30" s="472">
        <v>1</v>
      </c>
      <c r="AB30" s="474">
        <f>VLOOKUP(T30,EFtable,3,0)</f>
        <v>0.93694</v>
      </c>
      <c r="AC30" s="475">
        <f ca="1">Q30*X30*(1+AA30)*AB30</f>
        <v>0</v>
      </c>
      <c r="AD30" s="47" t="str">
        <f>Translate!$A$102</f>
        <v>kgCO2e</v>
      </c>
      <c r="AE30" s="33"/>
      <c r="AH30">
        <f>HLOOKUP(AI30,$AP$1:$AV$2,2,0)</f>
        <v>1</v>
      </c>
      <c r="AI30" t="str">
        <f>Translate!$A$104</f>
        <v>Materials</v>
      </c>
      <c r="AJ30" s="49">
        <f ca="1">L30</f>
        <v>0</v>
      </c>
      <c r="AK30" s="372" t="str">
        <f>VLOOKUP(D30,EFtable,7,0)</f>
        <v>Concrete / Slurry / Grout mix</v>
      </c>
      <c r="AL30" s="379">
        <f ca="1">VLOOKUP(D30,EFtable,8,0)*L30</f>
        <v>0</v>
      </c>
      <c r="AM30" s="708">
        <f t="shared" ca="1" si="10"/>
        <v>8</v>
      </c>
      <c r="AN30">
        <f>ROW(F31)-ROW(F30)</f>
        <v>1</v>
      </c>
      <c r="AO30" s="49">
        <f t="shared" ref="AO30:AO40" ca="1" si="11">AJ30</f>
        <v>0</v>
      </c>
    </row>
    <row r="31" spans="1:45">
      <c r="A31" s="1"/>
      <c r="C31" s="463"/>
      <c r="D31" s="336" t="str">
        <f>Translate!$A$79</f>
        <v>Recycled content</v>
      </c>
      <c r="E31" s="476" t="str">
        <f>IF(ISERROR(VLOOKUP(D30,RecycledContent,2,0)),Translate!$A$90,VLOOKUP(D30,RecycledContent,2,0))</f>
        <v>do not apply</v>
      </c>
      <c r="F31" s="469" t="str">
        <f>Translate!$A$478</f>
        <v>-new or recycled-</v>
      </c>
      <c r="G31" s="23"/>
      <c r="H31" s="23"/>
      <c r="I31" s="23"/>
      <c r="J31" s="23"/>
      <c r="K31" s="23"/>
      <c r="L31" s="23"/>
      <c r="M31" s="23"/>
      <c r="N31" s="23"/>
      <c r="O31" s="24"/>
      <c r="P31" s="24"/>
      <c r="Q31" s="24"/>
      <c r="R31" s="24"/>
      <c r="S31" s="24"/>
      <c r="T31" s="456"/>
      <c r="U31" s="24"/>
      <c r="V31" s="24"/>
      <c r="W31" s="24"/>
      <c r="X31" s="24"/>
      <c r="Y31" s="24"/>
      <c r="Z31" s="24"/>
      <c r="AA31" s="24"/>
      <c r="AB31" s="24"/>
      <c r="AC31" s="24"/>
      <c r="AD31" s="24"/>
      <c r="AE31" s="33"/>
      <c r="AH31">
        <f>HLOOKUP(AI31,$AP$1:$AV$2,2,0)</f>
        <v>2</v>
      </c>
      <c r="AI31" t="str">
        <f>Translate!$A$106</f>
        <v>Freight</v>
      </c>
      <c r="AJ31" s="49">
        <f ca="1">AC30</f>
        <v>0</v>
      </c>
      <c r="AL31" s="379">
        <f ca="1">VLOOKUP(T30,EFtable,8,0)*AC30</f>
        <v>0</v>
      </c>
      <c r="AM31" s="708">
        <f t="shared" ca="1" si="10"/>
        <v>9</v>
      </c>
      <c r="AO31" s="49">
        <f t="shared" ca="1" si="11"/>
        <v>0</v>
      </c>
    </row>
    <row r="32" spans="1:45" ht="9.75" customHeight="1">
      <c r="A32" s="1"/>
      <c r="C32" s="463"/>
      <c r="D32" s="22"/>
      <c r="E32" s="23"/>
      <c r="F32" s="23"/>
      <c r="G32" s="23"/>
      <c r="H32" s="23"/>
      <c r="I32" s="23"/>
      <c r="J32" s="23"/>
      <c r="K32" s="23"/>
      <c r="L32" s="23"/>
      <c r="M32" s="23"/>
      <c r="N32" s="23"/>
      <c r="O32" s="24"/>
      <c r="P32" s="24"/>
      <c r="Q32" s="24"/>
      <c r="R32" s="24"/>
      <c r="S32" s="24"/>
      <c r="T32" s="456"/>
      <c r="U32" s="24"/>
      <c r="V32" s="24"/>
      <c r="W32" s="24"/>
      <c r="X32" s="24"/>
      <c r="Y32" s="24"/>
      <c r="Z32" s="24"/>
      <c r="AA32" s="24"/>
      <c r="AB32" s="24"/>
      <c r="AC32" s="24"/>
      <c r="AD32" s="24"/>
      <c r="AE32" s="33"/>
      <c r="AL32" s="49"/>
      <c r="AM32" s="708">
        <f t="shared" ca="1" si="10"/>
        <v>10</v>
      </c>
    </row>
    <row r="33" spans="1:41" ht="15.75">
      <c r="A33" s="1"/>
      <c r="C33" s="552" t="s">
        <v>316</v>
      </c>
      <c r="D33" s="468" t="str">
        <f>Translate!$A$190</f>
        <v>Sand</v>
      </c>
      <c r="E33" s="515">
        <f>IF(ISERROR(VLOOKUP($E$6,DefaultConcrete,HLOOKUP(D33,DefaultConcrete,2,0),0)),0,VLOOKUP($E$6,DefaultConcrete,HLOOKUP(D33,DefaultConcrete,2,0),0))</f>
        <v>800</v>
      </c>
      <c r="F33" s="220" t="str">
        <f ca="1">OFFSET(AS33,-AM33+6,0)</f>
        <v>kg/m3</v>
      </c>
      <c r="G33" s="23"/>
      <c r="H33" s="23"/>
      <c r="I33" s="25">
        <f ca="1">IF(F33=OFFSET(AS33,-AM33+6,0),E33*OFFSET(E33,-AM33,0)/IF(J33='Emission factors'!$E$411,1,1000),E33)</f>
        <v>0</v>
      </c>
      <c r="J33" s="21" t="str">
        <f>'Emission factors'!$F$411</f>
        <v>t</v>
      </c>
      <c r="K33" s="38">
        <f>IF(ISERROR(E34*1),VLOOKUP(D33,EFtable,3,0),VLOOKUP(D33,EFtable,3,0)*(1-E34)+VLOOKUP(D33&amp;Translate!$A$199,EFtable,3,0)*E34)</f>
        <v>6</v>
      </c>
      <c r="L33" s="25">
        <f ca="1">IF(F34=Translate!$A$111,0,I33*K33)</f>
        <v>0</v>
      </c>
      <c r="M33" s="21" t="str">
        <f>Translate!$A$102</f>
        <v>kgCO2e</v>
      </c>
      <c r="N33" s="23"/>
      <c r="O33" s="24"/>
      <c r="P33" s="19" t="str">
        <f>Translate!$A$112</f>
        <v>Distance</v>
      </c>
      <c r="Q33" s="470">
        <f>IF(ISERROR(VLOOKUP(D33,StandardFreight,3,0)),VLOOKUP(Translate!$A$118,StandardFreight,3,0),VLOOKUP(D33,StandardFreight,3,0))</f>
        <v>20</v>
      </c>
      <c r="R33" s="20" t="str">
        <f>'Emission factors'!$F$410</f>
        <v>km</v>
      </c>
      <c r="S33" s="19" t="str">
        <f>Translate!$A$120</f>
        <v>Type</v>
      </c>
      <c r="T33" s="473" t="str">
        <f>IF(ISERROR(VLOOKUP(D33,StandardFreight,2,0)),VLOOKUP("Other",StandardFreight,2,0),VLOOKUP(D33,StandardFreight,2,0))</f>
        <v>Road - Articulated &gt;33t</v>
      </c>
      <c r="U33" s="19" t="str">
        <f>Translate!$A$127</f>
        <v>Load</v>
      </c>
      <c r="V33" s="471">
        <f>VLOOKUP(T33,FreightLoadFactors,2,0)</f>
        <v>15</v>
      </c>
      <c r="W33" s="20" t="str">
        <f>J33</f>
        <v>t</v>
      </c>
      <c r="X33" s="471">
        <f ca="1">IF(V33=0,0,ROUNDUP(I33/V33,0))</f>
        <v>0</v>
      </c>
      <c r="Y33" s="20" t="str">
        <f>Translate!$A$130</f>
        <v>travels</v>
      </c>
      <c r="Z33" s="39" t="str">
        <f>Translate!$A$128</f>
        <v>empty-return rate</v>
      </c>
      <c r="AA33" s="472">
        <v>1</v>
      </c>
      <c r="AB33" s="474">
        <f>VLOOKUP(T33,EFtable,3,0)</f>
        <v>0.93694</v>
      </c>
      <c r="AC33" s="475">
        <f ca="1">Q33*X33*(1+AA33)*AB33</f>
        <v>0</v>
      </c>
      <c r="AD33" s="47" t="str">
        <f>Translate!$A$102</f>
        <v>kgCO2e</v>
      </c>
      <c r="AE33" s="33"/>
      <c r="AH33">
        <f>HLOOKUP(AI33,$AP$1:$AV$2,2,0)</f>
        <v>1</v>
      </c>
      <c r="AI33" t="str">
        <f>Translate!$A$104</f>
        <v>Materials</v>
      </c>
      <c r="AJ33" s="49">
        <f ca="1">L33</f>
        <v>0</v>
      </c>
      <c r="AK33" s="372" t="str">
        <f>VLOOKUP(D33,EFtable,7,0)</f>
        <v>Concrete / Slurry / Grout mix</v>
      </c>
      <c r="AL33" s="379">
        <f ca="1">VLOOKUP(D33,EFtable,8,0)*L33</f>
        <v>0</v>
      </c>
      <c r="AM33" s="708">
        <f t="shared" ca="1" si="10"/>
        <v>11</v>
      </c>
      <c r="AN33">
        <f>ROW(F34)-ROW(F33)</f>
        <v>1</v>
      </c>
      <c r="AO33" s="49">
        <f t="shared" ca="1" si="11"/>
        <v>0</v>
      </c>
    </row>
    <row r="34" spans="1:41">
      <c r="A34" s="1"/>
      <c r="C34" s="463"/>
      <c r="D34" s="336" t="str">
        <f>Translate!$A$79</f>
        <v>Recycled content</v>
      </c>
      <c r="E34" s="476" t="str">
        <f>IF(ISERROR(VLOOKUP(D33,RecycledContent,2,0)),Translate!$A$90,VLOOKUP(D33,RecycledContent,2,0))</f>
        <v>do not apply</v>
      </c>
      <c r="F34" s="469" t="str">
        <f>Translate!$A$478</f>
        <v>-new or recycled-</v>
      </c>
      <c r="G34" s="23"/>
      <c r="H34" s="23"/>
      <c r="I34" s="23"/>
      <c r="J34" s="23"/>
      <c r="K34" s="23"/>
      <c r="L34" s="23"/>
      <c r="M34" s="23"/>
      <c r="N34" s="23"/>
      <c r="O34" s="24"/>
      <c r="P34" s="24"/>
      <c r="Q34" s="24"/>
      <c r="R34" s="24"/>
      <c r="S34" s="24"/>
      <c r="T34" s="456"/>
      <c r="U34" s="24"/>
      <c r="V34" s="24"/>
      <c r="W34" s="24"/>
      <c r="X34" s="24"/>
      <c r="Y34" s="24"/>
      <c r="Z34" s="24"/>
      <c r="AA34" s="24"/>
      <c r="AB34" s="24"/>
      <c r="AC34" s="24"/>
      <c r="AD34" s="24"/>
      <c r="AE34" s="33"/>
      <c r="AH34">
        <f>HLOOKUP(AI34,$AP$1:$AV$2,2,0)</f>
        <v>2</v>
      </c>
      <c r="AI34" t="str">
        <f>Translate!$A$106</f>
        <v>Freight</v>
      </c>
      <c r="AJ34" s="49">
        <f ca="1">AC33</f>
        <v>0</v>
      </c>
      <c r="AL34" s="379">
        <f ca="1">VLOOKUP(T33,EFtable,8,0)*AC33</f>
        <v>0</v>
      </c>
      <c r="AM34" s="708">
        <f t="shared" ca="1" si="10"/>
        <v>12</v>
      </c>
      <c r="AO34" s="49">
        <f t="shared" ca="1" si="11"/>
        <v>0</v>
      </c>
    </row>
    <row r="35" spans="1:41" ht="9.75" customHeight="1">
      <c r="A35" s="1"/>
      <c r="C35" s="463"/>
      <c r="D35" s="22"/>
      <c r="E35" s="23"/>
      <c r="F35" s="23"/>
      <c r="G35" s="23"/>
      <c r="H35" s="23"/>
      <c r="I35" s="23"/>
      <c r="J35" s="23"/>
      <c r="K35" s="23"/>
      <c r="L35" s="23"/>
      <c r="M35" s="23"/>
      <c r="N35" s="23"/>
      <c r="O35" s="24"/>
      <c r="P35" s="24"/>
      <c r="Q35" s="24"/>
      <c r="R35" s="24"/>
      <c r="S35" s="24"/>
      <c r="T35" s="456"/>
      <c r="U35" s="24"/>
      <c r="V35" s="24"/>
      <c r="W35" s="24"/>
      <c r="X35" s="24"/>
      <c r="Y35" s="24"/>
      <c r="Z35" s="24"/>
      <c r="AA35" s="24"/>
      <c r="AB35" s="24"/>
      <c r="AC35" s="24"/>
      <c r="AD35" s="24"/>
      <c r="AE35" s="33"/>
      <c r="AL35" s="49"/>
      <c r="AM35" s="708">
        <f t="shared" ca="1" si="10"/>
        <v>13</v>
      </c>
    </row>
    <row r="36" spans="1:41" ht="15.75">
      <c r="A36" s="1"/>
      <c r="C36" s="552" t="s">
        <v>316</v>
      </c>
      <c r="D36" s="468" t="str">
        <f>Translate!$A$198</f>
        <v>Water</v>
      </c>
      <c r="E36" s="515">
        <f>IF(ISERROR(VLOOKUP($E$6,DefaultConcrete,HLOOKUP(D36,DefaultConcrete,2,0),0)),0,VLOOKUP($E$6,DefaultConcrete,HLOOKUP(D36,DefaultConcrete,2,0),0))</f>
        <v>200</v>
      </c>
      <c r="F36" s="220" t="str">
        <f ca="1">OFFSET(AS36,-AM36+6,0)</f>
        <v>kg/m3</v>
      </c>
      <c r="G36" s="23"/>
      <c r="H36" s="23"/>
      <c r="I36" s="25">
        <f ca="1">IF(F36=OFFSET(AS36,-AM36+6,0),E36*OFFSET(E36,-AM36,0)/IF(J36='Emission factors'!$E$411,1,1000),E36)</f>
        <v>0</v>
      </c>
      <c r="J36" s="21" t="str">
        <f>'Emission factors'!$F$411</f>
        <v>t</v>
      </c>
      <c r="K36" s="38">
        <f>IF(ISERROR(E37*1),VLOOKUP(D36,EFtable,3,0),VLOOKUP(D36,EFtable,3,0)*(1-E37)+VLOOKUP(D36&amp;Translate!$A$199,EFtable,3,0)*E37)</f>
        <v>0.34399999999999997</v>
      </c>
      <c r="L36" s="25">
        <f ca="1">IF(F37=Translate!$A$111,0,I36*K36)</f>
        <v>0</v>
      </c>
      <c r="M36" s="21" t="str">
        <f>Translate!$A$102</f>
        <v>kgCO2e</v>
      </c>
      <c r="N36" s="23"/>
      <c r="O36" s="24"/>
      <c r="P36" s="19" t="str">
        <f>Translate!$A$112</f>
        <v>Distance</v>
      </c>
      <c r="Q36" s="470">
        <f>IF(ISERROR(VLOOKUP(D36,StandardFreight,3,0)),VLOOKUP(Translate!$A$118,StandardFreight,3,0),VLOOKUP(D36,StandardFreight,3,0))</f>
        <v>0</v>
      </c>
      <c r="R36" s="20" t="str">
        <f>'Emission factors'!$F$410</f>
        <v>km</v>
      </c>
      <c r="S36" s="19" t="str">
        <f>Translate!$A$120</f>
        <v>Type</v>
      </c>
      <c r="T36" s="473" t="str">
        <f>IF(ISERROR(VLOOKUP(D36,StandardFreight,2,0)),VLOOKUP("Other",StandardFreight,2,0),VLOOKUP(D36,StandardFreight,2,0))</f>
        <v>Road - Rigid &gt;3.5-7.5t</v>
      </c>
      <c r="U36" s="19" t="str">
        <f>Translate!$A$127</f>
        <v>Load</v>
      </c>
      <c r="V36" s="710">
        <f>VLOOKUP(T36,FreightLoadFactors,2,0)</f>
        <v>1.0123216601815823</v>
      </c>
      <c r="W36" s="20" t="str">
        <f>J36</f>
        <v>t</v>
      </c>
      <c r="X36" s="471">
        <f ca="1">IF(V36=0,0,ROUNDUP(I36/V36,0))</f>
        <v>0</v>
      </c>
      <c r="Y36" s="20" t="str">
        <f>Translate!$A$130</f>
        <v>travels</v>
      </c>
      <c r="Z36" s="39" t="str">
        <f>Translate!$A$128</f>
        <v>empty-return rate</v>
      </c>
      <c r="AA36" s="472">
        <v>1</v>
      </c>
      <c r="AB36" s="474">
        <f>VLOOKUP(T36,EFtable,3,0)</f>
        <v>0.49041000000000001</v>
      </c>
      <c r="AC36" s="475">
        <f ca="1">Q36*X36*(1+AA36)*AB36</f>
        <v>0</v>
      </c>
      <c r="AD36" s="47" t="str">
        <f>Translate!$A$102</f>
        <v>kgCO2e</v>
      </c>
      <c r="AE36" s="33"/>
      <c r="AH36">
        <f>HLOOKUP(AI36,$AP$1:$AV$2,2,0)</f>
        <v>1</v>
      </c>
      <c r="AI36" t="str">
        <f>Translate!$A$104</f>
        <v>Materials</v>
      </c>
      <c r="AJ36" s="49">
        <f ca="1">L36</f>
        <v>0</v>
      </c>
      <c r="AK36" s="372" t="str">
        <f>VLOOKUP(D36,EFtable,7,0)</f>
        <v>Concrete / Slurry / Grout mix</v>
      </c>
      <c r="AL36" s="379">
        <f ca="1">VLOOKUP(D36,EFtable,8,0)*L36</f>
        <v>0</v>
      </c>
      <c r="AM36" s="708">
        <f t="shared" ca="1" si="10"/>
        <v>14</v>
      </c>
      <c r="AN36">
        <f>ROW(F37)-ROW(F36)</f>
        <v>1</v>
      </c>
      <c r="AO36" s="49">
        <f t="shared" ca="1" si="11"/>
        <v>0</v>
      </c>
    </row>
    <row r="37" spans="1:41">
      <c r="A37" s="1"/>
      <c r="C37" s="463"/>
      <c r="D37" s="336" t="str">
        <f>Translate!$A$79</f>
        <v>Recycled content</v>
      </c>
      <c r="E37" s="476" t="str">
        <f>IF(ISERROR(VLOOKUP(D36,RecycledContent,2,0)),Translate!$A$90,VLOOKUP(D36,RecycledContent,2,0))</f>
        <v>do not apply</v>
      </c>
      <c r="F37" s="469" t="str">
        <f>Translate!$A$478</f>
        <v>-new or recycled-</v>
      </c>
      <c r="G37" s="23"/>
      <c r="H37" s="23"/>
      <c r="I37" s="23"/>
      <c r="J37" s="23"/>
      <c r="K37" s="23"/>
      <c r="L37" s="23"/>
      <c r="M37" s="23"/>
      <c r="N37" s="23"/>
      <c r="O37" s="24"/>
      <c r="P37" s="24"/>
      <c r="Q37" s="24"/>
      <c r="R37" s="24"/>
      <c r="S37" s="24"/>
      <c r="T37" s="24"/>
      <c r="U37" s="24"/>
      <c r="V37" s="24"/>
      <c r="W37" s="24"/>
      <c r="X37" s="24"/>
      <c r="Y37" s="24"/>
      <c r="Z37" s="24"/>
      <c r="AA37" s="24"/>
      <c r="AB37" s="24"/>
      <c r="AC37" s="24"/>
      <c r="AD37" s="24"/>
      <c r="AE37" s="33"/>
      <c r="AH37">
        <f>HLOOKUP(AI37,$AP$1:$AV$2,2,0)</f>
        <v>2</v>
      </c>
      <c r="AI37" t="str">
        <f>Translate!$A$106</f>
        <v>Freight</v>
      </c>
      <c r="AJ37" s="49">
        <f ca="1">AC36</f>
        <v>0</v>
      </c>
      <c r="AL37" s="379">
        <f ca="1">VLOOKUP(T36,EFtable,8,0)*AC36</f>
        <v>0</v>
      </c>
      <c r="AM37" s="708">
        <f t="shared" ca="1" si="10"/>
        <v>15</v>
      </c>
      <c r="AO37" s="49">
        <f t="shared" ca="1" si="11"/>
        <v>0</v>
      </c>
    </row>
    <row r="38" spans="1:41" ht="9.75" customHeight="1">
      <c r="A38" s="1"/>
      <c r="C38" s="463"/>
      <c r="D38" s="22"/>
      <c r="E38" s="23"/>
      <c r="F38" s="23"/>
      <c r="G38" s="23"/>
      <c r="H38" s="23"/>
      <c r="I38" s="23"/>
      <c r="J38" s="23"/>
      <c r="K38" s="23"/>
      <c r="L38" s="23"/>
      <c r="M38" s="23"/>
      <c r="N38" s="23"/>
      <c r="O38" s="24"/>
      <c r="P38" s="24"/>
      <c r="Q38" s="24"/>
      <c r="R38" s="24"/>
      <c r="S38" s="24"/>
      <c r="T38" s="24"/>
      <c r="U38" s="24"/>
      <c r="V38" s="24"/>
      <c r="W38" s="24"/>
      <c r="X38" s="24"/>
      <c r="Y38" s="24"/>
      <c r="Z38" s="24"/>
      <c r="AA38" s="24"/>
      <c r="AB38" s="24"/>
      <c r="AC38" s="24"/>
      <c r="AD38" s="24"/>
      <c r="AE38" s="33"/>
      <c r="AL38" s="49"/>
      <c r="AM38" s="708">
        <f t="shared" ca="1" si="10"/>
        <v>16</v>
      </c>
    </row>
    <row r="39" spans="1:41" ht="15.75">
      <c r="A39" s="1"/>
      <c r="C39" s="552" t="s">
        <v>316</v>
      </c>
      <c r="D39" s="468" t="str">
        <f>Translate!$A$178</f>
        <v>Bentonite</v>
      </c>
      <c r="E39" s="466">
        <f>IF(ISERROR(VLOOKUP($E$6,DefaultConcrete,HLOOKUP(D39,DefaultConcrete,2,0),0)),0,VLOOKUP($E$6,DefaultConcrete,HLOOKUP(D39,DefaultConcrete,2,0),0))</f>
        <v>0</v>
      </c>
      <c r="F39" s="220" t="str">
        <f ca="1">OFFSET(AS39,-AM39+6,0)</f>
        <v>kg/m3</v>
      </c>
      <c r="G39" s="23"/>
      <c r="H39" s="23"/>
      <c r="I39" s="25">
        <f ca="1">IF(F39=OFFSET(AS39,-AM39+6,0),E39*OFFSET(E39,-AM39,0)/IF(J39='Emission factors'!$E$411,1,1000),E39)</f>
        <v>0</v>
      </c>
      <c r="J39" s="21" t="str">
        <f>'Emission factors'!$F$411</f>
        <v>t</v>
      </c>
      <c r="K39" s="38">
        <f>IF(ISERROR(E40*1),VLOOKUP(D39,EFtable,3,0),VLOOKUP(D39,EFtable,3,0)*(1-E40)+VLOOKUP(D39&amp;Translate!$A$199,EFtable,3,0)*E40)</f>
        <v>474.97791999999998</v>
      </c>
      <c r="L39" s="25">
        <f ca="1">IF(F40=Translate!$A$111,0,I39*K39)</f>
        <v>0</v>
      </c>
      <c r="M39" s="21" t="str">
        <f>Translate!$A$102</f>
        <v>kgCO2e</v>
      </c>
      <c r="N39" s="23"/>
      <c r="O39" s="24"/>
      <c r="P39" s="19" t="str">
        <f>Translate!$A$112</f>
        <v>Distance</v>
      </c>
      <c r="Q39" s="470">
        <f>IF(ISERROR(VLOOKUP(D39,StandardFreight,3,0)),VLOOKUP(Translate!$A$118,StandardFreight,3,0),VLOOKUP(D39,StandardFreight,3,0))</f>
        <v>300</v>
      </c>
      <c r="R39" s="20" t="str">
        <f>'Emission factors'!$F$410</f>
        <v>km</v>
      </c>
      <c r="S39" s="19" t="str">
        <f>Translate!$A$120</f>
        <v>Type</v>
      </c>
      <c r="T39" s="473" t="str">
        <f>IF(ISERROR(VLOOKUP(D39,StandardFreight,2,0)),VLOOKUP(Translate!$A$118,StandardFreight,2,0),VLOOKUP(D39,StandardFreight,2,0))</f>
        <v>Road - Articulated &gt;33t</v>
      </c>
      <c r="U39" s="19" t="str">
        <f>Translate!$A$127</f>
        <v>Load</v>
      </c>
      <c r="V39" s="471">
        <f>VLOOKUP(T39,FreightLoadFactors,2,0)</f>
        <v>15</v>
      </c>
      <c r="W39" s="20" t="str">
        <f>J39</f>
        <v>t</v>
      </c>
      <c r="X39" s="471">
        <f ca="1">IF(V39=0,0,ROUNDUP(I39/V39,0))</f>
        <v>0</v>
      </c>
      <c r="Y39" s="20" t="str">
        <f>Translate!$A$130</f>
        <v>travels</v>
      </c>
      <c r="Z39" s="39" t="str">
        <f>Translate!$A$128</f>
        <v>empty-return rate</v>
      </c>
      <c r="AA39" s="472">
        <v>1</v>
      </c>
      <c r="AB39" s="474">
        <f>VLOOKUP(T39,EFtable,3,0)</f>
        <v>0.93694</v>
      </c>
      <c r="AC39" s="475">
        <f ca="1">Q39*X39*(1+AA39)*AB39</f>
        <v>0</v>
      </c>
      <c r="AD39" s="47" t="str">
        <f>Translate!$A$102</f>
        <v>kgCO2e</v>
      </c>
      <c r="AE39" s="33"/>
      <c r="AH39">
        <f>HLOOKUP(AI39,$AP$1:$AV$2,2,0)</f>
        <v>1</v>
      </c>
      <c r="AI39" t="str">
        <f>Translate!$A$104</f>
        <v>Materials</v>
      </c>
      <c r="AJ39" s="49">
        <f ca="1">L39</f>
        <v>0</v>
      </c>
      <c r="AK39" s="372" t="str">
        <f>VLOOKUP(D39,EFtable,7,0)</f>
        <v>Concrete / Slurry / Grout mix</v>
      </c>
      <c r="AL39" s="379">
        <f ca="1">VLOOKUP(D39,EFtable,8,0)*L39</f>
        <v>0</v>
      </c>
      <c r="AM39" s="708">
        <f t="shared" ca="1" si="10"/>
        <v>17</v>
      </c>
      <c r="AN39">
        <f>ROW(F40)-ROW(F39)</f>
        <v>1</v>
      </c>
      <c r="AO39" s="49">
        <f t="shared" ca="1" si="11"/>
        <v>0</v>
      </c>
    </row>
    <row r="40" spans="1:41">
      <c r="A40" s="1"/>
      <c r="C40" s="463"/>
      <c r="D40" s="336" t="str">
        <f>Translate!$A$79</f>
        <v>Recycled content</v>
      </c>
      <c r="E40" s="476" t="str">
        <f>IF(ISERROR(VLOOKUP(D39,RecycledContent,2,0)),Translate!$A$90,VLOOKUP(D39,RecycledContent,2,0))</f>
        <v>do not apply</v>
      </c>
      <c r="F40" s="469" t="str">
        <f>Translate!$A$478</f>
        <v>-new or recycled-</v>
      </c>
      <c r="G40" s="23"/>
      <c r="H40" s="23"/>
      <c r="I40" s="23"/>
      <c r="J40" s="23"/>
      <c r="K40" s="23"/>
      <c r="L40" s="23"/>
      <c r="M40" s="23"/>
      <c r="N40" s="23"/>
      <c r="O40" s="24"/>
      <c r="P40" s="24"/>
      <c r="Q40" s="24"/>
      <c r="R40" s="24"/>
      <c r="S40" s="24"/>
      <c r="T40" s="24"/>
      <c r="U40" s="24"/>
      <c r="V40" s="24"/>
      <c r="W40" s="24"/>
      <c r="X40" s="24"/>
      <c r="Y40" s="24"/>
      <c r="Z40" s="24"/>
      <c r="AA40" s="24"/>
      <c r="AB40" s="24"/>
      <c r="AC40" s="24"/>
      <c r="AD40" s="24"/>
      <c r="AE40" s="33"/>
      <c r="AH40">
        <f>HLOOKUP(AI40,$AP$1:$AV$2,2,0)</f>
        <v>2</v>
      </c>
      <c r="AI40" t="str">
        <f>Translate!$A$106</f>
        <v>Freight</v>
      </c>
      <c r="AJ40" s="49">
        <f ca="1">AC39</f>
        <v>0</v>
      </c>
      <c r="AL40" s="379">
        <f ca="1">VLOOKUP(T39,EFtable,8,0)*AC39</f>
        <v>0</v>
      </c>
      <c r="AM40" s="708">
        <f t="shared" ca="1" si="10"/>
        <v>18</v>
      </c>
      <c r="AO40" s="49">
        <f t="shared" ca="1" si="11"/>
        <v>0</v>
      </c>
    </row>
    <row r="41" spans="1:41" ht="15.75">
      <c r="A41" s="1"/>
      <c r="C41" s="463"/>
      <c r="D41" s="22"/>
      <c r="E41" s="23"/>
      <c r="F41" s="23"/>
      <c r="G41" s="23"/>
      <c r="H41" s="23"/>
      <c r="I41" s="23"/>
      <c r="J41" s="23"/>
      <c r="K41" s="23"/>
      <c r="L41" s="23"/>
      <c r="M41" s="23"/>
      <c r="N41" s="23"/>
      <c r="O41" s="24"/>
      <c r="P41" s="24"/>
      <c r="Q41" s="24"/>
      <c r="R41" s="24"/>
      <c r="S41" s="24"/>
      <c r="T41" s="24"/>
      <c r="U41" s="24"/>
      <c r="V41" s="24"/>
      <c r="W41" s="24"/>
      <c r="X41" s="24"/>
      <c r="Y41" s="24"/>
      <c r="Z41" s="24"/>
      <c r="AA41" s="24"/>
      <c r="AB41" s="24"/>
      <c r="AC41" s="24"/>
      <c r="AD41" s="24"/>
      <c r="AE41" s="33"/>
      <c r="AJ41" s="49"/>
      <c r="AL41" s="379"/>
      <c r="AM41" s="708">
        <f ca="1">1+OFFSET(AM41,-1,0)</f>
        <v>19</v>
      </c>
      <c r="AO41" s="49">
        <f>AJ41</f>
        <v>0</v>
      </c>
    </row>
    <row r="42" spans="1:41" ht="15.75">
      <c r="A42" s="1"/>
      <c r="C42" s="463"/>
      <c r="D42" s="22"/>
      <c r="E42" s="684">
        <f>IF(E22=0,0,SUM(I27:I41)/E22)</f>
        <v>0</v>
      </c>
      <c r="F42" s="650" t="str">
        <f>'Emission factors'!$F$411&amp;"/"&amp;F22</f>
        <v>t/m3</v>
      </c>
      <c r="G42" s="23"/>
      <c r="H42" s="23"/>
      <c r="I42" s="23"/>
      <c r="J42" s="23"/>
      <c r="K42" s="23"/>
      <c r="L42" s="23"/>
      <c r="M42" s="23"/>
      <c r="N42" s="23"/>
      <c r="O42" s="24"/>
      <c r="P42" s="24"/>
      <c r="Q42" s="24"/>
      <c r="R42" s="24"/>
      <c r="S42" s="24"/>
      <c r="T42" s="24"/>
      <c r="U42" s="24"/>
      <c r="V42" s="24"/>
      <c r="W42" s="24"/>
      <c r="X42" s="24"/>
      <c r="Y42" s="24"/>
      <c r="Z42" s="24"/>
      <c r="AA42" s="24"/>
      <c r="AB42" s="24"/>
      <c r="AC42" s="24"/>
      <c r="AD42" s="24"/>
      <c r="AE42" s="33"/>
      <c r="AJ42" s="49"/>
      <c r="AL42" s="379"/>
      <c r="AM42" s="708">
        <f ca="1">1+OFFSET(AM42,-1,0)</f>
        <v>20</v>
      </c>
      <c r="AO42" s="49">
        <f>AJ42</f>
        <v>0</v>
      </c>
    </row>
    <row r="43" spans="1:41">
      <c r="A43" s="1"/>
      <c r="C43" s="464"/>
      <c r="D43" s="35"/>
      <c r="E43" s="35"/>
      <c r="F43" s="35"/>
      <c r="G43" s="35"/>
      <c r="H43" s="35"/>
      <c r="I43" s="35"/>
      <c r="J43" s="35"/>
      <c r="K43" s="35"/>
      <c r="L43" s="35"/>
      <c r="M43" s="35"/>
      <c r="N43" s="35"/>
      <c r="O43" s="36"/>
      <c r="P43" s="36"/>
      <c r="Q43" s="36"/>
      <c r="R43" s="36"/>
      <c r="S43" s="36"/>
      <c r="T43" s="36"/>
      <c r="U43" s="36"/>
      <c r="V43" s="36"/>
      <c r="W43" s="36"/>
      <c r="X43" s="36"/>
      <c r="Y43" s="36"/>
      <c r="Z43" s="36"/>
      <c r="AA43" s="36"/>
      <c r="AB43" s="36"/>
      <c r="AC43" s="36"/>
      <c r="AD43" s="36"/>
      <c r="AE43" s="37"/>
      <c r="AL43" s="49"/>
      <c r="AM43" s="709">
        <f t="shared" ca="1" si="10"/>
        <v>21</v>
      </c>
    </row>
    <row r="44" spans="1:41">
      <c r="A44" s="1"/>
      <c r="AL44" s="49"/>
      <c r="AM44" s="707"/>
    </row>
    <row r="45" spans="1:41" ht="8.1" customHeight="1">
      <c r="A45" s="1"/>
      <c r="C45" s="27"/>
      <c r="D45" s="28"/>
      <c r="E45" s="29"/>
      <c r="F45" s="29"/>
      <c r="G45" s="29"/>
      <c r="H45" s="29"/>
      <c r="I45" s="29"/>
      <c r="J45" s="29"/>
      <c r="K45" s="29"/>
      <c r="L45" s="29"/>
      <c r="M45" s="29"/>
      <c r="N45" s="29"/>
      <c r="O45" s="30"/>
      <c r="P45" s="30"/>
      <c r="Q45" s="30"/>
      <c r="R45" s="30"/>
      <c r="S45" s="30"/>
      <c r="T45" s="30"/>
      <c r="U45" s="30"/>
      <c r="V45" s="30"/>
      <c r="W45" s="30"/>
      <c r="X45" s="30"/>
      <c r="Y45" s="30"/>
      <c r="Z45" s="30"/>
      <c r="AA45" s="30"/>
      <c r="AB45" s="30"/>
      <c r="AC45" s="30"/>
      <c r="AD45" s="30"/>
      <c r="AE45" s="31"/>
      <c r="AL45" s="49"/>
    </row>
    <row r="46" spans="1:41" ht="15.75">
      <c r="A46" s="1"/>
      <c r="B46" s="551" t="s">
        <v>316</v>
      </c>
      <c r="C46" s="32"/>
      <c r="D46" s="468" t="str">
        <f>Translate!$A$193</f>
        <v>Steel rebars</v>
      </c>
      <c r="E46" s="477"/>
      <c r="F46" s="7" t="str">
        <f>VLOOKUP(D46,EFtable,2,0)</f>
        <v>t</v>
      </c>
      <c r="G46" s="23"/>
      <c r="H46" s="23"/>
      <c r="I46" s="25">
        <f>E46</f>
        <v>0</v>
      </c>
      <c r="J46" s="21" t="str">
        <f>F46</f>
        <v>t</v>
      </c>
      <c r="K46" s="38">
        <f>IF(ISERROR(E47*1),VLOOKUP(D46,EFtable,3,0),VLOOKUP(D46,EFtable,3,0)*(1-E47)+VLOOKUP(D46&amp;Translate!$A$199,EFtable,3,0)*E47)</f>
        <v>1444.1000000000004</v>
      </c>
      <c r="L46" s="25">
        <f>IF(F47=Translate!$A$111,0,I46*K46)</f>
        <v>0</v>
      </c>
      <c r="M46" s="21" t="str">
        <f>Translate!$A$102</f>
        <v>kgCO2e</v>
      </c>
      <c r="N46" s="23"/>
      <c r="O46" s="24"/>
      <c r="P46" s="19" t="str">
        <f>Translate!$A$112</f>
        <v>Distance</v>
      </c>
      <c r="Q46" s="470">
        <f>IF(ISERROR(VLOOKUP(D46,StandardFreight,3,0)),VLOOKUP(Translate!$A$118,StandardFreight,3,0),VLOOKUP(D46,StandardFreight,3,0))</f>
        <v>300</v>
      </c>
      <c r="R46" s="20" t="str">
        <f>'Emission factors'!$F$410</f>
        <v>km</v>
      </c>
      <c r="S46" s="19" t="str">
        <f>Translate!$A$120</f>
        <v>Type</v>
      </c>
      <c r="T46" s="473" t="str">
        <f>IF(ISERROR(VLOOKUP(D45,StandardFreight,2,0)),VLOOKUP(Translate!$A$118,StandardFreight,2,0),VLOOKUP(D45,StandardFreight,2,0))</f>
        <v>Road - Articulated &gt;33t</v>
      </c>
      <c r="U46" s="19" t="str">
        <f>Translate!$A$127</f>
        <v>Load</v>
      </c>
      <c r="V46" s="478">
        <f>VLOOKUP(T46,FreightLoadFactors,2,0)</f>
        <v>15</v>
      </c>
      <c r="W46" s="20" t="str">
        <f>J46</f>
        <v>t</v>
      </c>
      <c r="X46" s="471">
        <f>IF(V46=0,0,ROUNDUP(I46/V46,0))</f>
        <v>0</v>
      </c>
      <c r="Y46" s="20" t="str">
        <f>Translate!$A$130</f>
        <v>travels</v>
      </c>
      <c r="Z46" s="39" t="str">
        <f>Translate!$A$128</f>
        <v>empty-return rate</v>
      </c>
      <c r="AA46" s="472">
        <v>0.5</v>
      </c>
      <c r="AB46" s="48">
        <f>VLOOKUP(T46,EFtable,3,0)</f>
        <v>0.93694</v>
      </c>
      <c r="AC46" s="46">
        <f>Q46*X46*(1+AA46)*AB46</f>
        <v>0</v>
      </c>
      <c r="AD46" s="47" t="str">
        <f>Translate!$A$102</f>
        <v>kgCO2e</v>
      </c>
      <c r="AE46" s="33"/>
      <c r="AH46">
        <f>HLOOKUP(AI46,$AP$1:$AV$2,2,0)</f>
        <v>1</v>
      </c>
      <c r="AI46" t="str">
        <f>Translate!$A$104</f>
        <v>Materials</v>
      </c>
      <c r="AJ46" s="49">
        <f>L46</f>
        <v>0</v>
      </c>
      <c r="AK46" s="372" t="str">
        <f>VLOOKUP(D46,EFtable,7,0)</f>
        <v>Steel</v>
      </c>
      <c r="AL46" s="379">
        <f>VLOOKUP(D46,EFtable,8,0)*L46</f>
        <v>0</v>
      </c>
      <c r="AN46">
        <f>ROW(F48)-ROW(F45)</f>
        <v>3</v>
      </c>
      <c r="AO46" s="49">
        <f>AJ46</f>
        <v>0</v>
      </c>
    </row>
    <row r="47" spans="1:41">
      <c r="A47" s="1"/>
      <c r="C47" s="32"/>
      <c r="D47" s="336" t="str">
        <f>Translate!$A$79</f>
        <v>Recycled content</v>
      </c>
      <c r="E47" s="476">
        <f>IF(ISERROR(VLOOKUP(D46,RecycledContent,2,0)),Translate!$A$90,VLOOKUP(D46,RecycledContent,2,0))</f>
        <v>0.41</v>
      </c>
      <c r="F47" s="469" t="str">
        <f>Translate!$A$478</f>
        <v>-new or recycled-</v>
      </c>
      <c r="G47" s="23"/>
      <c r="H47" s="23"/>
      <c r="I47" s="23"/>
      <c r="J47" s="23"/>
      <c r="K47" s="23"/>
      <c r="L47" s="23"/>
      <c r="M47" s="23"/>
      <c r="N47" s="23"/>
      <c r="O47" s="24"/>
      <c r="P47" s="24"/>
      <c r="Q47" s="24"/>
      <c r="R47" s="24"/>
      <c r="S47" s="24"/>
      <c r="T47" s="24"/>
      <c r="U47" s="24"/>
      <c r="V47" s="24"/>
      <c r="W47" s="24"/>
      <c r="X47" s="24"/>
      <c r="Y47" s="24"/>
      <c r="Z47" s="24"/>
      <c r="AA47" s="24"/>
      <c r="AB47" s="24"/>
      <c r="AC47" s="24"/>
      <c r="AD47" s="24"/>
      <c r="AE47" s="33"/>
      <c r="AH47">
        <f>HLOOKUP(AI47,$AP$1:$AV$2,2,0)</f>
        <v>2</v>
      </c>
      <c r="AI47" t="str">
        <f>Translate!$A$106</f>
        <v>Freight</v>
      </c>
      <c r="AJ47" s="49">
        <f>AC46</f>
        <v>0</v>
      </c>
      <c r="AL47" s="379">
        <f>VLOOKUP(T46,EFtable,8,0)*AC46</f>
        <v>0</v>
      </c>
      <c r="AO47" s="49">
        <f>AJ47</f>
        <v>0</v>
      </c>
    </row>
    <row r="48" spans="1:41" ht="8.1" customHeight="1">
      <c r="A48" s="1"/>
      <c r="C48" s="34"/>
      <c r="D48" s="35"/>
      <c r="E48" s="35"/>
      <c r="F48" s="35"/>
      <c r="G48" s="35"/>
      <c r="H48" s="35"/>
      <c r="I48" s="35"/>
      <c r="J48" s="35"/>
      <c r="K48" s="35"/>
      <c r="L48" s="35"/>
      <c r="M48" s="35"/>
      <c r="N48" s="35"/>
      <c r="O48" s="36"/>
      <c r="P48" s="36"/>
      <c r="Q48" s="36"/>
      <c r="R48" s="36"/>
      <c r="S48" s="36"/>
      <c r="T48" s="36"/>
      <c r="U48" s="36"/>
      <c r="V48" s="36"/>
      <c r="W48" s="36"/>
      <c r="X48" s="36"/>
      <c r="Y48" s="36"/>
      <c r="Z48" s="36"/>
      <c r="AA48" s="36"/>
      <c r="AB48" s="36"/>
      <c r="AC48" s="36"/>
      <c r="AD48" s="36"/>
      <c r="AE48" s="37"/>
      <c r="AL48" s="49"/>
    </row>
    <row r="49" spans="1:41">
      <c r="A49" s="1"/>
      <c r="AL49" s="49"/>
    </row>
    <row r="50" spans="1:41" ht="8.1" customHeight="1">
      <c r="A50" s="1"/>
      <c r="C50" s="27"/>
      <c r="D50" s="28"/>
      <c r="E50" s="29"/>
      <c r="F50" s="29"/>
      <c r="G50" s="29"/>
      <c r="H50" s="29"/>
      <c r="I50" s="29"/>
      <c r="J50" s="29"/>
      <c r="K50" s="29"/>
      <c r="L50" s="29"/>
      <c r="M50" s="29"/>
      <c r="N50" s="29"/>
      <c r="O50" s="30"/>
      <c r="P50" s="30"/>
      <c r="Q50" s="30"/>
      <c r="R50" s="30"/>
      <c r="S50" s="30"/>
      <c r="T50" s="30"/>
      <c r="U50" s="30"/>
      <c r="V50" s="30"/>
      <c r="W50" s="30"/>
      <c r="X50" s="30"/>
      <c r="Y50" s="30"/>
      <c r="Z50" s="30"/>
      <c r="AA50" s="30"/>
      <c r="AB50" s="30"/>
      <c r="AC50" s="30"/>
      <c r="AD50" s="30"/>
      <c r="AE50" s="31"/>
      <c r="AL50" s="49"/>
    </row>
    <row r="51" spans="1:41" ht="15.75">
      <c r="A51" s="1"/>
      <c r="B51" s="551" t="s">
        <v>316</v>
      </c>
      <c r="C51" s="32"/>
      <c r="D51" s="468" t="str">
        <f>Translate!$A$189</f>
        <v>PVC pipes</v>
      </c>
      <c r="E51" s="477"/>
      <c r="F51" s="7" t="str">
        <f>VLOOKUP(D51,EFtable,2,0)</f>
        <v>t</v>
      </c>
      <c r="G51" s="23"/>
      <c r="H51" s="23"/>
      <c r="I51" s="25">
        <f>E51</f>
        <v>0</v>
      </c>
      <c r="J51" s="21" t="str">
        <f>F51</f>
        <v>t</v>
      </c>
      <c r="K51" s="38">
        <f>IF(ISERROR(E52*1),VLOOKUP(D51,EFtable,3,0),VLOOKUP(D51,EFtable,3,0)*(1-E52)+VLOOKUP(D51&amp;Translate!$A$199,EFtable,3,0)*E52)</f>
        <v>3230</v>
      </c>
      <c r="L51" s="25">
        <f>IF(F52=Translate!$A$111,0,I51*K51)</f>
        <v>0</v>
      </c>
      <c r="M51" s="21" t="str">
        <f>Translate!$A$102</f>
        <v>kgCO2e</v>
      </c>
      <c r="N51" s="23"/>
      <c r="O51" s="24"/>
      <c r="P51" s="19" t="str">
        <f>Translate!$A$112</f>
        <v>Distance</v>
      </c>
      <c r="Q51" s="470">
        <f>IF(ISERROR(VLOOKUP(D51,StandardFreight,3,0)),VLOOKUP(Translate!$A$118,StandardFreight,3,0),VLOOKUP(D51,StandardFreight,3,0))</f>
        <v>300</v>
      </c>
      <c r="R51" s="20" t="str">
        <f>'Emission factors'!$F$410</f>
        <v>km</v>
      </c>
      <c r="S51" s="19" t="str">
        <f>Translate!$A$120</f>
        <v>Type</v>
      </c>
      <c r="T51" s="473" t="str">
        <f>IF(ISERROR(VLOOKUP(D50,StandardFreight,2,0)),VLOOKUP(Translate!$A$118,StandardFreight,2,0),VLOOKUP(D50,StandardFreight,2,0))</f>
        <v>Road - Articulated &gt;33t</v>
      </c>
      <c r="U51" s="19" t="str">
        <f>Translate!$A$127</f>
        <v>Load</v>
      </c>
      <c r="V51" s="478">
        <f>VLOOKUP(T51,FreightLoadFactors,2,0)</f>
        <v>15</v>
      </c>
      <c r="W51" s="20" t="str">
        <f>J51</f>
        <v>t</v>
      </c>
      <c r="X51" s="471">
        <f>IF(V51=0,0,ROUNDUP(I51/V51,0))</f>
        <v>0</v>
      </c>
      <c r="Y51" s="20" t="str">
        <f>Translate!$A$130</f>
        <v>travels</v>
      </c>
      <c r="Z51" s="39" t="str">
        <f>Translate!$A$128</f>
        <v>empty-return rate</v>
      </c>
      <c r="AA51" s="472">
        <v>0.5</v>
      </c>
      <c r="AB51" s="48">
        <f>VLOOKUP(T51,EFtable,3,0)</f>
        <v>0.93694</v>
      </c>
      <c r="AC51" s="46">
        <f>Q51*X51*(1+AA51)*AB51</f>
        <v>0</v>
      </c>
      <c r="AD51" s="47" t="str">
        <f>Translate!$A$102</f>
        <v>kgCO2e</v>
      </c>
      <c r="AE51" s="33"/>
      <c r="AH51">
        <f>HLOOKUP(AI51,$AP$1:$AV$2,2,0)</f>
        <v>1</v>
      </c>
      <c r="AI51" t="str">
        <f>Translate!$A$104</f>
        <v>Materials</v>
      </c>
      <c r="AJ51" s="49">
        <f>L51</f>
        <v>0</v>
      </c>
      <c r="AK51" s="372" t="str">
        <f>VLOOKUP(D51,EFtable,7,0)</f>
        <v>Other</v>
      </c>
      <c r="AL51" s="379">
        <f>VLOOKUP(D51,EFtable,8,0)*L51</f>
        <v>0</v>
      </c>
      <c r="AN51">
        <f>ROW(F53)-ROW(F50)</f>
        <v>3</v>
      </c>
      <c r="AO51" s="49">
        <f>AJ51</f>
        <v>0</v>
      </c>
    </row>
    <row r="52" spans="1:41">
      <c r="A52" s="1"/>
      <c r="C52" s="32"/>
      <c r="D52" s="336" t="str">
        <f>Translate!$A$79</f>
        <v>Recycled content</v>
      </c>
      <c r="E52" s="476" t="str">
        <f>IF(ISERROR(VLOOKUP(D51,RecycledContent,2,0)),Translate!$A$90,VLOOKUP(D51,RecycledContent,2,0))</f>
        <v>do not apply</v>
      </c>
      <c r="F52" s="469" t="str">
        <f>Translate!$A$478</f>
        <v>-new or recycled-</v>
      </c>
      <c r="G52" s="23"/>
      <c r="H52" s="23"/>
      <c r="I52" s="23"/>
      <c r="J52" s="23"/>
      <c r="K52" s="23"/>
      <c r="L52" s="23"/>
      <c r="M52" s="23"/>
      <c r="N52" s="23"/>
      <c r="O52" s="24"/>
      <c r="P52" s="24"/>
      <c r="Q52" s="24"/>
      <c r="R52" s="24"/>
      <c r="S52" s="24"/>
      <c r="T52" s="24"/>
      <c r="U52" s="24"/>
      <c r="V52" s="24"/>
      <c r="W52" s="24"/>
      <c r="X52" s="24"/>
      <c r="Y52" s="24"/>
      <c r="Z52" s="24"/>
      <c r="AA52" s="24"/>
      <c r="AB52" s="24"/>
      <c r="AC52" s="24"/>
      <c r="AD52" s="24"/>
      <c r="AE52" s="33"/>
      <c r="AH52">
        <f>HLOOKUP(AI52,$AP$1:$AV$2,2,0)</f>
        <v>2</v>
      </c>
      <c r="AI52" t="str">
        <f>Translate!$A$106</f>
        <v>Freight</v>
      </c>
      <c r="AJ52" s="49">
        <f>AC51</f>
        <v>0</v>
      </c>
      <c r="AL52" s="379">
        <f>VLOOKUP(T51,EFtable,8,0)*AC51</f>
        <v>0</v>
      </c>
      <c r="AO52" s="49">
        <f>AJ52</f>
        <v>0</v>
      </c>
    </row>
    <row r="53" spans="1:41" ht="8.1" customHeight="1">
      <c r="A53" s="1"/>
      <c r="C53" s="34"/>
      <c r="D53" s="35"/>
      <c r="E53" s="35"/>
      <c r="F53" s="35"/>
      <c r="G53" s="35"/>
      <c r="H53" s="35"/>
      <c r="I53" s="35"/>
      <c r="J53" s="35"/>
      <c r="K53" s="35"/>
      <c r="L53" s="35"/>
      <c r="M53" s="35"/>
      <c r="N53" s="35"/>
      <c r="O53" s="36"/>
      <c r="P53" s="36"/>
      <c r="Q53" s="36"/>
      <c r="R53" s="36"/>
      <c r="S53" s="36"/>
      <c r="T53" s="36"/>
      <c r="U53" s="36"/>
      <c r="V53" s="36"/>
      <c r="W53" s="36"/>
      <c r="X53" s="36"/>
      <c r="Y53" s="36"/>
      <c r="Z53" s="36"/>
      <c r="AA53" s="36"/>
      <c r="AB53" s="36"/>
      <c r="AC53" s="36"/>
      <c r="AD53" s="36"/>
      <c r="AE53" s="37"/>
      <c r="AL53" s="49"/>
    </row>
    <row r="54" spans="1:41">
      <c r="A54" s="1"/>
      <c r="AL54" s="49"/>
    </row>
    <row r="55" spans="1:41" ht="8.1" customHeight="1">
      <c r="A55" s="1"/>
      <c r="C55" s="27"/>
      <c r="D55" s="28"/>
      <c r="E55" s="29"/>
      <c r="F55" s="29"/>
      <c r="G55" s="29"/>
      <c r="H55" s="29"/>
      <c r="I55" s="29"/>
      <c r="J55" s="29"/>
      <c r="K55" s="29"/>
      <c r="L55" s="29"/>
      <c r="M55" s="29"/>
      <c r="N55" s="29"/>
      <c r="O55" s="30"/>
      <c r="P55" s="30"/>
      <c r="Q55" s="30"/>
      <c r="R55" s="30"/>
      <c r="S55" s="30"/>
      <c r="T55" s="30"/>
      <c r="U55" s="30"/>
      <c r="V55" s="30"/>
      <c r="W55" s="30"/>
      <c r="X55" s="30"/>
      <c r="Y55" s="30"/>
      <c r="Z55" s="30"/>
      <c r="AA55" s="30"/>
      <c r="AB55" s="30"/>
      <c r="AC55" s="30"/>
      <c r="AD55" s="30"/>
      <c r="AE55" s="31"/>
      <c r="AL55" s="49"/>
    </row>
    <row r="56" spans="1:41" ht="15.75">
      <c r="A56" s="1"/>
      <c r="B56" s="551" t="s">
        <v>316</v>
      </c>
      <c r="C56" s="32"/>
      <c r="D56" s="468" t="str">
        <f>Translate!$A$179</f>
        <v>Calcium chloride</v>
      </c>
      <c r="E56" s="477"/>
      <c r="F56" s="7" t="str">
        <f>VLOOKUP(D56,EFtable,2,0)</f>
        <v>t</v>
      </c>
      <c r="G56" s="23"/>
      <c r="H56" s="23"/>
      <c r="I56" s="25">
        <f>E56</f>
        <v>0</v>
      </c>
      <c r="J56" s="21" t="str">
        <f>F56</f>
        <v>t</v>
      </c>
      <c r="K56" s="38">
        <f>IF(ISERROR(E57*1),VLOOKUP(D56,EFtable,3,0),VLOOKUP(D56,EFtable,3,0)*(1-E57)+VLOOKUP(D56&amp;Translate!$A$199,EFtable,3,0)*E57)</f>
        <v>493.43257</v>
      </c>
      <c r="L56" s="25">
        <f>IF(F57=Translate!$A$111,0,I56*K56)</f>
        <v>0</v>
      </c>
      <c r="M56" s="21" t="str">
        <f>Translate!$A$102</f>
        <v>kgCO2e</v>
      </c>
      <c r="N56" s="23"/>
      <c r="O56" s="24"/>
      <c r="P56" s="19" t="str">
        <f>Translate!$A$112</f>
        <v>Distance</v>
      </c>
      <c r="Q56" s="470">
        <f>IF(ISERROR(VLOOKUP(D56,StandardFreight,3,0)),VLOOKUP(Translate!$A$118,StandardFreight,3,0),VLOOKUP(D56,StandardFreight,3,0))</f>
        <v>300</v>
      </c>
      <c r="R56" s="20" t="str">
        <f>'Emission factors'!$F$410</f>
        <v>km</v>
      </c>
      <c r="S56" s="19" t="str">
        <f>Translate!$A$120</f>
        <v>Type</v>
      </c>
      <c r="T56" s="473" t="str">
        <f>IF(ISERROR(VLOOKUP(D55,StandardFreight,2,0)),VLOOKUP(Translate!$A$118,StandardFreight,2,0),VLOOKUP(D55,StandardFreight,2,0))</f>
        <v>Road - Articulated &gt;33t</v>
      </c>
      <c r="U56" s="19" t="str">
        <f>Translate!$A$127</f>
        <v>Load</v>
      </c>
      <c r="V56" s="478">
        <f>VLOOKUP(T56,FreightLoadFactors,2,0)</f>
        <v>15</v>
      </c>
      <c r="W56" s="20" t="str">
        <f>J56</f>
        <v>t</v>
      </c>
      <c r="X56" s="471">
        <f>IF(V56=0,0,ROUNDUP(I56/V56,0))</f>
        <v>0</v>
      </c>
      <c r="Y56" s="20" t="str">
        <f>Translate!$A$130</f>
        <v>travels</v>
      </c>
      <c r="Z56" s="39" t="str">
        <f>Translate!$A$128</f>
        <v>empty-return rate</v>
      </c>
      <c r="AA56" s="472">
        <v>0.5</v>
      </c>
      <c r="AB56" s="48">
        <f>VLOOKUP(T56,EFtable,3,0)</f>
        <v>0.93694</v>
      </c>
      <c r="AC56" s="46">
        <f>Q56*X56*(1+AA56)*AB56</f>
        <v>0</v>
      </c>
      <c r="AD56" s="47" t="str">
        <f>Translate!$A$102</f>
        <v>kgCO2e</v>
      </c>
      <c r="AE56" s="33"/>
      <c r="AH56">
        <f>HLOOKUP(AI56,$AP$1:$AV$2,2,0)</f>
        <v>1</v>
      </c>
      <c r="AI56" t="str">
        <f>Translate!$A$104</f>
        <v>Materials</v>
      </c>
      <c r="AJ56" s="49">
        <f>L56</f>
        <v>0</v>
      </c>
      <c r="AK56" s="372" t="str">
        <f>VLOOKUP(D56,EFtable,7,0)</f>
        <v>Other</v>
      </c>
      <c r="AL56" s="379">
        <f>VLOOKUP(D56,EFtable,8,0)*L56</f>
        <v>0</v>
      </c>
      <c r="AN56">
        <f>ROW(F58)-ROW(F55)</f>
        <v>3</v>
      </c>
      <c r="AO56" s="49">
        <f>AJ56</f>
        <v>0</v>
      </c>
    </row>
    <row r="57" spans="1:41">
      <c r="A57" s="1"/>
      <c r="C57" s="32"/>
      <c r="D57" s="336" t="str">
        <f>Translate!$A$79</f>
        <v>Recycled content</v>
      </c>
      <c r="E57" s="476" t="str">
        <f>IF(ISERROR(VLOOKUP(D56,RecycledContent,2,0)),Translate!$A$90,VLOOKUP(D56,RecycledContent,2,0))</f>
        <v>do not apply</v>
      </c>
      <c r="F57" s="469" t="str">
        <f>Translate!$A$478</f>
        <v>-new or recycled-</v>
      </c>
      <c r="G57" s="23"/>
      <c r="H57" s="23"/>
      <c r="I57" s="23"/>
      <c r="J57" s="23"/>
      <c r="K57" s="23"/>
      <c r="L57" s="23"/>
      <c r="M57" s="23"/>
      <c r="N57" s="23"/>
      <c r="O57" s="24"/>
      <c r="P57" s="24"/>
      <c r="Q57" s="24"/>
      <c r="R57" s="24"/>
      <c r="S57" s="24"/>
      <c r="T57" s="24"/>
      <c r="U57" s="24"/>
      <c r="V57" s="24"/>
      <c r="W57" s="24"/>
      <c r="X57" s="24"/>
      <c r="Y57" s="24"/>
      <c r="Z57" s="24"/>
      <c r="AA57" s="24"/>
      <c r="AB57" s="24"/>
      <c r="AC57" s="24"/>
      <c r="AD57" s="24"/>
      <c r="AE57" s="33"/>
      <c r="AH57">
        <f>HLOOKUP(AI57,$AP$1:$AV$2,2,0)</f>
        <v>2</v>
      </c>
      <c r="AI57" t="str">
        <f>Translate!$A$106</f>
        <v>Freight</v>
      </c>
      <c r="AJ57" s="49">
        <f>AC56</f>
        <v>0</v>
      </c>
      <c r="AL57" s="379">
        <f>VLOOKUP(T56,EFtable,8,0)*AC56</f>
        <v>0</v>
      </c>
      <c r="AO57" s="49">
        <f>AJ57</f>
        <v>0</v>
      </c>
    </row>
    <row r="58" spans="1:41" ht="8.1" customHeight="1">
      <c r="A58" s="1"/>
      <c r="C58" s="34"/>
      <c r="D58" s="35"/>
      <c r="E58" s="35"/>
      <c r="F58" s="35"/>
      <c r="G58" s="35"/>
      <c r="H58" s="35"/>
      <c r="I58" s="35"/>
      <c r="J58" s="35"/>
      <c r="K58" s="35"/>
      <c r="L58" s="35"/>
      <c r="M58" s="35"/>
      <c r="N58" s="35"/>
      <c r="O58" s="36"/>
      <c r="P58" s="36"/>
      <c r="Q58" s="36"/>
      <c r="R58" s="36"/>
      <c r="S58" s="36"/>
      <c r="T58" s="36"/>
      <c r="U58" s="36"/>
      <c r="V58" s="36"/>
      <c r="W58" s="36"/>
      <c r="X58" s="36"/>
      <c r="Y58" s="36"/>
      <c r="Z58" s="36"/>
      <c r="AA58" s="36"/>
      <c r="AB58" s="36"/>
      <c r="AC58" s="36"/>
      <c r="AD58" s="36"/>
      <c r="AE58" s="37"/>
    </row>
    <row r="59" spans="1:41">
      <c r="A59" s="1"/>
    </row>
    <row r="60" spans="1:41" ht="20.25">
      <c r="A60" s="1"/>
      <c r="B60" s="1"/>
      <c r="C60" s="1"/>
      <c r="D60" s="8"/>
      <c r="E60" s="1"/>
      <c r="F60" s="1"/>
      <c r="G60" s="1"/>
      <c r="H60" s="1"/>
      <c r="I60" s="1"/>
      <c r="J60" s="1"/>
      <c r="K60" s="1"/>
      <c r="L60" s="1"/>
      <c r="M60" s="1"/>
      <c r="N60" s="1"/>
      <c r="O60" s="15"/>
      <c r="P60" s="15"/>
      <c r="Q60" s="15"/>
      <c r="R60" s="15"/>
      <c r="S60" s="15"/>
      <c r="T60" s="15"/>
      <c r="U60" s="15"/>
      <c r="V60" s="15"/>
      <c r="W60" s="15"/>
      <c r="X60" s="15"/>
      <c r="Y60" s="15"/>
      <c r="Z60" s="15"/>
      <c r="AA60" s="15"/>
      <c r="AB60" s="15"/>
      <c r="AC60" s="15"/>
      <c r="AD60" s="15"/>
      <c r="AE60" s="15"/>
    </row>
    <row r="62" spans="1:41" ht="20.25">
      <c r="A62" s="12"/>
      <c r="B62" s="12"/>
      <c r="C62" s="12"/>
      <c r="D62" s="13" t="str">
        <f>AP11</f>
        <v>Energy    (Primary source)</v>
      </c>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row>
    <row r="63" spans="1:41">
      <c r="A63" s="12"/>
    </row>
    <row r="64" spans="1:41" ht="6" customHeight="1">
      <c r="A64" s="12"/>
      <c r="C64" s="52"/>
      <c r="D64" s="53"/>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5"/>
    </row>
    <row r="65" spans="1:41" ht="15.75">
      <c r="A65" s="12"/>
      <c r="B65" s="551" t="s">
        <v>316</v>
      </c>
      <c r="C65" s="56"/>
      <c r="D65" s="14" t="str">
        <f>Translate!$A$80</f>
        <v>Simplified ratio</v>
      </c>
      <c r="E65" s="488" t="str">
        <f>IF(AND(AP5,F65=Translate!$A$91),AP4,Translate!$A$92)</f>
        <v>OFF</v>
      </c>
      <c r="F65" s="542" t="str">
        <f>Translate!$A$91</f>
        <v>Default</v>
      </c>
      <c r="G65" s="57"/>
      <c r="H65" s="57"/>
      <c r="I65" s="57"/>
      <c r="J65" s="57"/>
      <c r="K65" s="248">
        <f ca="1">$P$1</f>
        <v>0</v>
      </c>
      <c r="L65" s="40">
        <f>IF(E65=Translate!$A$92,0,E65*K65)</f>
        <v>0</v>
      </c>
      <c r="M65" s="41" t="str">
        <f>Translate!$A$102</f>
        <v>kgCO2e</v>
      </c>
      <c r="N65" s="57"/>
      <c r="O65" s="57"/>
      <c r="P65" s="57"/>
      <c r="Q65" s="57"/>
      <c r="R65" s="57"/>
      <c r="S65" s="57"/>
      <c r="T65" s="57"/>
      <c r="U65" s="57"/>
      <c r="V65" s="57"/>
      <c r="W65" s="57"/>
      <c r="X65" s="57"/>
      <c r="Y65" s="57"/>
      <c r="Z65" s="57"/>
      <c r="AA65" s="57"/>
      <c r="AB65" s="57"/>
      <c r="AC65" s="57"/>
      <c r="AD65" s="57"/>
      <c r="AE65" s="58"/>
      <c r="AG65" t="s">
        <v>70</v>
      </c>
      <c r="AH65">
        <v>2</v>
      </c>
      <c r="AI65" t="str">
        <f>Translate!$A$105</f>
        <v>Energy</v>
      </c>
      <c r="AJ65" s="49">
        <f>L65</f>
        <v>0</v>
      </c>
      <c r="AL65" s="379">
        <f>100%*L65</f>
        <v>0</v>
      </c>
      <c r="AN65">
        <f>ROW(F66)-ROW(F64)</f>
        <v>2</v>
      </c>
      <c r="AO65" s="49"/>
    </row>
    <row r="66" spans="1:41" ht="5.0999999999999996" customHeight="1">
      <c r="A66" s="12"/>
      <c r="C66" s="59"/>
      <c r="D66" s="60"/>
      <c r="E66" s="61"/>
      <c r="F66" s="61"/>
      <c r="G66" s="61"/>
      <c r="H66" s="61"/>
      <c r="I66" s="61"/>
      <c r="J66" s="61"/>
      <c r="K66" s="61"/>
      <c r="L66" s="61"/>
      <c r="M66" s="61"/>
      <c r="N66" s="61"/>
      <c r="O66" s="61"/>
      <c r="P66" s="61"/>
      <c r="Q66" s="61"/>
      <c r="R66" s="61"/>
      <c r="S66" s="61"/>
      <c r="T66" s="61"/>
      <c r="U66" s="61"/>
      <c r="V66" s="61"/>
      <c r="W66" s="61"/>
      <c r="X66" s="61"/>
      <c r="Y66" s="61"/>
      <c r="Z66" s="61"/>
      <c r="AA66" s="61"/>
      <c r="AB66" s="61"/>
      <c r="AC66" s="61"/>
      <c r="AD66" s="61"/>
      <c r="AE66" s="62"/>
    </row>
    <row r="67" spans="1:41" ht="9.75" customHeight="1">
      <c r="A67" s="12"/>
    </row>
    <row r="68" spans="1:41" ht="6" customHeight="1">
      <c r="A68" s="12"/>
      <c r="C68" s="52"/>
      <c r="D68" s="53"/>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5"/>
    </row>
    <row r="69" spans="1:41" ht="15.75">
      <c r="A69" s="12"/>
      <c r="B69" s="551" t="s">
        <v>316</v>
      </c>
      <c r="C69" s="56"/>
      <c r="D69" s="468" t="str">
        <f>Translate!$A$200</f>
        <v>Diesel</v>
      </c>
      <c r="E69" s="465"/>
      <c r="F69" s="247" t="str">
        <f>VLOOKUP(D69,EFtable,2,0)</f>
        <v>liter</v>
      </c>
      <c r="G69" s="57"/>
      <c r="H69" s="57"/>
      <c r="I69" s="57"/>
      <c r="J69" s="57"/>
      <c r="K69" s="248">
        <f>VLOOKUP(D69,EFtable,3,0)</f>
        <v>3.2112000000000003</v>
      </c>
      <c r="L69" s="40">
        <f>E69*K69</f>
        <v>0</v>
      </c>
      <c r="M69" s="41" t="str">
        <f>Translate!$A$102</f>
        <v>kgCO2e</v>
      </c>
      <c r="N69" s="57"/>
      <c r="O69" s="57"/>
      <c r="P69" s="57"/>
      <c r="Q69" s="57"/>
      <c r="R69" s="57"/>
      <c r="S69" s="57"/>
      <c r="T69" s="57"/>
      <c r="U69" s="57"/>
      <c r="V69" s="57"/>
      <c r="W69" s="57"/>
      <c r="X69" s="57"/>
      <c r="Y69" s="57"/>
      <c r="Z69" s="57"/>
      <c r="AA69" s="57"/>
      <c r="AB69" s="57"/>
      <c r="AC69" s="57"/>
      <c r="AD69" s="57"/>
      <c r="AE69" s="58"/>
      <c r="AH69">
        <f>HLOOKUP(AI69,$AP$1:$AV$2,2,0)</f>
        <v>1</v>
      </c>
      <c r="AI69" t="str">
        <f>Translate!$A$105</f>
        <v>Energy</v>
      </c>
      <c r="AJ69" s="49">
        <f>L69</f>
        <v>0</v>
      </c>
      <c r="AL69" s="379">
        <f>VLOOKUP(D69,EFtable,8,0)*L69</f>
        <v>0</v>
      </c>
      <c r="AN69">
        <f>ROW(F70)-ROW(F68)</f>
        <v>2</v>
      </c>
      <c r="AO69" s="49">
        <f>AJ69</f>
        <v>0</v>
      </c>
    </row>
    <row r="70" spans="1:41" ht="5.0999999999999996" customHeight="1">
      <c r="A70" s="12"/>
      <c r="C70" s="59"/>
      <c r="D70" s="60"/>
      <c r="E70" s="61"/>
      <c r="F70" s="61"/>
      <c r="G70" s="61"/>
      <c r="H70" s="61"/>
      <c r="I70" s="61"/>
      <c r="J70" s="61"/>
      <c r="K70" s="61"/>
      <c r="L70" s="61"/>
      <c r="M70" s="61"/>
      <c r="N70" s="61"/>
      <c r="O70" s="61"/>
      <c r="P70" s="61"/>
      <c r="Q70" s="61"/>
      <c r="R70" s="61"/>
      <c r="S70" s="61"/>
      <c r="T70" s="61"/>
      <c r="U70" s="61"/>
      <c r="V70" s="61"/>
      <c r="W70" s="61"/>
      <c r="X70" s="61"/>
      <c r="Y70" s="61"/>
      <c r="Z70" s="61"/>
      <c r="AA70" s="61"/>
      <c r="AB70" s="61"/>
      <c r="AC70" s="61"/>
      <c r="AD70" s="61"/>
      <c r="AE70" s="62"/>
      <c r="AO70" s="421"/>
    </row>
    <row r="71" spans="1:41" ht="9.75" customHeight="1">
      <c r="A71" s="12"/>
    </row>
    <row r="72" spans="1:41" ht="6" customHeight="1">
      <c r="A72" s="12"/>
      <c r="C72" s="52"/>
      <c r="D72" s="53"/>
      <c r="E72" s="54"/>
      <c r="F72" s="54"/>
      <c r="G72" s="54"/>
      <c r="H72" s="54"/>
      <c r="I72" s="54"/>
      <c r="J72" s="54"/>
      <c r="K72" s="54"/>
      <c r="L72" s="54"/>
      <c r="M72" s="54"/>
      <c r="N72" s="54"/>
      <c r="O72" s="54"/>
      <c r="P72" s="54"/>
      <c r="Q72" s="54"/>
      <c r="R72" s="54"/>
      <c r="S72" s="54"/>
      <c r="T72" s="54"/>
      <c r="U72" s="54"/>
      <c r="V72" s="54"/>
      <c r="W72" s="54"/>
      <c r="X72" s="54"/>
      <c r="Y72" s="54"/>
      <c r="Z72" s="54"/>
      <c r="AA72" s="54"/>
      <c r="AB72" s="54"/>
      <c r="AC72" s="54"/>
      <c r="AD72" s="54"/>
      <c r="AE72" s="55"/>
    </row>
    <row r="73" spans="1:41" ht="15.75">
      <c r="A73" s="12"/>
      <c r="B73" s="551" t="s">
        <v>316</v>
      </c>
      <c r="C73" s="56"/>
      <c r="D73" s="14" t="str">
        <f>Translate!$A$81</f>
        <v>Network electricity</v>
      </c>
      <c r="E73" s="465"/>
      <c r="F73" s="247" t="str">
        <f>Translate!$A$98</f>
        <v>kWh</v>
      </c>
      <c r="G73" s="57"/>
      <c r="H73" s="57"/>
      <c r="I73" s="57"/>
      <c r="J73" s="57"/>
      <c r="K73" s="615">
        <f>IF(ISERROR(VLOOKUP(Translate!$A$202&amp;" - "&amp;$E$12,EFtable,3,0)),0,VLOOKUP(Translate!$A$202&amp;" - "&amp;$E$12,EFtable,3,0))</f>
        <v>0</v>
      </c>
      <c r="L73" s="40">
        <f>IF(ISERROR(K73),0,E73*K73)</f>
        <v>0</v>
      </c>
      <c r="M73" s="41" t="str">
        <f>Translate!$A$102</f>
        <v>kgCO2e</v>
      </c>
      <c r="N73" s="57"/>
      <c r="O73" s="57"/>
      <c r="P73" s="57"/>
      <c r="Q73" s="57"/>
      <c r="R73" s="57"/>
      <c r="S73" s="57"/>
      <c r="T73" s="57"/>
      <c r="U73" s="57"/>
      <c r="V73" s="57"/>
      <c r="W73" s="57"/>
      <c r="X73" s="57"/>
      <c r="Y73" s="57"/>
      <c r="Z73" s="57"/>
      <c r="AA73" s="57"/>
      <c r="AB73" s="57"/>
      <c r="AC73" s="57"/>
      <c r="AD73" s="57"/>
      <c r="AE73" s="58"/>
      <c r="AH73">
        <f>HLOOKUP(AI73,$AP$1:$AV$2,2,0)</f>
        <v>1</v>
      </c>
      <c r="AI73" t="str">
        <f>Translate!$A$105</f>
        <v>Energy</v>
      </c>
      <c r="AJ73" s="49">
        <f>L73</f>
        <v>0</v>
      </c>
      <c r="AL73" s="379">
        <f>10%*L73</f>
        <v>0</v>
      </c>
      <c r="AN73">
        <f>ROW(F74)-ROW(F72)</f>
        <v>2</v>
      </c>
      <c r="AO73" s="49">
        <f>AJ73</f>
        <v>0</v>
      </c>
    </row>
    <row r="74" spans="1:41" ht="5.0999999999999996" customHeight="1">
      <c r="A74" s="12"/>
      <c r="C74" s="59"/>
      <c r="D74" s="60"/>
      <c r="E74" s="61"/>
      <c r="F74" s="61"/>
      <c r="G74" s="61"/>
      <c r="H74" s="61"/>
      <c r="I74" s="61"/>
      <c r="J74" s="61"/>
      <c r="K74" s="61"/>
      <c r="L74" s="61"/>
      <c r="M74" s="61"/>
      <c r="N74" s="61"/>
      <c r="O74" s="61"/>
      <c r="P74" s="61"/>
      <c r="Q74" s="61"/>
      <c r="R74" s="61"/>
      <c r="S74" s="61"/>
      <c r="T74" s="61"/>
      <c r="U74" s="61"/>
      <c r="V74" s="61"/>
      <c r="W74" s="61"/>
      <c r="X74" s="61"/>
      <c r="Y74" s="61"/>
      <c r="Z74" s="61"/>
      <c r="AA74" s="61"/>
      <c r="AB74" s="61"/>
      <c r="AC74" s="61"/>
      <c r="AD74" s="61"/>
      <c r="AE74" s="62"/>
    </row>
    <row r="75" spans="1:41">
      <c r="A75" s="12"/>
    </row>
    <row r="76" spans="1:41" ht="20.25">
      <c r="A76" s="12"/>
      <c r="B76" s="12"/>
      <c r="C76" s="12"/>
      <c r="D76" s="13"/>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row>
    <row r="78" spans="1:41" ht="20.25">
      <c r="A78" s="288"/>
      <c r="B78" s="290"/>
      <c r="C78" s="290"/>
      <c r="D78" s="291" t="str">
        <f>AS11</f>
        <v>Mob/demob    (Secondary source)</v>
      </c>
      <c r="E78" s="290"/>
      <c r="F78" s="290"/>
      <c r="G78" s="290"/>
      <c r="H78" s="290"/>
      <c r="I78" s="290"/>
      <c r="J78" s="290"/>
      <c r="K78" s="290"/>
      <c r="L78" s="290"/>
      <c r="M78" s="290"/>
      <c r="N78" s="290"/>
      <c r="O78" s="290"/>
      <c r="P78" s="290"/>
      <c r="Q78" s="290"/>
      <c r="R78" s="290"/>
      <c r="S78" s="290"/>
      <c r="T78" s="290"/>
      <c r="U78" s="290"/>
      <c r="V78" s="290"/>
      <c r="W78" s="290"/>
      <c r="X78" s="290"/>
      <c r="Y78" s="290"/>
      <c r="Z78" s="290"/>
      <c r="AA78" s="290"/>
      <c r="AB78" s="290"/>
      <c r="AC78" s="290"/>
      <c r="AD78" s="290"/>
      <c r="AE78" s="290"/>
    </row>
    <row r="79" spans="1:41">
      <c r="A79" s="288"/>
    </row>
    <row r="80" spans="1:41" ht="6" customHeight="1">
      <c r="A80" s="288"/>
      <c r="C80" s="296"/>
      <c r="D80" s="297"/>
      <c r="E80" s="297"/>
      <c r="F80" s="297"/>
      <c r="G80" s="297"/>
      <c r="H80" s="297"/>
      <c r="I80" s="297"/>
      <c r="J80" s="297"/>
      <c r="K80" s="297"/>
      <c r="L80" s="297"/>
      <c r="M80" s="297"/>
      <c r="N80" s="297"/>
      <c r="O80" s="297"/>
      <c r="P80" s="297"/>
      <c r="Q80" s="297"/>
      <c r="R80" s="297"/>
      <c r="S80" s="297"/>
      <c r="T80" s="297"/>
      <c r="U80" s="297"/>
      <c r="V80" s="297"/>
      <c r="W80" s="297"/>
      <c r="X80" s="297"/>
      <c r="Y80" s="297"/>
      <c r="Z80" s="297"/>
      <c r="AA80" s="297"/>
      <c r="AB80" s="297"/>
      <c r="AC80" s="297"/>
      <c r="AD80" s="297"/>
      <c r="AE80" s="298"/>
    </row>
    <row r="81" spans="1:41" ht="15.75">
      <c r="A81" s="288"/>
      <c r="C81" s="299"/>
      <c r="D81" s="292" t="str">
        <f>Translate!$A$80</f>
        <v>Simplified ratio</v>
      </c>
      <c r="E81" s="489">
        <f ca="1">IF(AND(AS5,F81=Translate!$A$91),AS4,Translate!$A$92)</f>
        <v>3.1868748686830371E-3</v>
      </c>
      <c r="F81" s="543" t="str">
        <f>Translate!$A$91</f>
        <v>Default</v>
      </c>
      <c r="G81" s="300"/>
      <c r="H81" s="300"/>
      <c r="I81" s="300"/>
      <c r="J81" s="300"/>
      <c r="K81" s="308">
        <f ca="1">$P$1</f>
        <v>0</v>
      </c>
      <c r="L81" s="308">
        <f ca="1">IF(E81=Translate!$A$92,0,E81*K81)</f>
        <v>0</v>
      </c>
      <c r="M81" s="307" t="str">
        <f>Translate!$A$102</f>
        <v>kgCO2e</v>
      </c>
      <c r="N81" s="301"/>
      <c r="O81" s="301"/>
      <c r="P81" s="301"/>
      <c r="Q81" s="301"/>
      <c r="R81" s="301"/>
      <c r="S81" s="301"/>
      <c r="T81" s="301"/>
      <c r="U81" s="301"/>
      <c r="V81" s="301"/>
      <c r="W81" s="301"/>
      <c r="X81" s="301"/>
      <c r="Y81" s="301"/>
      <c r="Z81" s="301"/>
      <c r="AA81" s="301"/>
      <c r="AB81" s="301"/>
      <c r="AC81" s="301"/>
      <c r="AD81" s="301"/>
      <c r="AE81" s="302"/>
      <c r="AG81" t="s">
        <v>70</v>
      </c>
      <c r="AH81">
        <f>HLOOKUP(AI81,$AP$1:$AV$2,2,0)</f>
        <v>2</v>
      </c>
      <c r="AI81" t="str">
        <f>Translate!$A$107</f>
        <v>Mob/demob</v>
      </c>
      <c r="AJ81" s="49">
        <f ca="1">L81</f>
        <v>0</v>
      </c>
      <c r="AL81" s="379">
        <f ca="1">100%*L81</f>
        <v>0</v>
      </c>
      <c r="AO81" s="49"/>
    </row>
    <row r="82" spans="1:41" ht="5.0999999999999996" customHeight="1">
      <c r="A82" s="288"/>
      <c r="C82" s="303"/>
      <c r="D82" s="304"/>
      <c r="E82" s="304"/>
      <c r="F82" s="304"/>
      <c r="G82" s="304"/>
      <c r="H82" s="304"/>
      <c r="I82" s="304"/>
      <c r="J82" s="304"/>
      <c r="K82" s="304"/>
      <c r="L82" s="304"/>
      <c r="M82" s="304"/>
      <c r="N82" s="304"/>
      <c r="O82" s="304"/>
      <c r="P82" s="304"/>
      <c r="Q82" s="304"/>
      <c r="R82" s="304"/>
      <c r="S82" s="304"/>
      <c r="T82" s="304"/>
      <c r="U82" s="304"/>
      <c r="V82" s="304"/>
      <c r="W82" s="304"/>
      <c r="X82" s="304"/>
      <c r="Y82" s="304"/>
      <c r="Z82" s="304"/>
      <c r="AA82" s="304"/>
      <c r="AB82" s="304"/>
      <c r="AC82" s="304"/>
      <c r="AD82" s="304"/>
      <c r="AE82" s="305"/>
    </row>
    <row r="83" spans="1:41" ht="9.75" customHeight="1">
      <c r="A83" s="288"/>
    </row>
    <row r="84" spans="1:41" ht="6" customHeight="1">
      <c r="A84" s="288"/>
      <c r="C84" s="296"/>
      <c r="D84" s="297"/>
      <c r="E84" s="297"/>
      <c r="F84" s="297"/>
      <c r="G84" s="297"/>
      <c r="H84" s="297"/>
      <c r="I84" s="297"/>
      <c r="J84" s="297"/>
      <c r="K84" s="297"/>
      <c r="L84" s="297"/>
      <c r="M84" s="297"/>
      <c r="N84" s="297"/>
      <c r="O84" s="297"/>
      <c r="P84" s="297"/>
      <c r="Q84" s="297"/>
      <c r="R84" s="297"/>
      <c r="S84" s="297"/>
      <c r="T84" s="297"/>
      <c r="U84" s="297"/>
      <c r="V84" s="297"/>
      <c r="W84" s="297"/>
      <c r="X84" s="297"/>
      <c r="Y84" s="297"/>
      <c r="Z84" s="297"/>
      <c r="AA84" s="297"/>
      <c r="AB84" s="297"/>
      <c r="AC84" s="297"/>
      <c r="AD84" s="297"/>
      <c r="AE84" s="298"/>
    </row>
    <row r="85" spans="1:41" ht="15.75">
      <c r="A85" s="288"/>
      <c r="B85" s="551" t="s">
        <v>316</v>
      </c>
      <c r="C85" s="299"/>
      <c r="D85" s="479" t="str">
        <f>Translate!$A$206</f>
        <v>Road - Rigid &gt;17t</v>
      </c>
      <c r="E85" s="465"/>
      <c r="F85" s="383" t="str">
        <f>Translate!$A$99</f>
        <v>roundtrips</v>
      </c>
      <c r="G85" s="301"/>
      <c r="H85" s="300"/>
      <c r="I85" s="306">
        <f>E85*M85*(1+V85)</f>
        <v>0</v>
      </c>
      <c r="J85" s="307" t="str">
        <f>'Emission factors'!$F$410</f>
        <v>km</v>
      </c>
      <c r="K85" s="295">
        <f>VLOOKUP(D85,EFtable,3,0)</f>
        <v>0.98243999999999998</v>
      </c>
      <c r="L85" s="293" t="str">
        <f>Translate!$A$112</f>
        <v>Distance</v>
      </c>
      <c r="M85" s="470">
        <v>50</v>
      </c>
      <c r="N85" s="354" t="str">
        <f>'Emission factors'!$F$410&amp;" "&amp;Translate!$A$114</f>
        <v>km  one way</v>
      </c>
      <c r="O85" s="353"/>
      <c r="P85" s="294"/>
      <c r="Q85" s="301"/>
      <c r="R85" s="308">
        <f>I85*K85</f>
        <v>0</v>
      </c>
      <c r="S85" s="307" t="str">
        <f>Translate!$A$102</f>
        <v>kgCO2e</v>
      </c>
      <c r="T85" s="301"/>
      <c r="U85" s="355" t="str">
        <f>Translate!$A$128</f>
        <v>empty-return rate</v>
      </c>
      <c r="V85" s="472">
        <v>0</v>
      </c>
      <c r="W85" s="301"/>
      <c r="X85" s="301"/>
      <c r="Y85" s="301"/>
      <c r="Z85" s="301"/>
      <c r="AA85" s="301"/>
      <c r="AB85" s="301"/>
      <c r="AC85" s="301"/>
      <c r="AD85" s="301"/>
      <c r="AE85" s="302"/>
      <c r="AH85">
        <f>HLOOKUP(AI85,$AP$1:$AV$2,2,0)</f>
        <v>2</v>
      </c>
      <c r="AI85" t="str">
        <f>Translate!$A$107</f>
        <v>Mob/demob</v>
      </c>
      <c r="AJ85" s="49">
        <f>R85</f>
        <v>0</v>
      </c>
      <c r="AL85" s="379">
        <f>VLOOKUP(D85,EFtable,8,0)*R85</f>
        <v>0</v>
      </c>
      <c r="AN85">
        <f>ROW(F86)-ROW(F84)</f>
        <v>2</v>
      </c>
      <c r="AO85" s="49">
        <f>AJ85</f>
        <v>0</v>
      </c>
    </row>
    <row r="86" spans="1:41" ht="5.0999999999999996" customHeight="1">
      <c r="A86" s="288"/>
      <c r="C86" s="303"/>
      <c r="D86" s="304"/>
      <c r="E86" s="304"/>
      <c r="F86" s="304"/>
      <c r="G86" s="304"/>
      <c r="H86" s="304"/>
      <c r="I86" s="304"/>
      <c r="J86" s="304"/>
      <c r="K86" s="304"/>
      <c r="L86" s="304"/>
      <c r="M86" s="304"/>
      <c r="N86" s="304"/>
      <c r="O86" s="304"/>
      <c r="P86" s="304"/>
      <c r="Q86" s="304"/>
      <c r="R86" s="304"/>
      <c r="S86" s="304"/>
      <c r="T86" s="304"/>
      <c r="U86" s="304"/>
      <c r="V86" s="304"/>
      <c r="W86" s="304"/>
      <c r="X86" s="304"/>
      <c r="Y86" s="304"/>
      <c r="Z86" s="304"/>
      <c r="AA86" s="304"/>
      <c r="AB86" s="304"/>
      <c r="AC86" s="304"/>
      <c r="AD86" s="304"/>
      <c r="AE86" s="305"/>
    </row>
    <row r="87" spans="1:41" ht="9.75" customHeight="1">
      <c r="A87" s="288"/>
    </row>
    <row r="88" spans="1:41" ht="6" customHeight="1">
      <c r="A88" s="288"/>
      <c r="C88" s="296"/>
      <c r="D88" s="297"/>
      <c r="E88" s="297"/>
      <c r="F88" s="297"/>
      <c r="G88" s="297"/>
      <c r="H88" s="297"/>
      <c r="I88" s="297"/>
      <c r="J88" s="297"/>
      <c r="K88" s="297"/>
      <c r="L88" s="297"/>
      <c r="M88" s="297"/>
      <c r="N88" s="297"/>
      <c r="O88" s="297"/>
      <c r="P88" s="297"/>
      <c r="Q88" s="297"/>
      <c r="R88" s="297"/>
      <c r="S88" s="297"/>
      <c r="T88" s="297"/>
      <c r="U88" s="297"/>
      <c r="V88" s="297"/>
      <c r="W88" s="297"/>
      <c r="X88" s="297"/>
      <c r="Y88" s="297"/>
      <c r="Z88" s="297"/>
      <c r="AA88" s="297"/>
      <c r="AB88" s="297"/>
      <c r="AC88" s="297"/>
      <c r="AD88" s="297"/>
      <c r="AE88" s="298"/>
    </row>
    <row r="89" spans="1:41" ht="15.75">
      <c r="A89" s="288"/>
      <c r="B89" s="551" t="s">
        <v>316</v>
      </c>
      <c r="C89" s="299"/>
      <c r="D89" s="479" t="str">
        <f>Translate!$A$208</f>
        <v>Road - Articulated &gt;33t</v>
      </c>
      <c r="E89" s="465"/>
      <c r="F89" s="383" t="str">
        <f>Translate!$A$99</f>
        <v>roundtrips</v>
      </c>
      <c r="G89" s="301"/>
      <c r="H89" s="300"/>
      <c r="I89" s="306">
        <f>E89*M89*(1+V89)</f>
        <v>0</v>
      </c>
      <c r="J89" s="307" t="str">
        <f>'Emission factors'!$F$410</f>
        <v>km</v>
      </c>
      <c r="K89" s="295">
        <f>VLOOKUP(D89,EFtable,3,0)</f>
        <v>0.93694</v>
      </c>
      <c r="L89" s="293" t="str">
        <f>Translate!$A$112</f>
        <v>Distance</v>
      </c>
      <c r="M89" s="470">
        <v>50</v>
      </c>
      <c r="N89" s="354" t="str">
        <f>'Emission factors'!$F$410&amp;" "&amp;Translate!$A$114</f>
        <v>km  one way</v>
      </c>
      <c r="O89" s="353"/>
      <c r="P89" s="294"/>
      <c r="Q89" s="301"/>
      <c r="R89" s="308">
        <f>I89*K89</f>
        <v>0</v>
      </c>
      <c r="S89" s="307" t="str">
        <f>Translate!$A$102</f>
        <v>kgCO2e</v>
      </c>
      <c r="T89" s="301"/>
      <c r="U89" s="355" t="str">
        <f>Translate!$A$128</f>
        <v>empty-return rate</v>
      </c>
      <c r="V89" s="472">
        <v>0</v>
      </c>
      <c r="W89" s="301"/>
      <c r="X89" s="301"/>
      <c r="Y89" s="301"/>
      <c r="Z89" s="301"/>
      <c r="AA89" s="301"/>
      <c r="AB89" s="301"/>
      <c r="AC89" s="301"/>
      <c r="AD89" s="301"/>
      <c r="AE89" s="302"/>
      <c r="AH89">
        <f>HLOOKUP(AI89,$AP$1:$AV$2,2,0)</f>
        <v>2</v>
      </c>
      <c r="AI89" t="str">
        <f>Translate!$A$107</f>
        <v>Mob/demob</v>
      </c>
      <c r="AJ89" s="49">
        <f>R89</f>
        <v>0</v>
      </c>
      <c r="AL89" s="379">
        <f>VLOOKUP(D89,EFtable,8,0)*R89</f>
        <v>0</v>
      </c>
      <c r="AN89">
        <f>ROW(F90)-ROW(F88)</f>
        <v>2</v>
      </c>
      <c r="AO89" s="49">
        <f>AJ89</f>
        <v>0</v>
      </c>
    </row>
    <row r="90" spans="1:41" ht="5.0999999999999996" customHeight="1">
      <c r="A90" s="288"/>
      <c r="C90" s="303"/>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5"/>
    </row>
    <row r="91" spans="1:41">
      <c r="A91" s="288"/>
    </row>
    <row r="92" spans="1:41" ht="20.25">
      <c r="A92" s="288"/>
      <c r="B92" s="288"/>
      <c r="C92" s="288"/>
      <c r="D92" s="289"/>
      <c r="E92" s="288"/>
      <c r="F92" s="288"/>
      <c r="G92" s="288"/>
      <c r="H92" s="288"/>
      <c r="I92" s="288"/>
      <c r="J92" s="288"/>
      <c r="K92" s="288"/>
      <c r="L92" s="288"/>
      <c r="M92" s="288"/>
      <c r="N92" s="288"/>
      <c r="O92" s="288"/>
      <c r="P92" s="288"/>
      <c r="Q92" s="288"/>
      <c r="R92" s="288"/>
      <c r="S92" s="288"/>
      <c r="T92" s="288"/>
      <c r="U92" s="288"/>
      <c r="V92" s="288"/>
      <c r="W92" s="288"/>
      <c r="X92" s="288"/>
      <c r="Y92" s="288"/>
      <c r="Z92" s="288"/>
      <c r="AA92" s="288"/>
      <c r="AB92" s="288"/>
      <c r="AC92" s="288"/>
      <c r="AD92" s="288"/>
      <c r="AE92" s="288"/>
    </row>
    <row r="94" spans="1:41" ht="20.25">
      <c r="A94" s="17"/>
      <c r="B94" s="17"/>
      <c r="C94" s="17"/>
      <c r="D94" s="18" t="str">
        <f>AT11</f>
        <v>People's transportation    (Secondary source)</v>
      </c>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row>
    <row r="95" spans="1:41" ht="9.75" customHeight="1">
      <c r="A95" s="17"/>
    </row>
    <row r="96" spans="1:41" ht="6" customHeight="1">
      <c r="A96" s="17"/>
      <c r="C96" s="63"/>
      <c r="D96" s="64"/>
      <c r="E96" s="65"/>
      <c r="F96" s="65"/>
      <c r="G96" s="65"/>
      <c r="H96" s="65"/>
      <c r="I96" s="65"/>
      <c r="J96" s="65"/>
      <c r="K96" s="65"/>
      <c r="L96" s="65"/>
      <c r="M96" s="65"/>
      <c r="N96" s="65"/>
      <c r="O96" s="65"/>
      <c r="P96" s="65"/>
      <c r="Q96" s="65"/>
      <c r="R96" s="65"/>
      <c r="S96" s="65"/>
      <c r="T96" s="65"/>
      <c r="U96" s="65"/>
      <c r="V96" s="65"/>
      <c r="W96" s="65"/>
      <c r="X96" s="65"/>
      <c r="Y96" s="65"/>
      <c r="Z96" s="65"/>
      <c r="AA96" s="65"/>
      <c r="AB96" s="65"/>
      <c r="AC96" s="65"/>
      <c r="AD96" s="65"/>
      <c r="AE96" s="66"/>
    </row>
    <row r="97" spans="1:41" ht="47.1" customHeight="1">
      <c r="A97" s="17"/>
      <c r="C97" s="45"/>
      <c r="D97" s="698" t="str">
        <f>Translate!$A$82</f>
        <v>Coming by</v>
      </c>
      <c r="E97" s="697" t="str">
        <f>Translate!$A$93</f>
        <v>Number of roundtrips</v>
      </c>
      <c r="F97" s="787" t="str">
        <f>Translate!$A$100</f>
        <v>every X day(s)</v>
      </c>
      <c r="G97" s="787"/>
      <c r="H97" s="787"/>
      <c r="I97" s="67"/>
      <c r="J97" s="67"/>
      <c r="K97" s="67"/>
      <c r="L97" s="696" t="str">
        <f>Translate!$A$113&amp;"
("&amp;'Emission factors'!$F$410&amp;Translate!$A$114&amp;")"</f>
        <v>Average distance
(km one way)</v>
      </c>
      <c r="M97" s="67"/>
      <c r="N97" s="67"/>
      <c r="O97" s="67"/>
      <c r="P97" s="67"/>
      <c r="Q97" s="67"/>
      <c r="R97" s="67"/>
      <c r="S97" s="67"/>
      <c r="T97" s="67"/>
      <c r="U97" s="67"/>
      <c r="V97" s="67"/>
      <c r="W97" s="67"/>
      <c r="X97" s="67"/>
      <c r="Y97" s="67"/>
      <c r="Z97" s="67"/>
      <c r="AA97" s="67"/>
      <c r="AB97" s="67"/>
      <c r="AC97" s="67"/>
      <c r="AD97" s="67"/>
      <c r="AE97" s="68"/>
    </row>
    <row r="98" spans="1:41" ht="3.75" customHeight="1">
      <c r="A98" s="17"/>
      <c r="C98" s="45"/>
      <c r="D98" s="64"/>
      <c r="E98" s="65"/>
      <c r="F98" s="65"/>
      <c r="G98" s="65"/>
      <c r="H98" s="65"/>
      <c r="I98" s="65"/>
      <c r="J98" s="65"/>
      <c r="K98" s="65"/>
      <c r="L98" s="65"/>
      <c r="M98" s="67"/>
      <c r="N98" s="67"/>
      <c r="O98" s="67"/>
      <c r="P98" s="67"/>
      <c r="Q98" s="67"/>
      <c r="R98" s="67"/>
      <c r="S98" s="67"/>
      <c r="T98" s="67"/>
      <c r="U98" s="67"/>
      <c r="V98" s="67"/>
      <c r="W98" s="67"/>
      <c r="X98" s="67"/>
      <c r="Y98" s="67"/>
      <c r="Z98" s="67"/>
      <c r="AA98" s="67"/>
      <c r="AB98" s="67"/>
      <c r="AC98" s="67"/>
      <c r="AD98" s="67"/>
      <c r="AE98" s="68"/>
    </row>
    <row r="99" spans="1:41" ht="15.75">
      <c r="A99" s="17"/>
      <c r="C99" s="551" t="s">
        <v>316</v>
      </c>
      <c r="D99" s="705" t="str">
        <f>Translate!$A$217</f>
        <v>Car</v>
      </c>
      <c r="E99" s="480">
        <f>$E$10</f>
        <v>0</v>
      </c>
      <c r="F99" s="788">
        <v>1</v>
      </c>
      <c r="G99" s="789"/>
      <c r="H99" s="790"/>
      <c r="I99" s="44">
        <f>L99*E99*$E$9*2/F99</f>
        <v>0</v>
      </c>
      <c r="J99" s="43" t="str">
        <f>VLOOKUP(D99,EFtable,2,0)</f>
        <v>vkm</v>
      </c>
      <c r="K99" s="50">
        <f>VLOOKUP(D99,EFtable,3,0)</f>
        <v>0.21470999999999998</v>
      </c>
      <c r="L99" s="547">
        <v>50</v>
      </c>
      <c r="M99" s="67"/>
      <c r="N99" s="67"/>
      <c r="O99" s="67"/>
      <c r="P99" s="42">
        <f>I99*K99</f>
        <v>0</v>
      </c>
      <c r="Q99" s="43" t="str">
        <f>Translate!$A$102</f>
        <v>kgCO2e</v>
      </c>
      <c r="R99" s="67"/>
      <c r="S99" s="67"/>
      <c r="T99" s="67"/>
      <c r="U99" s="67"/>
      <c r="V99" s="67"/>
      <c r="W99" s="67"/>
      <c r="X99" s="67"/>
      <c r="Y99" s="67"/>
      <c r="Z99" s="67"/>
      <c r="AA99" s="67"/>
      <c r="AB99" s="67"/>
      <c r="AC99" s="67"/>
      <c r="AD99" s="67"/>
      <c r="AE99" s="68"/>
      <c r="AH99">
        <f>HLOOKUP(AI99,$AP$1:$AV$2,2,0)</f>
        <v>2</v>
      </c>
      <c r="AI99" t="str">
        <f>Translate!$A$108</f>
        <v>People's transportation</v>
      </c>
      <c r="AJ99" s="49">
        <f>P99</f>
        <v>0</v>
      </c>
      <c r="AL99" s="379">
        <f>VLOOKUP(D99,EFtable,8,0)*P99</f>
        <v>0</v>
      </c>
      <c r="AN99">
        <v>2</v>
      </c>
      <c r="AO99" s="49">
        <f>AJ99</f>
        <v>0</v>
      </c>
    </row>
    <row r="100" spans="1:41" ht="3.75" hidden="1" customHeight="1">
      <c r="A100" s="17"/>
      <c r="C100" s="63"/>
      <c r="D100" s="64"/>
      <c r="E100" s="65"/>
      <c r="F100" s="65"/>
      <c r="G100" s="65"/>
      <c r="H100" s="65"/>
      <c r="I100" s="65"/>
      <c r="J100" s="65"/>
      <c r="K100" s="65"/>
      <c r="L100" s="65"/>
      <c r="M100" s="67"/>
      <c r="N100" s="67"/>
      <c r="O100" s="67"/>
      <c r="P100" s="67"/>
      <c r="Q100" s="67"/>
      <c r="R100" s="67"/>
      <c r="S100" s="67"/>
      <c r="T100" s="67"/>
      <c r="U100" s="67"/>
      <c r="V100" s="67"/>
      <c r="W100" s="67"/>
      <c r="X100" s="67"/>
      <c r="Y100" s="67"/>
      <c r="Z100" s="67"/>
      <c r="AA100" s="67"/>
      <c r="AB100" s="67"/>
      <c r="AC100" s="67"/>
      <c r="AD100" s="67"/>
      <c r="AE100" s="68"/>
    </row>
    <row r="101" spans="1:41" ht="3.75" hidden="1" customHeight="1"/>
    <row r="102" spans="1:41" ht="3.75" customHeight="1">
      <c r="A102" s="17"/>
      <c r="C102" s="45"/>
      <c r="D102" s="559"/>
      <c r="E102" s="67"/>
      <c r="F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8"/>
    </row>
    <row r="103" spans="1:41" ht="15.75">
      <c r="A103" s="17"/>
      <c r="C103" s="551" t="s">
        <v>316</v>
      </c>
      <c r="D103" s="468" t="str">
        <f>Translate!$A$216</f>
        <v>Bus</v>
      </c>
      <c r="E103" s="481"/>
      <c r="F103" s="771">
        <v>1</v>
      </c>
      <c r="G103" s="771"/>
      <c r="H103" s="771"/>
      <c r="I103" s="44">
        <f>L103*E103*$E$9*2/F103</f>
        <v>0</v>
      </c>
      <c r="J103" s="43" t="str">
        <f>VLOOKUP(D103,EFtable,2,0)</f>
        <v>pkm</v>
      </c>
      <c r="K103" s="50">
        <f>VLOOKUP(D103,EFtable,3,0)</f>
        <v>0.12970999999999999</v>
      </c>
      <c r="L103" s="546">
        <v>50</v>
      </c>
      <c r="M103" s="67"/>
      <c r="N103" s="67"/>
      <c r="O103" s="67"/>
      <c r="P103" s="42">
        <f>I103*K103</f>
        <v>0</v>
      </c>
      <c r="Q103" s="43" t="str">
        <f>Translate!$A$102</f>
        <v>kgCO2e</v>
      </c>
      <c r="R103" s="67"/>
      <c r="S103" s="67"/>
      <c r="T103" s="67"/>
      <c r="U103" s="67"/>
      <c r="V103" s="67"/>
      <c r="W103" s="67"/>
      <c r="X103" s="67"/>
      <c r="Y103" s="67"/>
      <c r="Z103" s="67"/>
      <c r="AA103" s="67"/>
      <c r="AB103" s="67"/>
      <c r="AC103" s="67"/>
      <c r="AD103" s="67"/>
      <c r="AE103" s="68"/>
      <c r="AH103">
        <f>HLOOKUP(AI103,$AP$1:$AV$2,2,0)</f>
        <v>2</v>
      </c>
      <c r="AI103" t="str">
        <f>Translate!$A$108</f>
        <v>People's transportation</v>
      </c>
      <c r="AJ103" s="49">
        <f>P103</f>
        <v>0</v>
      </c>
      <c r="AL103" s="379">
        <f>VLOOKUP(D103,EFtable,8,0)*P103</f>
        <v>0</v>
      </c>
      <c r="AN103">
        <v>2</v>
      </c>
      <c r="AO103" s="49">
        <f>AJ103</f>
        <v>0</v>
      </c>
    </row>
    <row r="104" spans="1:41" ht="3.75" hidden="1" customHeight="1">
      <c r="A104" s="17"/>
      <c r="C104" s="63"/>
      <c r="D104" s="64"/>
      <c r="E104" s="65"/>
      <c r="F104" s="65"/>
      <c r="G104" s="65"/>
      <c r="H104" s="65"/>
      <c r="I104" s="65"/>
      <c r="J104" s="65"/>
      <c r="K104" s="65"/>
      <c r="L104" s="65"/>
      <c r="M104" s="67"/>
      <c r="N104" s="67"/>
      <c r="O104" s="67"/>
      <c r="P104" s="67"/>
      <c r="Q104" s="67"/>
      <c r="R104" s="67"/>
      <c r="S104" s="67"/>
      <c r="T104" s="67"/>
      <c r="U104" s="67"/>
      <c r="V104" s="67"/>
      <c r="W104" s="67"/>
      <c r="X104" s="67"/>
      <c r="Y104" s="67"/>
      <c r="Z104" s="67"/>
      <c r="AA104" s="67"/>
      <c r="AB104" s="67"/>
      <c r="AC104" s="67"/>
      <c r="AD104" s="67"/>
      <c r="AE104" s="68"/>
    </row>
    <row r="105" spans="1:41" ht="3.75" hidden="1" customHeight="1"/>
    <row r="106" spans="1:41" ht="3.75" customHeight="1">
      <c r="A106" s="17"/>
      <c r="C106" s="45"/>
      <c r="D106" s="559"/>
      <c r="E106" s="67"/>
      <c r="F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8"/>
    </row>
    <row r="107" spans="1:41" ht="15.75">
      <c r="A107" s="17"/>
      <c r="C107" s="551" t="s">
        <v>316</v>
      </c>
      <c r="D107" s="468" t="str">
        <f>Translate!$A$218</f>
        <v>Train</v>
      </c>
      <c r="E107" s="481"/>
      <c r="F107" s="771">
        <v>5</v>
      </c>
      <c r="G107" s="771"/>
      <c r="H107" s="771"/>
      <c r="I107" s="44">
        <f>L107*E107*$E$9*2/F107</f>
        <v>0</v>
      </c>
      <c r="J107" s="43" t="str">
        <f>VLOOKUP(D107,EFtable,2,0)</f>
        <v>pkm</v>
      </c>
      <c r="K107" s="50">
        <f>VLOOKUP(D107,EFtable,3,0)</f>
        <v>4.9049999999999996E-2</v>
      </c>
      <c r="L107" s="546">
        <v>300</v>
      </c>
      <c r="M107" s="67"/>
      <c r="N107" s="67"/>
      <c r="O107" s="67"/>
      <c r="P107" s="42">
        <f>I107*K107</f>
        <v>0</v>
      </c>
      <c r="Q107" s="43" t="str">
        <f>Translate!$A$102</f>
        <v>kgCO2e</v>
      </c>
      <c r="R107" s="67"/>
      <c r="S107" s="67"/>
      <c r="T107" s="67"/>
      <c r="U107" s="67"/>
      <c r="V107" s="67"/>
      <c r="W107" s="67"/>
      <c r="X107" s="67"/>
      <c r="Y107" s="67"/>
      <c r="Z107" s="67"/>
      <c r="AA107" s="67"/>
      <c r="AB107" s="67"/>
      <c r="AC107" s="67"/>
      <c r="AD107" s="67"/>
      <c r="AE107" s="68"/>
      <c r="AH107">
        <f>HLOOKUP(AI107,$AP$1:$AV$2,2,0)</f>
        <v>2</v>
      </c>
      <c r="AI107" t="str">
        <f>Translate!$A$108</f>
        <v>People's transportation</v>
      </c>
      <c r="AJ107" s="49">
        <f>P107</f>
        <v>0</v>
      </c>
      <c r="AL107" s="379">
        <f>VLOOKUP(D107,EFtable,8,0)*P107</f>
        <v>0</v>
      </c>
      <c r="AN107">
        <v>2</v>
      </c>
      <c r="AO107" s="49">
        <f>AJ107</f>
        <v>0</v>
      </c>
    </row>
    <row r="108" spans="1:41" ht="3.75" hidden="1" customHeight="1">
      <c r="A108" s="17"/>
      <c r="C108" s="69"/>
      <c r="D108" s="70"/>
      <c r="E108" s="71"/>
      <c r="F108" s="71"/>
      <c r="G108" s="71"/>
      <c r="H108" s="71"/>
      <c r="I108" s="71"/>
      <c r="J108" s="71"/>
      <c r="K108" s="71"/>
      <c r="L108" s="71"/>
      <c r="M108" s="71"/>
      <c r="N108" s="71"/>
      <c r="O108" s="71"/>
      <c r="P108" s="71"/>
      <c r="Q108" s="71"/>
      <c r="R108" s="71"/>
      <c r="S108" s="71"/>
      <c r="T108" s="71"/>
      <c r="U108" s="71"/>
      <c r="V108" s="71"/>
      <c r="W108" s="71"/>
      <c r="X108" s="71"/>
      <c r="Y108" s="71"/>
      <c r="Z108" s="71"/>
      <c r="AA108" s="71"/>
      <c r="AB108" s="71"/>
      <c r="AC108" s="71"/>
      <c r="AD108" s="71"/>
      <c r="AE108" s="72"/>
    </row>
    <row r="109" spans="1:41" ht="3.75" hidden="1" customHeight="1"/>
    <row r="110" spans="1:41" ht="3.75" customHeight="1">
      <c r="A110" s="17"/>
      <c r="C110" s="69"/>
      <c r="D110" s="70"/>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2"/>
    </row>
    <row r="111" spans="1:41">
      <c r="A111" s="17"/>
    </row>
    <row r="112" spans="1:41" ht="6" customHeight="1">
      <c r="A112" s="17"/>
      <c r="C112" s="63"/>
      <c r="D112" s="64"/>
      <c r="E112" s="65"/>
      <c r="F112" s="65"/>
      <c r="G112" s="65"/>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6"/>
    </row>
    <row r="113" spans="1:41" ht="15.75">
      <c r="A113" s="17"/>
      <c r="B113" s="551" t="s">
        <v>316</v>
      </c>
      <c r="C113" s="45"/>
      <c r="D113" s="468" t="str">
        <f>Translate!$A$218</f>
        <v>Train</v>
      </c>
      <c r="E113" s="465"/>
      <c r="F113" s="386" t="str">
        <f>VLOOKUP(D113,EFtable,2,0)</f>
        <v>pkm</v>
      </c>
      <c r="G113" s="67"/>
      <c r="H113" s="67"/>
      <c r="I113" s="67"/>
      <c r="J113" s="67"/>
      <c r="K113" s="51">
        <f>VLOOKUP(D113,EFtable,3,0)</f>
        <v>4.9049999999999996E-2</v>
      </c>
      <c r="L113" s="42">
        <f>E113*K113</f>
        <v>0</v>
      </c>
      <c r="M113" s="43" t="str">
        <f>Translate!$A$102</f>
        <v>kgCO2e</v>
      </c>
      <c r="N113" s="67"/>
      <c r="O113" s="67"/>
      <c r="P113" s="67"/>
      <c r="Q113" s="67"/>
      <c r="R113" s="67"/>
      <c r="S113" s="67"/>
      <c r="T113" s="67"/>
      <c r="U113" s="67"/>
      <c r="V113" s="67"/>
      <c r="W113" s="67"/>
      <c r="X113" s="67"/>
      <c r="Y113" s="67"/>
      <c r="Z113" s="67"/>
      <c r="AA113" s="67"/>
      <c r="AB113" s="67"/>
      <c r="AC113" s="67"/>
      <c r="AD113" s="67"/>
      <c r="AE113" s="68"/>
      <c r="AH113">
        <f>HLOOKUP(AI113,$AP$1:$AV$2,2,0)</f>
        <v>2</v>
      </c>
      <c r="AI113" t="str">
        <f>Translate!$A$108</f>
        <v>People's transportation</v>
      </c>
      <c r="AJ113" s="49">
        <f>L113</f>
        <v>0</v>
      </c>
      <c r="AL113" s="379">
        <f>VLOOKUP(D113,EFtable,8,0)*L113</f>
        <v>0</v>
      </c>
      <c r="AN113">
        <f>ROW(F114)-ROW(F112)</f>
        <v>2</v>
      </c>
      <c r="AO113" s="49">
        <f>AJ113</f>
        <v>0</v>
      </c>
    </row>
    <row r="114" spans="1:41" ht="5.0999999999999996" customHeight="1">
      <c r="A114" s="17"/>
      <c r="C114" s="69"/>
      <c r="D114" s="70"/>
      <c r="E114" s="71"/>
      <c r="F114" s="71"/>
      <c r="G114" s="71"/>
      <c r="H114" s="71"/>
      <c r="I114" s="71"/>
      <c r="J114" s="71"/>
      <c r="K114" s="71"/>
      <c r="L114" s="71"/>
      <c r="M114" s="71"/>
      <c r="N114" s="71"/>
      <c r="O114" s="71"/>
      <c r="P114" s="71"/>
      <c r="Q114" s="71"/>
      <c r="R114" s="71"/>
      <c r="S114" s="71"/>
      <c r="T114" s="71"/>
      <c r="U114" s="71"/>
      <c r="V114" s="71"/>
      <c r="W114" s="71"/>
      <c r="X114" s="71"/>
      <c r="Y114" s="71"/>
      <c r="Z114" s="71"/>
      <c r="AA114" s="71"/>
      <c r="AB114" s="71"/>
      <c r="AC114" s="71"/>
      <c r="AD114" s="71"/>
      <c r="AE114" s="72"/>
    </row>
    <row r="115" spans="1:41">
      <c r="A115" s="17"/>
    </row>
    <row r="116" spans="1:41" ht="20.25">
      <c r="A116" s="17"/>
      <c r="B116" s="17"/>
      <c r="C116" s="17"/>
      <c r="D116" s="18"/>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row>
    <row r="118" spans="1:41" ht="20.25">
      <c r="A118" s="73"/>
      <c r="B118" s="73"/>
      <c r="C118" s="73"/>
      <c r="D118" s="74" t="str">
        <f>AU11</f>
        <v>Assets    (Secondary source)</v>
      </c>
      <c r="E118" s="73"/>
      <c r="F118" s="73"/>
      <c r="G118" s="73"/>
      <c r="H118" s="73"/>
      <c r="I118" s="73"/>
      <c r="J118" s="73"/>
      <c r="K118" s="73"/>
      <c r="L118" s="73"/>
      <c r="M118" s="73"/>
      <c r="N118" s="73"/>
      <c r="O118" s="73"/>
      <c r="P118" s="73"/>
      <c r="Q118" s="73"/>
      <c r="R118" s="73"/>
      <c r="S118" s="73"/>
      <c r="T118" s="73"/>
      <c r="U118" s="73"/>
      <c r="V118" s="73"/>
      <c r="W118" s="73"/>
      <c r="X118" s="73"/>
      <c r="Y118" s="73"/>
      <c r="Z118" s="73"/>
      <c r="AA118" s="73"/>
      <c r="AB118" s="73"/>
      <c r="AC118" s="73"/>
      <c r="AD118" s="73"/>
      <c r="AE118" s="73"/>
    </row>
    <row r="119" spans="1:41">
      <c r="A119" s="73"/>
    </row>
    <row r="120" spans="1:41" ht="6" customHeight="1">
      <c r="A120" s="73"/>
      <c r="C120" s="85"/>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76"/>
      <c r="AC120" s="76"/>
      <c r="AD120" s="76"/>
      <c r="AE120" s="77"/>
    </row>
    <row r="121" spans="1:41" ht="15.75">
      <c r="A121" s="73"/>
      <c r="C121" s="86"/>
      <c r="D121" s="75" t="str">
        <f>Translate!$A$80</f>
        <v>Simplified ratio</v>
      </c>
      <c r="E121" s="490">
        <f ca="1">IF(AND(AU5,F121=Translate!$A$91),AU4,Translate!$A$92)</f>
        <v>4.377484024657128E-3</v>
      </c>
      <c r="F121" s="545" t="str">
        <f>Translate!$A$91</f>
        <v>Default</v>
      </c>
      <c r="G121" s="78"/>
      <c r="H121" s="78"/>
      <c r="I121" s="78"/>
      <c r="J121" s="78"/>
      <c r="K121" s="79">
        <f ca="1">$P$1</f>
        <v>0</v>
      </c>
      <c r="L121" s="79">
        <f ca="1">IF(E121=Translate!$A$92,0,E121*K121)</f>
        <v>0</v>
      </c>
      <c r="M121" s="80" t="str">
        <f>Translate!$A$102</f>
        <v>kgCO2e</v>
      </c>
      <c r="N121" s="78"/>
      <c r="O121" s="78"/>
      <c r="P121" s="78"/>
      <c r="Q121" s="78"/>
      <c r="R121" s="78"/>
      <c r="S121" s="78"/>
      <c r="T121" s="78"/>
      <c r="U121" s="78"/>
      <c r="V121" s="78"/>
      <c r="W121" s="78"/>
      <c r="X121" s="78"/>
      <c r="Y121" s="78"/>
      <c r="Z121" s="78"/>
      <c r="AA121" s="78"/>
      <c r="AB121" s="78"/>
      <c r="AC121" s="78"/>
      <c r="AD121" s="78"/>
      <c r="AE121" s="81"/>
      <c r="AG121" t="s">
        <v>70</v>
      </c>
      <c r="AH121">
        <f>HLOOKUP(AI121,$AP$1:$AV$2,2,0)</f>
        <v>2</v>
      </c>
      <c r="AI121" t="str">
        <f>Translate!$A$109</f>
        <v>Assets</v>
      </c>
      <c r="AJ121" s="49">
        <f ca="1">L121</f>
        <v>0</v>
      </c>
      <c r="AL121" s="379">
        <f ca="1">100%*L121</f>
        <v>0</v>
      </c>
      <c r="AO121" s="49"/>
    </row>
    <row r="122" spans="1:41" ht="5.0999999999999996" customHeight="1">
      <c r="A122" s="73"/>
      <c r="C122" s="84"/>
      <c r="D122" s="82"/>
      <c r="E122" s="82"/>
      <c r="F122" s="82"/>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3"/>
    </row>
    <row r="123" spans="1:41" ht="9.75" customHeight="1">
      <c r="A123" s="73"/>
    </row>
    <row r="124" spans="1:41" ht="6" customHeight="1">
      <c r="A124" s="73"/>
      <c r="C124" s="85"/>
      <c r="D124" s="76"/>
      <c r="E124" s="76"/>
      <c r="F124" s="76"/>
      <c r="G124" s="76"/>
      <c r="H124" s="76"/>
      <c r="I124" s="76"/>
      <c r="J124" s="76"/>
      <c r="K124" s="76"/>
      <c r="L124" s="76"/>
      <c r="M124" s="76"/>
      <c r="N124" s="76"/>
      <c r="O124" s="76"/>
      <c r="P124" s="76"/>
      <c r="Q124" s="76"/>
      <c r="R124" s="76"/>
      <c r="S124" s="76"/>
      <c r="T124" s="76"/>
      <c r="U124" s="76"/>
      <c r="V124" s="76"/>
      <c r="W124" s="76"/>
      <c r="X124" s="76"/>
      <c r="Y124" s="76"/>
      <c r="Z124" s="76"/>
      <c r="AA124" s="76"/>
      <c r="AB124" s="76"/>
      <c r="AC124" s="76"/>
      <c r="AD124" s="76"/>
      <c r="AE124" s="77"/>
    </row>
    <row r="125" spans="1:41" ht="15.75">
      <c r="A125" s="73"/>
      <c r="B125" s="551" t="s">
        <v>316</v>
      </c>
      <c r="C125" s="86"/>
      <c r="D125" s="468" t="str">
        <f>Translate!$A$222</f>
        <v>Machines</v>
      </c>
      <c r="E125" s="465"/>
      <c r="F125" s="87" t="str">
        <f>VLOOKUP(D125,EFtable,2,0)</f>
        <v>t</v>
      </c>
      <c r="G125" s="78"/>
      <c r="H125" s="78"/>
      <c r="I125" s="149">
        <f>E125*U125/(Z125*R125)</f>
        <v>0</v>
      </c>
      <c r="J125" s="80" t="str">
        <f>VLOOKUP(D125,EFtable,2,0)</f>
        <v>t</v>
      </c>
      <c r="K125" s="149">
        <f>VLOOKUP(D125,EFtable,3,0)</f>
        <v>3666.6666666666665</v>
      </c>
      <c r="L125" s="79">
        <f>I125*K125</f>
        <v>0</v>
      </c>
      <c r="M125" s="80" t="str">
        <f>Translate!$A$102</f>
        <v>kgCO2e</v>
      </c>
      <c r="N125" s="78"/>
      <c r="O125" s="78"/>
      <c r="P125" s="658" t="str">
        <f>Translate!$A$116</f>
        <v>Lifetime</v>
      </c>
      <c r="Q125" s="384"/>
      <c r="R125" s="482">
        <v>10</v>
      </c>
      <c r="S125" s="385" t="str">
        <f>Translate!$A$121</f>
        <v>years</v>
      </c>
      <c r="T125" s="75" t="str">
        <f>Translate!$A$126</f>
        <v>Use time</v>
      </c>
      <c r="U125" s="483">
        <f>$E$9</f>
        <v>0</v>
      </c>
      <c r="V125" s="75" t="str">
        <f>Translate!$A$129</f>
        <v>days</v>
      </c>
      <c r="W125" s="384"/>
      <c r="X125" s="659" t="str">
        <f>Translate!$A$67</f>
        <v>Working days</v>
      </c>
      <c r="Y125" s="660"/>
      <c r="Z125" s="661">
        <v>150</v>
      </c>
      <c r="AA125" s="662" t="str">
        <f>Translate!$A$129&amp;" / "&amp;Translate!$A$122</f>
        <v>days / year</v>
      </c>
      <c r="AB125" s="78"/>
      <c r="AC125" s="78"/>
      <c r="AD125" s="78"/>
      <c r="AE125" s="81"/>
      <c r="AH125">
        <f>HLOOKUP(AI125,$AP$1:$AV$2,2,0)</f>
        <v>2</v>
      </c>
      <c r="AI125" t="str">
        <f>Translate!$A$109</f>
        <v>Assets</v>
      </c>
      <c r="AJ125" s="49">
        <f>L125</f>
        <v>0</v>
      </c>
      <c r="AL125" s="379">
        <f>VLOOKUP("Machines",EFtable,8,0)*L125</f>
        <v>0</v>
      </c>
      <c r="AN125">
        <f>ROW(F126)-ROW(F124)</f>
        <v>2</v>
      </c>
      <c r="AO125" s="49">
        <f>AJ125</f>
        <v>0</v>
      </c>
    </row>
    <row r="126" spans="1:41" ht="5.0999999999999996" customHeight="1">
      <c r="A126" s="73"/>
      <c r="C126" s="84"/>
      <c r="D126" s="82"/>
      <c r="E126" s="82"/>
      <c r="F126" s="8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3"/>
    </row>
    <row r="127" spans="1:41">
      <c r="A127" s="73"/>
    </row>
    <row r="128" spans="1:41" ht="20.25">
      <c r="A128" s="73"/>
      <c r="B128" s="73"/>
      <c r="C128" s="73"/>
      <c r="D128" s="74"/>
      <c r="E128" s="73"/>
      <c r="F128" s="73"/>
      <c r="G128" s="73"/>
      <c r="H128" s="73"/>
      <c r="I128" s="73"/>
      <c r="J128" s="73"/>
      <c r="K128" s="73"/>
      <c r="L128" s="73"/>
      <c r="M128" s="73"/>
      <c r="N128" s="73"/>
      <c r="O128" s="73"/>
      <c r="P128" s="73"/>
      <c r="Q128" s="73"/>
      <c r="R128" s="73"/>
      <c r="S128" s="73"/>
      <c r="T128" s="73"/>
      <c r="U128" s="73"/>
      <c r="V128" s="73"/>
      <c r="W128" s="73"/>
      <c r="X128" s="73"/>
      <c r="Y128" s="73"/>
      <c r="Z128" s="73"/>
      <c r="AA128" s="73"/>
      <c r="AB128" s="73"/>
      <c r="AC128" s="73"/>
      <c r="AD128" s="73"/>
      <c r="AE128" s="73"/>
    </row>
    <row r="130" spans="1:41" ht="20.25">
      <c r="A130" s="249"/>
      <c r="B130" s="249"/>
      <c r="C130" s="249"/>
      <c r="D130" s="250" t="str">
        <f>AV11</f>
        <v>Waste    (Secondary source)</v>
      </c>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c r="AA130" s="249"/>
      <c r="AB130" s="249"/>
      <c r="AC130" s="249"/>
      <c r="AD130" s="249"/>
      <c r="AE130" s="249"/>
    </row>
    <row r="131" spans="1:41">
      <c r="A131" s="249"/>
    </row>
    <row r="132" spans="1:41" ht="6" customHeight="1">
      <c r="A132" s="249"/>
      <c r="C132" s="252"/>
      <c r="D132" s="253"/>
      <c r="E132" s="253"/>
      <c r="F132" s="253"/>
      <c r="G132" s="253"/>
      <c r="H132" s="253"/>
      <c r="I132" s="253"/>
      <c r="J132" s="253"/>
      <c r="K132" s="253"/>
      <c r="L132" s="253"/>
      <c r="M132" s="253"/>
      <c r="N132" s="253"/>
      <c r="O132" s="253"/>
      <c r="P132" s="253"/>
      <c r="Q132" s="253"/>
      <c r="R132" s="253"/>
      <c r="S132" s="253"/>
      <c r="T132" s="253"/>
      <c r="U132" s="253"/>
      <c r="V132" s="253"/>
      <c r="W132" s="253"/>
      <c r="X132" s="253"/>
      <c r="Y132" s="253"/>
      <c r="Z132" s="253"/>
      <c r="AA132" s="253"/>
      <c r="AB132" s="253"/>
      <c r="AC132" s="253"/>
      <c r="AD132" s="253"/>
      <c r="AE132" s="254"/>
    </row>
    <row r="133" spans="1:41" ht="15.75">
      <c r="A133" s="249"/>
      <c r="C133" s="255"/>
      <c r="D133" s="251" t="str">
        <f>Translate!$A$80</f>
        <v>Simplified ratio</v>
      </c>
      <c r="E133" s="491">
        <f ca="1">IF(AND(AV5,F133=Translate!$A$91),AV4,Translate!$A$92)</f>
        <v>2.6591480192145979E-3</v>
      </c>
      <c r="F133" s="544" t="str">
        <f>Translate!$A$91</f>
        <v>Default</v>
      </c>
      <c r="G133" s="259"/>
      <c r="H133" s="259"/>
      <c r="I133" s="259"/>
      <c r="J133" s="259"/>
      <c r="K133" s="261">
        <f ca="1">$P$1</f>
        <v>0</v>
      </c>
      <c r="L133" s="261">
        <f ca="1">IF(E133=Translate!$A$92,0,E133*K133)</f>
        <v>0</v>
      </c>
      <c r="M133" s="262" t="str">
        <f>Translate!$A$102</f>
        <v>kgCO2e</v>
      </c>
      <c r="N133" s="259"/>
      <c r="O133" s="259"/>
      <c r="P133" s="259"/>
      <c r="Q133" s="259"/>
      <c r="R133" s="259"/>
      <c r="S133" s="259"/>
      <c r="T133" s="259"/>
      <c r="U133" s="259"/>
      <c r="V133" s="259"/>
      <c r="W133" s="259"/>
      <c r="X133" s="259"/>
      <c r="Y133" s="259"/>
      <c r="Z133" s="259"/>
      <c r="AA133" s="259"/>
      <c r="AB133" s="259"/>
      <c r="AC133" s="259"/>
      <c r="AD133" s="259"/>
      <c r="AE133" s="260"/>
      <c r="AG133" t="s">
        <v>70</v>
      </c>
      <c r="AH133">
        <f>HLOOKUP(AI133,$AP$1:$AV$2,2,0)</f>
        <v>2</v>
      </c>
      <c r="AI133" t="str">
        <f>Translate!$A$110</f>
        <v>Waste</v>
      </c>
      <c r="AJ133" s="49">
        <f ca="1">L133</f>
        <v>0</v>
      </c>
      <c r="AL133" s="379">
        <f ca="1">100%*L133</f>
        <v>0</v>
      </c>
      <c r="AO133" s="49"/>
    </row>
    <row r="134" spans="1:41" ht="5.0999999999999996" customHeight="1">
      <c r="A134" s="249"/>
      <c r="C134" s="256"/>
      <c r="D134" s="257"/>
      <c r="E134" s="257"/>
      <c r="F134" s="257"/>
      <c r="G134" s="257"/>
      <c r="H134" s="257"/>
      <c r="I134" s="257"/>
      <c r="J134" s="257"/>
      <c r="K134" s="257"/>
      <c r="L134" s="257"/>
      <c r="M134" s="257"/>
      <c r="N134" s="257"/>
      <c r="O134" s="257"/>
      <c r="P134" s="257"/>
      <c r="Q134" s="257"/>
      <c r="R134" s="257"/>
      <c r="S134" s="257"/>
      <c r="T134" s="257"/>
      <c r="U134" s="257"/>
      <c r="V134" s="257"/>
      <c r="W134" s="257"/>
      <c r="X134" s="257"/>
      <c r="Y134" s="257"/>
      <c r="Z134" s="257"/>
      <c r="AA134" s="257"/>
      <c r="AB134" s="257"/>
      <c r="AC134" s="257"/>
      <c r="AD134" s="257"/>
      <c r="AE134" s="258"/>
    </row>
    <row r="135" spans="1:41" ht="9.75" customHeight="1">
      <c r="A135" s="249"/>
    </row>
    <row r="136" spans="1:41" ht="6" customHeight="1">
      <c r="A136" s="249"/>
      <c r="C136" s="252"/>
      <c r="D136" s="253"/>
      <c r="E136" s="253"/>
      <c r="F136" s="253"/>
      <c r="G136" s="253"/>
      <c r="H136" s="253"/>
      <c r="I136" s="253"/>
      <c r="J136" s="253"/>
      <c r="K136" s="253"/>
      <c r="L136" s="253"/>
      <c r="M136" s="253"/>
      <c r="N136" s="253"/>
      <c r="O136" s="253"/>
      <c r="P136" s="253"/>
      <c r="Q136" s="253"/>
      <c r="R136" s="253"/>
      <c r="S136" s="253"/>
      <c r="T136" s="253"/>
      <c r="U136" s="253"/>
      <c r="V136" s="253"/>
      <c r="W136" s="253"/>
      <c r="X136" s="253"/>
      <c r="Y136" s="253"/>
      <c r="Z136" s="253"/>
      <c r="AA136" s="253"/>
      <c r="AB136" s="253"/>
      <c r="AC136" s="253"/>
      <c r="AD136" s="253"/>
      <c r="AE136" s="254"/>
    </row>
    <row r="137" spans="1:41" ht="15.75">
      <c r="A137" s="249"/>
      <c r="B137" s="551" t="s">
        <v>316</v>
      </c>
      <c r="C137" s="255"/>
      <c r="D137" s="468" t="str">
        <f>Translate!$A$84</f>
        <v>Waste 1</v>
      </c>
      <c r="E137" s="465"/>
      <c r="F137" s="264" t="str">
        <f>'Emission factors'!$F$411</f>
        <v>t</v>
      </c>
      <c r="G137" s="259"/>
      <c r="H137" s="259"/>
      <c r="I137" s="263">
        <f>Q137*X137*(1+AA137)</f>
        <v>0</v>
      </c>
      <c r="J137" s="262" t="str">
        <f>'Emission factors'!$F$410</f>
        <v>km</v>
      </c>
      <c r="K137" s="274">
        <f>VLOOKUP(T137,EFtable,3,0)</f>
        <v>0.98243999999999998</v>
      </c>
      <c r="L137" s="275">
        <f>I137*K137</f>
        <v>0</v>
      </c>
      <c r="M137" s="262" t="str">
        <f>Translate!$A$102</f>
        <v>kgCO2e</v>
      </c>
      <c r="N137" s="259"/>
      <c r="O137" s="259"/>
      <c r="P137" s="271" t="str">
        <f>Translate!$A$112</f>
        <v>Distance</v>
      </c>
      <c r="Q137" s="470">
        <v>10</v>
      </c>
      <c r="R137" s="272" t="str">
        <f>'Emission factors'!$F$410</f>
        <v>km</v>
      </c>
      <c r="S137" s="271" t="str">
        <f>Translate!$A$120</f>
        <v>Type</v>
      </c>
      <c r="T137" s="471" t="str">
        <f>Translate!$A$206</f>
        <v>Road - Rigid &gt;17t</v>
      </c>
      <c r="U137" s="271" t="str">
        <f>Translate!$A$127</f>
        <v>Load</v>
      </c>
      <c r="V137" s="484">
        <f>VLOOKUP(T137,'Emission factors'!$C$313:$E$329,2,0)</f>
        <v>7.5</v>
      </c>
      <c r="W137" s="264" t="str">
        <f>F137</f>
        <v>t</v>
      </c>
      <c r="X137" s="471">
        <f>IF(V137=0,0,ROUNDUP(E137/V137,0))</f>
        <v>0</v>
      </c>
      <c r="Y137" s="272" t="str">
        <f>Translate!$A$130</f>
        <v>travels</v>
      </c>
      <c r="Z137" s="273" t="str">
        <f>Translate!$A$128</f>
        <v>empty-return rate</v>
      </c>
      <c r="AA137" s="472">
        <v>0.5</v>
      </c>
      <c r="AB137" s="259"/>
      <c r="AC137" s="259"/>
      <c r="AD137" s="259"/>
      <c r="AE137" s="260"/>
      <c r="AH137">
        <f>HLOOKUP(AI137,$AP$1:$AV$2,2,0)</f>
        <v>2</v>
      </c>
      <c r="AI137" t="str">
        <f>Translate!$A$110</f>
        <v>Waste</v>
      </c>
      <c r="AJ137" s="49">
        <f>L137</f>
        <v>0</v>
      </c>
      <c r="AL137" s="379">
        <f>VLOOKUP(T137,EFtable,8,0)*L137</f>
        <v>0</v>
      </c>
      <c r="AN137">
        <f>ROW(F138)-ROW(F136)</f>
        <v>2</v>
      </c>
      <c r="AO137" s="49">
        <f>AJ137</f>
        <v>0</v>
      </c>
    </row>
    <row r="138" spans="1:41" ht="5.0999999999999996" customHeight="1">
      <c r="A138" s="249"/>
      <c r="C138" s="256"/>
      <c r="D138" s="257"/>
      <c r="E138" s="257"/>
      <c r="F138" s="257"/>
      <c r="G138" s="257"/>
      <c r="H138" s="257"/>
      <c r="I138" s="257"/>
      <c r="J138" s="257"/>
      <c r="K138" s="257"/>
      <c r="L138" s="257"/>
      <c r="M138" s="257"/>
      <c r="N138" s="257"/>
      <c r="O138" s="257"/>
      <c r="P138" s="257"/>
      <c r="Q138" s="257"/>
      <c r="R138" s="257"/>
      <c r="S138" s="257"/>
      <c r="T138" s="257"/>
      <c r="U138" s="257"/>
      <c r="V138" s="257"/>
      <c r="W138" s="257"/>
      <c r="X138" s="257"/>
      <c r="Y138" s="257"/>
      <c r="Z138" s="257"/>
      <c r="AA138" s="257"/>
      <c r="AB138" s="257"/>
      <c r="AC138" s="257"/>
      <c r="AD138" s="257"/>
      <c r="AE138" s="258"/>
    </row>
    <row r="139" spans="1:41">
      <c r="A139" s="249"/>
    </row>
    <row r="140" spans="1:41" ht="6" customHeight="1">
      <c r="A140" s="249"/>
      <c r="C140" s="252"/>
      <c r="D140" s="253"/>
      <c r="E140" s="253"/>
      <c r="F140" s="253"/>
      <c r="G140" s="253"/>
      <c r="H140" s="253"/>
      <c r="I140" s="253"/>
      <c r="J140" s="253"/>
      <c r="K140" s="253"/>
      <c r="L140" s="253"/>
      <c r="M140" s="253"/>
      <c r="N140" s="253"/>
      <c r="O140" s="253"/>
      <c r="P140" s="253"/>
      <c r="Q140" s="253"/>
      <c r="R140" s="253"/>
      <c r="S140" s="253"/>
      <c r="T140" s="253"/>
      <c r="U140" s="253"/>
      <c r="V140" s="253"/>
      <c r="W140" s="253"/>
      <c r="X140" s="253"/>
      <c r="Y140" s="253"/>
      <c r="Z140" s="253"/>
      <c r="AA140" s="253"/>
      <c r="AB140" s="253"/>
      <c r="AC140" s="253"/>
      <c r="AD140" s="253"/>
      <c r="AE140" s="254"/>
    </row>
    <row r="141" spans="1:41" ht="15.75">
      <c r="A141" s="249"/>
      <c r="B141" s="551" t="str">
        <f>Translate!$A$242</f>
        <v>-</v>
      </c>
      <c r="C141" s="255"/>
      <c r="D141" s="468" t="str">
        <f>Translate!$A$85</f>
        <v>Waste 2</v>
      </c>
      <c r="E141" s="465"/>
      <c r="F141" s="264" t="str">
        <f>'Emission factors'!$F$411</f>
        <v>t</v>
      </c>
      <c r="G141" s="259"/>
      <c r="H141" s="259"/>
      <c r="I141" s="263">
        <f>Q141*X141*(1+AA141)</f>
        <v>0</v>
      </c>
      <c r="J141" s="262" t="str">
        <f>'Emission factors'!$F$410</f>
        <v>km</v>
      </c>
      <c r="K141" s="274">
        <f>VLOOKUP(T141,EFtable,3,0)</f>
        <v>0.98243999999999998</v>
      </c>
      <c r="L141" s="275">
        <f>I141*K141</f>
        <v>0</v>
      </c>
      <c r="M141" s="262" t="str">
        <f>Translate!$A$102</f>
        <v>kgCO2e</v>
      </c>
      <c r="N141" s="259"/>
      <c r="O141" s="259"/>
      <c r="P141" s="271" t="str">
        <f>Translate!$A$112</f>
        <v>Distance</v>
      </c>
      <c r="Q141" s="470">
        <v>10</v>
      </c>
      <c r="R141" s="272" t="str">
        <f>'Emission factors'!$F$410</f>
        <v>km</v>
      </c>
      <c r="S141" s="271" t="str">
        <f>Translate!$A$120</f>
        <v>Type</v>
      </c>
      <c r="T141" s="471" t="str">
        <f>Translate!$A$206</f>
        <v>Road - Rigid &gt;17t</v>
      </c>
      <c r="U141" s="271" t="str">
        <f>Translate!$A$127</f>
        <v>Load</v>
      </c>
      <c r="V141" s="484">
        <f>VLOOKUP(T141,'Emission factors'!$C$313:$E$329,2,0)</f>
        <v>7.5</v>
      </c>
      <c r="W141" s="264" t="str">
        <f>F141</f>
        <v>t</v>
      </c>
      <c r="X141" s="471">
        <f>IF(V141=0,0,ROUNDUP(E141/V141,0))</f>
        <v>0</v>
      </c>
      <c r="Y141" s="272" t="str">
        <f>Translate!$A$130</f>
        <v>travels</v>
      </c>
      <c r="Z141" s="273" t="str">
        <f>Translate!$A$128</f>
        <v>empty-return rate</v>
      </c>
      <c r="AA141" s="472">
        <v>0.5</v>
      </c>
      <c r="AB141" s="259"/>
      <c r="AC141" s="259"/>
      <c r="AD141" s="259"/>
      <c r="AE141" s="260"/>
      <c r="AH141">
        <f>HLOOKUP(AI141,$AP$1:$AV$2,2,0)</f>
        <v>2</v>
      </c>
      <c r="AI141" t="str">
        <f>Translate!$A$110</f>
        <v>Waste</v>
      </c>
      <c r="AJ141" s="49">
        <f>L141</f>
        <v>0</v>
      </c>
      <c r="AL141" s="379">
        <f>VLOOKUP(T141,EFtable,8,0)*L141</f>
        <v>0</v>
      </c>
      <c r="AN141">
        <f>ROW(F142)-ROW(F140)</f>
        <v>2</v>
      </c>
      <c r="AO141" s="49">
        <f>AJ141</f>
        <v>0</v>
      </c>
    </row>
    <row r="142" spans="1:41" ht="5.0999999999999996" customHeight="1">
      <c r="A142" s="249"/>
      <c r="C142" s="256"/>
      <c r="D142" s="257"/>
      <c r="E142" s="257"/>
      <c r="F142" s="257"/>
      <c r="G142" s="257"/>
      <c r="H142" s="257"/>
      <c r="I142" s="257"/>
      <c r="J142" s="257"/>
      <c r="K142" s="257"/>
      <c r="L142" s="257"/>
      <c r="M142" s="257"/>
      <c r="N142" s="257"/>
      <c r="O142" s="257"/>
      <c r="P142" s="257"/>
      <c r="Q142" s="257"/>
      <c r="R142" s="257"/>
      <c r="S142" s="257"/>
      <c r="T142" s="257"/>
      <c r="U142" s="257"/>
      <c r="V142" s="257"/>
      <c r="W142" s="257"/>
      <c r="X142" s="257"/>
      <c r="Y142" s="257"/>
      <c r="Z142" s="257"/>
      <c r="AA142" s="257"/>
      <c r="AB142" s="257"/>
      <c r="AC142" s="257"/>
      <c r="AD142" s="257"/>
      <c r="AE142" s="258"/>
    </row>
    <row r="143" spans="1:41">
      <c r="A143" s="249"/>
    </row>
    <row r="144" spans="1:41" ht="20.25">
      <c r="A144" s="249"/>
      <c r="B144" s="249"/>
      <c r="C144" s="249"/>
      <c r="D144" s="250"/>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49"/>
      <c r="AB144" s="249"/>
      <c r="AC144" s="249"/>
      <c r="AD144" s="249"/>
      <c r="AE144" s="249"/>
    </row>
    <row r="146" spans="1:40" ht="20.25">
      <c r="A146" s="357"/>
      <c r="B146" s="357"/>
      <c r="C146" s="357"/>
      <c r="D146" s="358" t="str">
        <f>Translate!$A$86</f>
        <v>Externaly calculated emissions</v>
      </c>
      <c r="E146" s="357"/>
      <c r="F146" s="357"/>
      <c r="G146" s="357"/>
      <c r="H146" s="357"/>
      <c r="I146" s="357"/>
      <c r="J146" s="357"/>
      <c r="K146" s="357"/>
      <c r="L146" s="357"/>
      <c r="M146" s="357"/>
      <c r="N146" s="357"/>
      <c r="O146" s="357"/>
      <c r="P146" s="357"/>
      <c r="Q146" s="357"/>
      <c r="R146" s="357"/>
      <c r="S146" s="357"/>
      <c r="T146" s="357"/>
      <c r="U146" s="357"/>
      <c r="V146" s="357"/>
      <c r="W146" s="357"/>
      <c r="X146" s="357"/>
      <c r="Y146" s="357"/>
      <c r="Z146" s="357"/>
      <c r="AA146" s="357"/>
      <c r="AB146" s="357"/>
      <c r="AC146" s="357"/>
      <c r="AD146" s="357"/>
      <c r="AE146" s="357"/>
    </row>
    <row r="147" spans="1:40">
      <c r="A147" s="357"/>
    </row>
    <row r="148" spans="1:40" ht="6" customHeight="1">
      <c r="A148" s="357"/>
      <c r="C148" s="359"/>
      <c r="D148" s="362"/>
      <c r="E148" s="362"/>
      <c r="F148" s="362"/>
      <c r="G148" s="362"/>
      <c r="H148" s="362"/>
      <c r="I148" s="362"/>
      <c r="J148" s="362"/>
      <c r="K148" s="362"/>
      <c r="L148" s="362"/>
      <c r="M148" s="362"/>
      <c r="N148" s="362"/>
      <c r="O148" s="362"/>
      <c r="P148" s="362"/>
      <c r="Q148" s="362"/>
      <c r="R148" s="362"/>
      <c r="S148" s="362"/>
      <c r="T148" s="362"/>
      <c r="U148" s="362"/>
      <c r="V148" s="362"/>
      <c r="W148" s="362"/>
      <c r="X148" s="362"/>
      <c r="Y148" s="362"/>
      <c r="Z148" s="362"/>
      <c r="AA148" s="362"/>
      <c r="AB148" s="362"/>
      <c r="AC148" s="362"/>
      <c r="AD148" s="362"/>
      <c r="AE148" s="363"/>
    </row>
    <row r="149" spans="1:40" ht="15.75">
      <c r="A149" s="357"/>
      <c r="B149" s="551" t="s">
        <v>316</v>
      </c>
      <c r="C149" s="360"/>
      <c r="D149" s="652" t="str">
        <f>Translate!$A$47</f>
        <v>Name</v>
      </c>
      <c r="E149" s="470"/>
      <c r="F149" s="468" t="str">
        <f>Translate!$A$104</f>
        <v>Materials</v>
      </c>
      <c r="G149" s="368"/>
      <c r="H149" s="651"/>
      <c r="I149" s="366"/>
      <c r="J149" s="366"/>
      <c r="K149" s="366"/>
      <c r="L149" s="465"/>
      <c r="M149" s="369" t="str">
        <f>Translate!$A$102</f>
        <v>kgCO2e</v>
      </c>
      <c r="N149" s="366"/>
      <c r="O149" s="366"/>
      <c r="P149" s="366"/>
      <c r="Q149" s="366"/>
      <c r="R149" s="366"/>
      <c r="S149" s="366"/>
      <c r="T149" s="366"/>
      <c r="U149" s="366"/>
      <c r="V149" s="366"/>
      <c r="W149" s="366"/>
      <c r="X149" s="366"/>
      <c r="Y149" s="366"/>
      <c r="Z149" s="366"/>
      <c r="AA149" s="366"/>
      <c r="AB149" s="366"/>
      <c r="AC149" s="366"/>
      <c r="AD149" s="366"/>
      <c r="AE149" s="367"/>
      <c r="AG149" t="s">
        <v>346</v>
      </c>
      <c r="AH149">
        <f>HLOOKUP(AI149,$AP$1:$AV$2,2,0)</f>
        <v>1</v>
      </c>
      <c r="AI149" t="str">
        <f>F149</f>
        <v>Materials</v>
      </c>
      <c r="AJ149" s="49">
        <f>L149</f>
        <v>0</v>
      </c>
      <c r="AK149" t="str">
        <f>IF(F149=$AQ$1,Translate!$A$118,"")</f>
        <v>Other</v>
      </c>
      <c r="AN149">
        <f>ROW(F150)-ROW(F148)</f>
        <v>2</v>
      </c>
    </row>
    <row r="150" spans="1:40" ht="5.0999999999999996" customHeight="1">
      <c r="A150" s="357"/>
      <c r="C150" s="361"/>
      <c r="D150" s="364"/>
      <c r="E150" s="364"/>
      <c r="F150" s="364"/>
      <c r="G150" s="364"/>
      <c r="H150" s="364"/>
      <c r="I150" s="364"/>
      <c r="J150" s="364"/>
      <c r="K150" s="364"/>
      <c r="L150" s="364"/>
      <c r="M150" s="364"/>
      <c r="N150" s="364"/>
      <c r="O150" s="364"/>
      <c r="P150" s="364"/>
      <c r="Q150" s="364"/>
      <c r="R150" s="364"/>
      <c r="S150" s="364"/>
      <c r="T150" s="364"/>
      <c r="U150" s="364"/>
      <c r="V150" s="364"/>
      <c r="W150" s="364"/>
      <c r="X150" s="364"/>
      <c r="Y150" s="364"/>
      <c r="Z150" s="364"/>
      <c r="AA150" s="364"/>
      <c r="AB150" s="364"/>
      <c r="AC150" s="364"/>
      <c r="AD150" s="364"/>
      <c r="AE150" s="365"/>
    </row>
    <row r="151" spans="1:40">
      <c r="A151" s="357"/>
    </row>
    <row r="152" spans="1:40" ht="20.25">
      <c r="A152" s="357"/>
      <c r="B152" s="357"/>
      <c r="C152" s="357"/>
      <c r="D152" s="358"/>
      <c r="E152" s="357"/>
      <c r="F152" s="357"/>
      <c r="G152" s="357"/>
      <c r="H152" s="357"/>
      <c r="I152" s="357"/>
      <c r="J152" s="357"/>
      <c r="K152" s="357"/>
      <c r="L152" s="357"/>
      <c r="M152" s="357"/>
      <c r="N152" s="357"/>
      <c r="O152" s="357"/>
      <c r="P152" s="357"/>
      <c r="Q152" s="357"/>
      <c r="R152" s="357"/>
      <c r="S152" s="357"/>
      <c r="T152" s="357"/>
      <c r="U152" s="357"/>
      <c r="V152" s="357"/>
      <c r="W152" s="357"/>
      <c r="X152" s="357"/>
      <c r="Y152" s="357"/>
      <c r="Z152" s="357"/>
      <c r="AA152" s="357"/>
      <c r="AB152" s="357"/>
      <c r="AC152" s="357"/>
      <c r="AD152" s="357"/>
      <c r="AE152" s="357"/>
    </row>
  </sheetData>
  <sheetProtection password="C67E" sheet="1" objects="1" scenarios="1" formatColumns="0" formatRows="0"/>
  <mergeCells count="10">
    <mergeCell ref="F103:H103"/>
    <mergeCell ref="F107:H107"/>
    <mergeCell ref="T3:Z4"/>
    <mergeCell ref="AB4:AF10"/>
    <mergeCell ref="B6:B10"/>
    <mergeCell ref="T6:Z10"/>
    <mergeCell ref="V12:X12"/>
    <mergeCell ref="D27:D28"/>
    <mergeCell ref="F97:H97"/>
    <mergeCell ref="F99:H99"/>
  </mergeCells>
  <phoneticPr fontId="66" type="noConversion"/>
  <conditionalFormatting sqref="R7:S10 R6:T6">
    <cfRule type="expression" dxfId="643" priority="264">
      <formula>AND($AW$10,NOT($T$6=""))</formula>
    </cfRule>
  </conditionalFormatting>
  <conditionalFormatting sqref="O19:AE21 O23:AE24 O22 AE22 O25 AE25 O32:AD32 O36:O37 O50:AD50 O51:O52">
    <cfRule type="expression" dxfId="642" priority="266">
      <formula>IF($AR$2=2,1,0)</formula>
    </cfRule>
  </conditionalFormatting>
  <conditionalFormatting sqref="G22:H22 D29:E29 D32:E32 G30:H30 G33:H33 G39:H39 N30 G28:H28 N28 N22 G32:N32 G29:N29">
    <cfRule type="expression" dxfId="641" priority="267">
      <formula>IF($AQ$2=2,1,0)</formula>
    </cfRule>
  </conditionalFormatting>
  <conditionalFormatting sqref="C68:AE68 C70:AE70 C69 G69:J69 N69:AE69 C72:AE72 C73 C74:AE74 G73:J73">
    <cfRule type="expression" dxfId="640" priority="268">
      <formula>IF($AP$2=2,1,0)</formula>
    </cfRule>
  </conditionalFormatting>
  <conditionalFormatting sqref="C96:AE96 C110:AE110 C97 I97:K97 C112:AE112 C114:AE114 C113 G113:J113 N113:AE113 N97:AE97 N99:O99 R99:AE99 R103:AE103 N103:O103 N107:O107 R107:AE107">
    <cfRule type="expression" dxfId="639" priority="269">
      <formula>IF($AT$2=2,1,0)</formula>
    </cfRule>
  </conditionalFormatting>
  <conditionalFormatting sqref="C120:AE120 C122:AE122 C121 G121:J121 N121:AE121 C124:AE124 C126:AE126 C125 G125:H125 N125:O125 C132:AE132 C134:AE134 C133 G133:J133 N133:AE133 G137:H137 N137:O137 C138:AE138 C136:AE136 C137 AC137:AE137 AB125:AE125">
    <cfRule type="expression" dxfId="638" priority="270">
      <formula>IF($AU$2=2,1,0)</formula>
    </cfRule>
  </conditionalFormatting>
  <conditionalFormatting sqref="C80:AE80 C84:AE84 C82:AE82 C81 G81:J81 N81:AE81 C86:AE86 C85 AC85:AE85">
    <cfRule type="expression" dxfId="637" priority="262">
      <formula>IF($AS$2=2,1,0)</formula>
    </cfRule>
  </conditionalFormatting>
  <conditionalFormatting sqref="AB137">
    <cfRule type="expression" dxfId="636" priority="261">
      <formula>IF($AU$2=2,1,0)</formula>
    </cfRule>
  </conditionalFormatting>
  <conditionalFormatting sqref="AB85">
    <cfRule type="expression" dxfId="635" priority="260">
      <formula>IF($AS$2=2,1,0)</formula>
    </cfRule>
  </conditionalFormatting>
  <conditionalFormatting sqref="P47:AD47">
    <cfRule type="expression" dxfId="634" priority="259">
      <formula>IF($AR$2=2,1,0)</formula>
    </cfRule>
  </conditionalFormatting>
  <conditionalFormatting sqref="O53:AE53">
    <cfRule type="expression" dxfId="633" priority="257">
      <formula>IF($AR$2=2,1,0)</formula>
    </cfRule>
  </conditionalFormatting>
  <conditionalFormatting sqref="C53:N53">
    <cfRule type="expression" dxfId="632" priority="258">
      <formula>IF($AQ$2=2,1,0)</formula>
    </cfRule>
  </conditionalFormatting>
  <conditionalFormatting sqref="P52:AD52">
    <cfRule type="expression" dxfId="631" priority="256">
      <formula>IF($AR$2=2,1,0)</formula>
    </cfRule>
  </conditionalFormatting>
  <conditionalFormatting sqref="O58:AE58">
    <cfRule type="expression" dxfId="630" priority="254">
      <formula>IF($AR$2=2,1,0)</formula>
    </cfRule>
  </conditionalFormatting>
  <conditionalFormatting sqref="C58:N58">
    <cfRule type="expression" dxfId="629" priority="255">
      <formula>IF($AQ$2=2,1,0)</formula>
    </cfRule>
  </conditionalFormatting>
  <conditionalFormatting sqref="P57:AD57">
    <cfRule type="expression" dxfId="628" priority="253">
      <formula>IF($AR$2=2,1,0)</formula>
    </cfRule>
  </conditionalFormatting>
  <conditionalFormatting sqref="E37">
    <cfRule type="expression" dxfId="627" priority="241">
      <formula>IF(E37="do not apply",1,0)</formula>
    </cfRule>
  </conditionalFormatting>
  <conditionalFormatting sqref="E52">
    <cfRule type="expression" dxfId="626" priority="251">
      <formula>IF(E52="do not apply",1,0)</formula>
    </cfRule>
  </conditionalFormatting>
  <conditionalFormatting sqref="E57">
    <cfRule type="expression" dxfId="625" priority="250">
      <formula>IF(E57="do not apply",1,0)</formula>
    </cfRule>
  </conditionalFormatting>
  <conditionalFormatting sqref="O31">
    <cfRule type="expression" dxfId="624" priority="249">
      <formula>IF($AR$2=2,1,0)</formula>
    </cfRule>
  </conditionalFormatting>
  <conditionalFormatting sqref="P31:AD31">
    <cfRule type="expression" dxfId="623" priority="248">
      <formula>IF($AR$2=2,1,0)</formula>
    </cfRule>
  </conditionalFormatting>
  <conditionalFormatting sqref="E31">
    <cfRule type="expression" dxfId="622" priority="247">
      <formula>IF(E31="do not apply",1,0)</formula>
    </cfRule>
  </conditionalFormatting>
  <conditionalFormatting sqref="O34">
    <cfRule type="expression" dxfId="621" priority="246">
      <formula>IF($AR$2=2,1,0)</formula>
    </cfRule>
  </conditionalFormatting>
  <conditionalFormatting sqref="P34:AD34">
    <cfRule type="expression" dxfId="620" priority="245">
      <formula>IF($AR$2=2,1,0)</formula>
    </cfRule>
  </conditionalFormatting>
  <conditionalFormatting sqref="E34">
    <cfRule type="expression" dxfId="619" priority="244">
      <formula>IF(E34="do not apply",1,0)</formula>
    </cfRule>
  </conditionalFormatting>
  <conditionalFormatting sqref="O37">
    <cfRule type="expression" dxfId="618" priority="243">
      <formula>IF($AR$2=2,1,0)</formula>
    </cfRule>
  </conditionalFormatting>
  <conditionalFormatting sqref="P37:AD37">
    <cfRule type="expression" dxfId="617" priority="242">
      <formula>IF($AR$2=2,1,0)</formula>
    </cfRule>
  </conditionalFormatting>
  <conditionalFormatting sqref="H40:M40">
    <cfRule type="expression" dxfId="616" priority="235">
      <formula>IF($AQ$2=2,1,0)</formula>
    </cfRule>
  </conditionalFormatting>
  <conditionalFormatting sqref="O40">
    <cfRule type="expression" dxfId="615" priority="240">
      <formula>IF($AR$2=2,1,0)</formula>
    </cfRule>
  </conditionalFormatting>
  <conditionalFormatting sqref="P40:AD40">
    <cfRule type="expression" dxfId="614" priority="239">
      <formula>IF($AR$2=2,1,0)</formula>
    </cfRule>
  </conditionalFormatting>
  <conditionalFormatting sqref="E40">
    <cfRule type="expression" dxfId="613" priority="238">
      <formula>IF(E40="do not apply",1,0)</formula>
    </cfRule>
  </conditionalFormatting>
  <conditionalFormatting sqref="H34:M34">
    <cfRule type="expression" dxfId="612" priority="237">
      <formula>IF($AQ$2=2,1,0)</formula>
    </cfRule>
  </conditionalFormatting>
  <conditionalFormatting sqref="H37:M37">
    <cfRule type="expression" dxfId="611" priority="236">
      <formula>IF($AQ$2=2,1,0)</formula>
    </cfRule>
  </conditionalFormatting>
  <conditionalFormatting sqref="H47:M47">
    <cfRule type="expression" dxfId="610" priority="234">
      <formula>IF($AQ$2=2,1,0)</formula>
    </cfRule>
  </conditionalFormatting>
  <conditionalFormatting sqref="H52:M52">
    <cfRule type="expression" dxfId="609" priority="233">
      <formula>IF($AQ$2=2,1,0)</formula>
    </cfRule>
  </conditionalFormatting>
  <conditionalFormatting sqref="H57:M57">
    <cfRule type="expression" dxfId="608" priority="232">
      <formula>IF($AQ$2=2,1,0)</formula>
    </cfRule>
  </conditionalFormatting>
  <conditionalFormatting sqref="L22:M22">
    <cfRule type="expression" dxfId="607" priority="231">
      <formula>IF($AQ$2=2,1,0)</formula>
    </cfRule>
  </conditionalFormatting>
  <conditionalFormatting sqref="Y85:Z85">
    <cfRule type="expression" dxfId="606" priority="230">
      <formula>IF($AS$2=2,1,0)</formula>
    </cfRule>
  </conditionalFormatting>
  <conditionalFormatting sqref="X85">
    <cfRule type="expression" dxfId="605" priority="226">
      <formula>IF($AS$2=2,1,0)</formula>
    </cfRule>
  </conditionalFormatting>
  <conditionalFormatting sqref="G85">
    <cfRule type="expression" dxfId="604" priority="228">
      <formula>IF($AS$2=2,1,0)</formula>
    </cfRule>
  </conditionalFormatting>
  <conditionalFormatting sqref="AA85">
    <cfRule type="expression" dxfId="603" priority="229">
      <formula>IF($AS$2=2,1,0)</formula>
    </cfRule>
  </conditionalFormatting>
  <conditionalFormatting sqref="H85">
    <cfRule type="expression" dxfId="602" priority="227">
      <formula>IF($AS$2=2,1,0)</formula>
    </cfRule>
  </conditionalFormatting>
  <conditionalFormatting sqref="X89">
    <cfRule type="expression" dxfId="601" priority="216">
      <formula>IF($AS$2=2,1,0)</formula>
    </cfRule>
  </conditionalFormatting>
  <conditionalFormatting sqref="W85">
    <cfRule type="expression" dxfId="600" priority="225">
      <formula>IF($AS$2=2,1,0)</formula>
    </cfRule>
  </conditionalFormatting>
  <conditionalFormatting sqref="Q85">
    <cfRule type="expression" dxfId="599" priority="224">
      <formula>IF($AS$2=2,1,0)</formula>
    </cfRule>
  </conditionalFormatting>
  <conditionalFormatting sqref="T85">
    <cfRule type="expression" dxfId="598" priority="223">
      <formula>IF($AS$2=2,1,0)</formula>
    </cfRule>
  </conditionalFormatting>
  <conditionalFormatting sqref="C88:AE88">
    <cfRule type="expression" dxfId="597" priority="222">
      <formula>IF($AS$2=2,1,0)</formula>
    </cfRule>
  </conditionalFormatting>
  <conditionalFormatting sqref="AB89">
    <cfRule type="expression" dxfId="596" priority="221">
      <formula>IF($AS$2=2,1,0)</formula>
    </cfRule>
  </conditionalFormatting>
  <conditionalFormatting sqref="Y89:Z89">
    <cfRule type="expression" dxfId="595" priority="220">
      <formula>IF($AS$2=2,1,0)</formula>
    </cfRule>
  </conditionalFormatting>
  <conditionalFormatting sqref="G89">
    <cfRule type="expression" dxfId="594" priority="218">
      <formula>IF($AS$2=2,1,0)</formula>
    </cfRule>
  </conditionalFormatting>
  <conditionalFormatting sqref="AA89">
    <cfRule type="expression" dxfId="593" priority="219">
      <formula>IF($AS$2=2,1,0)</formula>
    </cfRule>
  </conditionalFormatting>
  <conditionalFormatting sqref="H89">
    <cfRule type="expression" dxfId="592" priority="217">
      <formula>IF($AS$2=2,1,0)</formula>
    </cfRule>
  </conditionalFormatting>
  <conditionalFormatting sqref="W89">
    <cfRule type="expression" dxfId="591" priority="215">
      <formula>IF($AS$2=2,1,0)</formula>
    </cfRule>
  </conditionalFormatting>
  <conditionalFormatting sqref="Q89">
    <cfRule type="expression" dxfId="590" priority="214">
      <formula>IF($AS$2=2,1,0)</formula>
    </cfRule>
  </conditionalFormatting>
  <conditionalFormatting sqref="T89">
    <cfRule type="expression" dxfId="589" priority="213">
      <formula>IF($AS$2=2,1,0)</formula>
    </cfRule>
  </conditionalFormatting>
  <conditionalFormatting sqref="AE30:AE40 O26:AE29">
    <cfRule type="expression" dxfId="588" priority="212">
      <formula>IF($AR$2=2,1,0)</formula>
    </cfRule>
  </conditionalFormatting>
  <conditionalFormatting sqref="O38">
    <cfRule type="expression" dxfId="587" priority="211">
      <formula>IF($AR$2=2,1,0)</formula>
    </cfRule>
  </conditionalFormatting>
  <conditionalFormatting sqref="P38:AD38">
    <cfRule type="expression" dxfId="586" priority="210">
      <formula>IF($AR$2=2,1,0)</formula>
    </cfRule>
  </conditionalFormatting>
  <conditionalFormatting sqref="O39">
    <cfRule type="expression" dxfId="585" priority="209">
      <formula>IF($AR$2=2,1,0)</formula>
    </cfRule>
  </conditionalFormatting>
  <conditionalFormatting sqref="O48:AE48">
    <cfRule type="expression" dxfId="584" priority="204">
      <formula>IF($AR$2=2,1,0)</formula>
    </cfRule>
  </conditionalFormatting>
  <conditionalFormatting sqref="O43:AE43">
    <cfRule type="expression" dxfId="583" priority="208">
      <formula>IF($AR$2=2,1,0)</formula>
    </cfRule>
  </conditionalFormatting>
  <conditionalFormatting sqref="O45:AE45">
    <cfRule type="expression" dxfId="582" priority="207">
      <formula>IF($AR$2=2,1,0)</formula>
    </cfRule>
  </conditionalFormatting>
  <conditionalFormatting sqref="AE46:AE47">
    <cfRule type="expression" dxfId="581" priority="206">
      <formula>IF($AR$2=2,1,0)</formula>
    </cfRule>
  </conditionalFormatting>
  <conditionalFormatting sqref="O46:O47">
    <cfRule type="expression" dxfId="580" priority="205">
      <formula>IF($AR$2=2,1,0)</formula>
    </cfRule>
  </conditionalFormatting>
  <conditionalFormatting sqref="L20">
    <cfRule type="expression" dxfId="579" priority="203">
      <formula>IF($AQ$2=2,1,0)</formula>
    </cfRule>
  </conditionalFormatting>
  <conditionalFormatting sqref="W25:AD25 P25:S25 U25">
    <cfRule type="expression" dxfId="578" priority="202">
      <formula>IF($M$21,1,0)</formula>
    </cfRule>
  </conditionalFormatting>
  <conditionalFormatting sqref="P22 R22:AD22">
    <cfRule type="expression" dxfId="577" priority="197">
      <formula>IF($M$21,0,1)</formula>
    </cfRule>
  </conditionalFormatting>
  <conditionalFormatting sqref="O35:AD35">
    <cfRule type="expression" dxfId="576" priority="195">
      <formula>IF($AR$2=2,1,0)</formula>
    </cfRule>
  </conditionalFormatting>
  <conditionalFormatting sqref="D35:E35 G35:N35">
    <cfRule type="expression" dxfId="575" priority="196">
      <formula>IF($AQ$2=2,1,0)</formula>
    </cfRule>
  </conditionalFormatting>
  <conditionalFormatting sqref="O35">
    <cfRule type="expression" dxfId="574" priority="194">
      <formula>IF($AR$2=2,1,0)</formula>
    </cfRule>
  </conditionalFormatting>
  <conditionalFormatting sqref="M97 M99 M103 M107">
    <cfRule type="expression" dxfId="573" priority="193">
      <formula>IF($AT$2=2,1,0)</formula>
    </cfRule>
  </conditionalFormatting>
  <conditionalFormatting sqref="V25">
    <cfRule type="expression" dxfId="572" priority="189">
      <formula>IF($M$21,1,0)</formula>
    </cfRule>
  </conditionalFormatting>
  <conditionalFormatting sqref="F40">
    <cfRule type="expression" dxfId="571" priority="180">
      <formula>IF(F40="-reused-",1,0)</formula>
    </cfRule>
  </conditionalFormatting>
  <conditionalFormatting sqref="F47">
    <cfRule type="expression" dxfId="570" priority="176">
      <formula>IF(F47="-reused-",1,0)</formula>
    </cfRule>
  </conditionalFormatting>
  <conditionalFormatting sqref="F57 F52">
    <cfRule type="expression" dxfId="569" priority="175">
      <formula>IF(F52="-reused-",1,0)</formula>
    </cfRule>
  </conditionalFormatting>
  <conditionalFormatting sqref="C64:AE64 C66:AE66 C65 G65:J65 N65:AE65">
    <cfRule type="expression" dxfId="568" priority="168">
      <formula>IF($AP$2=2,1,0)</formula>
    </cfRule>
  </conditionalFormatting>
  <conditionalFormatting sqref="C22:C23 C31:C32 C37:C38 C40 C34:C35 C43 C25:C29">
    <cfRule type="expression" dxfId="567" priority="167">
      <formula>IF($AQ$2=2,1,0)</formula>
    </cfRule>
  </conditionalFormatting>
  <conditionalFormatting sqref="G141:H141 N141:O141 C142:AE142 C140:AE140 C141 AC141:AE141">
    <cfRule type="expression" dxfId="566" priority="166">
      <formula>IF($AU$2=2,1,0)</formula>
    </cfRule>
  </conditionalFormatting>
  <conditionalFormatting sqref="AB141">
    <cfRule type="expression" dxfId="565" priority="165">
      <formula>IF($AU$2=2,1,0)</formula>
    </cfRule>
  </conditionalFormatting>
  <conditionalFormatting sqref="C98:AE98">
    <cfRule type="expression" dxfId="564" priority="164">
      <formula>IF($AT$2=2,1,0)</formula>
    </cfRule>
  </conditionalFormatting>
  <conditionalFormatting sqref="C100:L100">
    <cfRule type="expression" dxfId="563" priority="163">
      <formula>IF($AT$2=2,1,0)</formula>
    </cfRule>
  </conditionalFormatting>
  <conditionalFormatting sqref="C104:L104">
    <cfRule type="expression" dxfId="562" priority="162">
      <formula>IF($AT$2=2,1,0)</formula>
    </cfRule>
  </conditionalFormatting>
  <conditionalFormatting sqref="M100:AE100">
    <cfRule type="expression" dxfId="561" priority="161">
      <formula>IF($AT$2=2,1,0)</formula>
    </cfRule>
  </conditionalFormatting>
  <conditionalFormatting sqref="M104:AE104">
    <cfRule type="expression" dxfId="560" priority="160">
      <formula>IF($AT$2=2,1,0)</formula>
    </cfRule>
  </conditionalFormatting>
  <conditionalFormatting sqref="M102:AE102">
    <cfRule type="expression" dxfId="559" priority="158">
      <formula>IF($AT$2=2,1,0)</formula>
    </cfRule>
  </conditionalFormatting>
  <conditionalFormatting sqref="C102:L102">
    <cfRule type="expression" dxfId="558" priority="159">
      <formula>IF($AT$2=2,1,0)</formula>
    </cfRule>
  </conditionalFormatting>
  <conditionalFormatting sqref="M106:AE106">
    <cfRule type="expression" dxfId="557" priority="156">
      <formula>IF($AT$2=2,1,0)</formula>
    </cfRule>
  </conditionalFormatting>
  <conditionalFormatting sqref="C106:L106">
    <cfRule type="expression" dxfId="556" priority="157">
      <formula>IF($AT$2=2,1,0)</formula>
    </cfRule>
  </conditionalFormatting>
  <conditionalFormatting sqref="Q22">
    <cfRule type="expression" dxfId="555" priority="150">
      <formula>IF($M$21,0,1)</formula>
    </cfRule>
  </conditionalFormatting>
  <conditionalFormatting sqref="T24">
    <cfRule type="expression" dxfId="554" priority="149">
      <formula>IF($M$21,0,1)</formula>
    </cfRule>
  </conditionalFormatting>
  <conditionalFormatting sqref="V39">
    <cfRule type="expression" dxfId="553" priority="129">
      <formula>IF($M$21,1,0)</formula>
    </cfRule>
  </conditionalFormatting>
  <conditionalFormatting sqref="T46">
    <cfRule type="expression" dxfId="552" priority="144">
      <formula>IF($M$21,0,1)</formula>
    </cfRule>
  </conditionalFormatting>
  <conditionalFormatting sqref="T51">
    <cfRule type="expression" dxfId="551" priority="143">
      <formula>IF($M$21,0,1)</formula>
    </cfRule>
  </conditionalFormatting>
  <conditionalFormatting sqref="T56">
    <cfRule type="expression" dxfId="550" priority="142">
      <formula>IF($M$21,0,1)</formula>
    </cfRule>
  </conditionalFormatting>
  <conditionalFormatting sqref="O33">
    <cfRule type="expression" dxfId="549" priority="141">
      <formula>IF($AR$2=2,1,0)</formula>
    </cfRule>
  </conditionalFormatting>
  <conditionalFormatting sqref="T25">
    <cfRule type="expression" dxfId="548" priority="140">
      <formula>IF($M$21,1,0)</formula>
    </cfRule>
  </conditionalFormatting>
  <conditionalFormatting sqref="X30:AD30 P30 U30 R30:S30">
    <cfRule type="expression" dxfId="547" priority="139">
      <formula>IF($M$21,1,0)</formula>
    </cfRule>
  </conditionalFormatting>
  <conditionalFormatting sqref="V30">
    <cfRule type="expression" dxfId="546" priority="138">
      <formula>IF($M$21,1,0)</formula>
    </cfRule>
  </conditionalFormatting>
  <conditionalFormatting sqref="T30">
    <cfRule type="expression" dxfId="545" priority="137">
      <formula>IF($M$21,1,0)</formula>
    </cfRule>
  </conditionalFormatting>
  <conditionalFormatting sqref="Y33:AD33 P33:S33 U33">
    <cfRule type="expression" dxfId="544" priority="136">
      <formula>IF($M$21,1,0)</formula>
    </cfRule>
  </conditionalFormatting>
  <conditionalFormatting sqref="V33">
    <cfRule type="expression" dxfId="543" priority="135">
      <formula>IF($M$21,1,0)</formula>
    </cfRule>
  </conditionalFormatting>
  <conditionalFormatting sqref="Y36:AD36 P36 U36 R36:S36">
    <cfRule type="expression" dxfId="542" priority="133">
      <formula>IF($M$21,1,0)</formula>
    </cfRule>
  </conditionalFormatting>
  <conditionalFormatting sqref="V36">
    <cfRule type="expression" dxfId="541" priority="132">
      <formula>IF($M$21,1,0)</formula>
    </cfRule>
  </conditionalFormatting>
  <conditionalFormatting sqref="W39:AD39 P39 U39 R39:S39">
    <cfRule type="expression" dxfId="540" priority="130">
      <formula>IF($M$21,1,0)</formula>
    </cfRule>
  </conditionalFormatting>
  <conditionalFormatting sqref="O30">
    <cfRule type="expression" dxfId="539" priority="127">
      <formula>IF($AR$2=2,1,0)</formula>
    </cfRule>
  </conditionalFormatting>
  <conditionalFormatting sqref="Q30">
    <cfRule type="expression" dxfId="538" priority="126">
      <formula>IF($M$21,1,0)</formula>
    </cfRule>
  </conditionalFormatting>
  <conditionalFormatting sqref="Q36">
    <cfRule type="expression" dxfId="537" priority="125">
      <formula>IF($M$21,1,0)</formula>
    </cfRule>
  </conditionalFormatting>
  <conditionalFormatting sqref="Q39">
    <cfRule type="expression" dxfId="536" priority="124">
      <formula>IF($M$21,1,0)</formula>
    </cfRule>
  </conditionalFormatting>
  <conditionalFormatting sqref="T33">
    <cfRule type="expression" dxfId="535" priority="123">
      <formula>IF($M$21,1,0)</formula>
    </cfRule>
  </conditionalFormatting>
  <conditionalFormatting sqref="T36">
    <cfRule type="expression" dxfId="534" priority="122">
      <formula>IF($M$21,1,0)</formula>
    </cfRule>
  </conditionalFormatting>
  <conditionalFormatting sqref="T39">
    <cfRule type="expression" dxfId="533" priority="121">
      <formula>IF($M$21,1,0)</formula>
    </cfRule>
  </conditionalFormatting>
  <conditionalFormatting sqref="O56:O57">
    <cfRule type="expression" dxfId="532" priority="115">
      <formula>IF($AR$2=2,1,0)</formula>
    </cfRule>
  </conditionalFormatting>
  <conditionalFormatting sqref="O55:AD55">
    <cfRule type="expression" dxfId="531" priority="114">
      <formula>IF($AR$2=2,1,0)</formula>
    </cfRule>
  </conditionalFormatting>
  <conditionalFormatting sqref="AE50">
    <cfRule type="expression" dxfId="530" priority="113">
      <formula>IF($AR$2=2,1,0)</formula>
    </cfRule>
  </conditionalFormatting>
  <conditionalFormatting sqref="AE51:AE52">
    <cfRule type="expression" dxfId="529" priority="112">
      <formula>IF($AR$2=2,1,0)</formula>
    </cfRule>
  </conditionalFormatting>
  <conditionalFormatting sqref="AE55">
    <cfRule type="expression" dxfId="528" priority="111">
      <formula>IF($AR$2=2,1,0)</formula>
    </cfRule>
  </conditionalFormatting>
  <conditionalFormatting sqref="AE56:AE57">
    <cfRule type="expression" dxfId="527" priority="110">
      <formula>IF($AR$2=2,1,0)</formula>
    </cfRule>
  </conditionalFormatting>
  <conditionalFormatting sqref="E47">
    <cfRule type="expression" dxfId="526" priority="109">
      <formula>IF(E47="do not apply",1,0)</formula>
    </cfRule>
  </conditionalFormatting>
  <conditionalFormatting sqref="C108:AE108">
    <cfRule type="expression" dxfId="525" priority="108">
      <formula>IF($AT$2=2,1,0)</formula>
    </cfRule>
  </conditionalFormatting>
  <conditionalFormatting sqref="O42:AE42">
    <cfRule type="expression" dxfId="524" priority="86">
      <formula>IF($AR$2=2,1,0)</formula>
    </cfRule>
  </conditionalFormatting>
  <conditionalFormatting sqref="C42">
    <cfRule type="expression" dxfId="523" priority="85">
      <formula>IF($AQ$2=2,1,0)</formula>
    </cfRule>
  </conditionalFormatting>
  <conditionalFormatting sqref="O41:AE41">
    <cfRule type="expression" dxfId="522" priority="84">
      <formula>IF($AR$2=2,1,0)</formula>
    </cfRule>
  </conditionalFormatting>
  <conditionalFormatting sqref="C41">
    <cfRule type="expression" dxfId="521" priority="83">
      <formula>IF($AQ$2=2,1,0)</formula>
    </cfRule>
  </conditionalFormatting>
  <conditionalFormatting sqref="C90:AE90">
    <cfRule type="expression" dxfId="520" priority="78">
      <formula>IF($AS$2=2,1,0)</formula>
    </cfRule>
  </conditionalFormatting>
  <conditionalFormatting sqref="C89">
    <cfRule type="expression" dxfId="519" priority="77">
      <formula>IF($AS$2=2,1,0)</formula>
    </cfRule>
  </conditionalFormatting>
  <conditionalFormatting sqref="AC89:AE89">
    <cfRule type="expression" dxfId="518" priority="76">
      <formula>IF($AS$2=2,1,0)</formula>
    </cfRule>
  </conditionalFormatting>
  <conditionalFormatting sqref="F29 F32">
    <cfRule type="expression" dxfId="517" priority="54">
      <formula>IF($AQ$2=2,1,0)</formula>
    </cfRule>
  </conditionalFormatting>
  <conditionalFormatting sqref="F35">
    <cfRule type="expression" dxfId="516" priority="53">
      <formula>IF($AQ$2=2,1,0)</formula>
    </cfRule>
  </conditionalFormatting>
  <conditionalFormatting sqref="F37">
    <cfRule type="expression" dxfId="515" priority="52">
      <formula>IF(F37="-reused-",1,0)</formula>
    </cfRule>
  </conditionalFormatting>
  <conditionalFormatting sqref="F34">
    <cfRule type="expression" dxfId="514" priority="51">
      <formula>IF(F34="-reused-",1,0)</formula>
    </cfRule>
  </conditionalFormatting>
  <conditionalFormatting sqref="F31">
    <cfRule type="expression" dxfId="513" priority="50">
      <formula>IF(F31="-reused-",1,0)</formula>
    </cfRule>
  </conditionalFormatting>
  <conditionalFormatting sqref="F30">
    <cfRule type="expression" dxfId="512" priority="49">
      <formula>IF(COUNTIF(#REF!,F30)=0,1,0)</formula>
    </cfRule>
  </conditionalFormatting>
  <conditionalFormatting sqref="W36">
    <cfRule type="expression" dxfId="511" priority="45">
      <formula>IF($M$21,1,0)</formula>
    </cfRule>
  </conditionalFormatting>
  <conditionalFormatting sqref="W33">
    <cfRule type="expression" dxfId="510" priority="44">
      <formula>IF($M$21,1,0)</formula>
    </cfRule>
  </conditionalFormatting>
  <conditionalFormatting sqref="W30">
    <cfRule type="expression" dxfId="509" priority="43">
      <formula>IF($M$21,1,0)</formula>
    </cfRule>
  </conditionalFormatting>
  <conditionalFormatting sqref="F33">
    <cfRule type="expression" dxfId="508" priority="42">
      <formula>IF(COUNTIF(#REF!,F33)=0,1,0)</formula>
    </cfRule>
  </conditionalFormatting>
  <conditionalFormatting sqref="F36">
    <cfRule type="expression" dxfId="507" priority="41">
      <formula>IF(COUNTIF(#REF!,F36)=0,1,0)</formula>
    </cfRule>
  </conditionalFormatting>
  <conditionalFormatting sqref="F39">
    <cfRule type="expression" dxfId="506" priority="40">
      <formula>IF(COUNTIF(#REF!,F39)=0,1,0)</formula>
    </cfRule>
  </conditionalFormatting>
  <conditionalFormatting sqref="F25">
    <cfRule type="expression" dxfId="505" priority="1">
      <formula>IF(COUNTIF(#REF!,F25)=0,1,0)</formula>
    </cfRule>
  </conditionalFormatting>
  <conditionalFormatting sqref="X33">
    <cfRule type="expression" dxfId="504" priority="2">
      <formula>IF($M$21,1,0)</formula>
    </cfRule>
  </conditionalFormatting>
  <conditionalFormatting sqref="X36">
    <cfRule type="expression" dxfId="503" priority="3">
      <formula>IF($M$21,1,0)</formula>
    </cfRule>
  </conditionalFormatting>
  <dataValidations count="17">
    <dataValidation type="list" allowBlank="1" showInputMessage="1" showErrorMessage="1" sqref="F65 F81 F121 F133" xr:uid="{00000000-0002-0000-0200-000000000000}">
      <formula1>ratio_use</formula1>
    </dataValidation>
    <dataValidation type="list" allowBlank="1" showInputMessage="1" showErrorMessage="1" sqref="F47 F52 F57 F31 F34 F37 F40" xr:uid="{00000000-0002-0000-0200-000001000000}">
      <formula1>new_recycled_reused</formula1>
    </dataValidation>
    <dataValidation type="list" allowBlank="1" showInputMessage="1" showErrorMessage="1" sqref="T141 T137" xr:uid="{00000000-0002-0000-0200-000002000000}">
      <formula1>FEFreight</formula1>
    </dataValidation>
    <dataValidation type="list" allowBlank="1" showInputMessage="1" showErrorMessage="1" sqref="D69" xr:uid="{00000000-0002-0000-0200-000003000000}">
      <formula1>FEEnergy</formula1>
    </dataValidation>
    <dataValidation type="list" allowBlank="1" showInputMessage="1" showErrorMessage="1" sqref="D46 D51 D39 D36 D33 D30 D56" xr:uid="{00000000-0002-0000-0200-000004000000}">
      <formula1>FEMaterials</formula1>
    </dataValidation>
    <dataValidation type="list" allowBlank="1" showInputMessage="1" showErrorMessage="1" sqref="T33 T22 T46 T51 T56 T36 T25 T30 T39" xr:uid="{00000000-0002-0000-0200-000005000000}">
      <formula1>EFFreight</formula1>
    </dataValidation>
    <dataValidation type="list" allowBlank="1" showInputMessage="1" showErrorMessage="1" sqref="E12" xr:uid="{00000000-0002-0000-0200-000006000000}">
      <formula1>Countries</formula1>
    </dataValidation>
    <dataValidation type="list" allowBlank="1" showInputMessage="1" showErrorMessage="1" sqref="F22" xr:uid="{00000000-0002-0000-0200-000007000000}">
      <formula1>concreteunits</formula1>
    </dataValidation>
    <dataValidation type="list" allowBlank="1" showInputMessage="1" showErrorMessage="1" sqref="L21" xr:uid="{00000000-0002-0000-0200-000008000000}">
      <formula1>concrete_origin</formula1>
    </dataValidation>
    <dataValidation type="list" allowBlank="1" showInputMessage="1" showErrorMessage="1" sqref="E24" xr:uid="{00000000-0002-0000-0200-000009000000}">
      <formula1>CementTypeName</formula1>
    </dataValidation>
    <dataValidation allowBlank="1" showInputMessage="1" showErrorMessage="1" promptTitle="Duplication" sqref="B20 C39 B46 B51 C24 C30 B137 C33 C36 B56 B69 B73 B85 B89 B113 B125 B149 B65 B141 C99 C103 C107" xr:uid="{00000000-0002-0000-0200-00000A000000}"/>
    <dataValidation type="list" allowBlank="1" showInputMessage="1" showErrorMessage="1" sqref="D113 D99 D103 D107" xr:uid="{00000000-0002-0000-0200-00000B000000}">
      <formula1>FETransportation</formula1>
    </dataValidation>
    <dataValidation type="list" showInputMessage="1" showErrorMessage="1" sqref="F149" xr:uid="{00000000-0002-0000-0200-00000C000000}">
      <formula1>$H$7:$H$13</formula1>
    </dataValidation>
    <dataValidation type="list" allowBlank="1" showInputMessage="1" showErrorMessage="1" sqref="D85 D89" xr:uid="{00000000-0002-0000-0200-00000D000000}">
      <formula1>EFMobDemob</formula1>
    </dataValidation>
    <dataValidation type="list" allowBlank="1" showInputMessage="1" showErrorMessage="1" sqref="E6" xr:uid="{00000000-0002-0000-0200-00000E000000}">
      <formula1>techniques</formula1>
    </dataValidation>
    <dataValidation type="list" allowBlank="1" showInputMessage="1" showErrorMessage="1" sqref="D125" xr:uid="{00000000-0002-0000-0200-00000F000000}">
      <formula1>FEAssets</formula1>
    </dataValidation>
    <dataValidation type="list" allowBlank="1" showInputMessage="1" showErrorMessage="1" sqref="F30 F33 F36 F39 F25" xr:uid="{00000000-0002-0000-0200-000010000000}">
      <formula1>OFFSET(AS25,-AM25+5,0,2)</formula1>
    </dataValidation>
  </dataValidations>
  <pageMargins left="0.7" right="0.7" top="0.75" bottom="0.75"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4">
    <tabColor theme="5"/>
  </sheetPr>
  <dimension ref="A1:BE152"/>
  <sheetViews>
    <sheetView showGridLines="0" topLeftCell="A3" zoomScale="80" zoomScaleNormal="80" zoomScalePageLayoutView="80" workbookViewId="0">
      <pane ySplit="14" topLeftCell="A17" activePane="bottomLeft" state="frozen"/>
      <selection activeCell="E7" sqref="E7"/>
      <selection pane="bottomLeft" activeCell="E7" sqref="E7"/>
    </sheetView>
  </sheetViews>
  <sheetFormatPr baseColWidth="10" defaultColWidth="11.5546875" defaultRowHeight="15" outlineLevelCol="1"/>
  <cols>
    <col min="1" max="1" width="2.5546875" customWidth="1"/>
    <col min="2" max="2" width="2.109375" customWidth="1"/>
    <col min="3" max="3" width="3.33203125" customWidth="1"/>
    <col min="4" max="4" width="21.33203125" customWidth="1"/>
    <col min="5" max="5" width="18.33203125" customWidth="1"/>
    <col min="6" max="6" width="13.33203125" customWidth="1"/>
    <col min="7" max="7" width="3.109375" customWidth="1"/>
    <col min="8" max="8" width="3.88671875" customWidth="1"/>
    <col min="9" max="9" width="8.6640625" hidden="1" customWidth="1" outlineLevel="1"/>
    <col min="10" max="10" width="5.6640625" hidden="1" customWidth="1" outlineLevel="1"/>
    <col min="11" max="11" width="8.33203125" hidden="1" customWidth="1" outlineLevel="1"/>
    <col min="12" max="12" width="15.33203125" customWidth="1" collapsed="1"/>
    <col min="13" max="13" width="8" customWidth="1"/>
    <col min="14" max="14" width="1.33203125" customWidth="1"/>
    <col min="15" max="15" width="1.88671875" customWidth="1"/>
    <col min="16" max="16" width="10.109375" customWidth="1"/>
    <col min="17" max="17" width="9" customWidth="1"/>
    <col min="18" max="18" width="8.109375" customWidth="1"/>
    <col min="19" max="19" width="7.33203125" customWidth="1"/>
    <col min="20" max="20" width="22.6640625" customWidth="1"/>
    <col min="21" max="21" width="9.5546875" customWidth="1"/>
    <col min="22" max="22" width="8" customWidth="1"/>
    <col min="23" max="23" width="3.33203125" customWidth="1"/>
    <col min="24" max="24" width="7.6640625" customWidth="1"/>
    <col min="25" max="25" width="7.33203125" customWidth="1"/>
    <col min="26" max="26" width="10.109375" customWidth="1"/>
    <col min="27" max="27" width="9.88671875" customWidth="1"/>
    <col min="28" max="30" width="7.6640625" customWidth="1"/>
    <col min="31" max="31" width="5.109375" customWidth="1"/>
    <col min="32" max="32" width="5.33203125" customWidth="1"/>
    <col min="33" max="33" width="5.33203125" hidden="1" customWidth="1"/>
    <col min="34" max="34" width="12.33203125" hidden="1" customWidth="1"/>
    <col min="35" max="40" width="10.6640625" hidden="1" customWidth="1"/>
    <col min="41" max="41" width="22.5546875" hidden="1" customWidth="1"/>
    <col min="42" max="52" width="10.6640625" hidden="1" customWidth="1"/>
    <col min="53" max="55" width="10.6640625" customWidth="1"/>
  </cols>
  <sheetData>
    <row r="1" spans="1:57" hidden="1">
      <c r="A1" s="380" t="s">
        <v>93</v>
      </c>
      <c r="B1" s="380"/>
      <c r="C1" s="380"/>
      <c r="M1" t="s">
        <v>325</v>
      </c>
      <c r="P1" s="49">
        <f ca="1">SUMPRODUCT(($AH$17:$AH$177=1)*$AO$17:$AO$177)</f>
        <v>0</v>
      </c>
      <c r="Q1" s="49">
        <f ca="1">SUMPRODUCT(($AH$17:$AH$177=1)*1,$AL$17:$AL$177)</f>
        <v>0</v>
      </c>
      <c r="T1" s="433" t="s">
        <v>347</v>
      </c>
      <c r="U1" s="432" t="b">
        <f ca="1">IF(SUMPRODUCT(($AG$17:$AG$172="ext")*1,$AJ$17:$AJ$172)&lt;&gt;0,TRUE)</f>
        <v>0</v>
      </c>
      <c r="V1" s="434" t="s">
        <v>348</v>
      </c>
      <c r="W1" s="432" t="b">
        <f ca="1">IF(SUMPRODUCT(($AG$17:$AG$172="ratio")*1,$AJ$17:$AJ$172)&lt;&gt;0,TRUE)</f>
        <v>0</v>
      </c>
      <c r="AA1" s="320" t="s">
        <v>373</v>
      </c>
      <c r="AB1" s="320">
        <f>IF(E13="value",1,0)</f>
        <v>1</v>
      </c>
      <c r="AC1" t="s">
        <v>292</v>
      </c>
      <c r="AD1">
        <v>0</v>
      </c>
      <c r="AI1" s="95" t="s">
        <v>19</v>
      </c>
      <c r="AJ1" s="372" t="str">
        <f>Translate!$A$73</f>
        <v>Concrete / Slurry / Grout mix</v>
      </c>
      <c r="AK1" s="372" t="str">
        <f>Translate!$A$138</f>
        <v>Steel</v>
      </c>
      <c r="AL1" s="372" t="str">
        <f>Translate!$A$118</f>
        <v>Other</v>
      </c>
      <c r="AP1" s="284" t="str">
        <f>'Emission factors'!D342</f>
        <v>Energy</v>
      </c>
      <c r="AQ1" s="284" t="str">
        <f>'Emission factors'!E342</f>
        <v>Materials</v>
      </c>
      <c r="AR1" s="284" t="str">
        <f>'Emission factors'!F342</f>
        <v>Freight</v>
      </c>
      <c r="AS1" s="284" t="str">
        <f>'Emission factors'!G342</f>
        <v>Mob/demob</v>
      </c>
      <c r="AT1" s="284" t="str">
        <f>'Emission factors'!H342</f>
        <v>People's transportation</v>
      </c>
      <c r="AU1" s="284" t="str">
        <f>'Emission factors'!I342</f>
        <v>Assets</v>
      </c>
      <c r="AV1" s="284" t="str">
        <f>'Emission factors'!J342</f>
        <v>Waste</v>
      </c>
    </row>
    <row r="2" spans="1:57" hidden="1">
      <c r="A2" s="380"/>
      <c r="B2" s="380"/>
      <c r="C2" s="380"/>
      <c r="M2" t="s">
        <v>334</v>
      </c>
      <c r="P2" s="49">
        <f ca="1">SUMPRODUCT(($AH$17:$AH$177=2)*$AO$17:$AO$177)</f>
        <v>0</v>
      </c>
      <c r="Q2" s="49">
        <f ca="1">SUMPRODUCT(($AH$17:$AH$177=2)*1,$AL$17:$AL$177)</f>
        <v>0</v>
      </c>
      <c r="AA2" s="320" t="s">
        <v>374</v>
      </c>
      <c r="AB2" s="320">
        <f>IF(E14="value",1,0)</f>
        <v>1</v>
      </c>
      <c r="AI2" s="95" t="str">
        <f>"kg/"&amp;F37</f>
        <v>kg/m3</v>
      </c>
      <c r="AJ2" s="393">
        <f ca="1">SUMPRODUCT(($AK$17:$AK$172=AJ1)*1,$AJ$17:$AJ$172)/1000</f>
        <v>0</v>
      </c>
      <c r="AK2" s="393">
        <f ca="1">SUMPRODUCT(($AK$17:$AK$172=AK1)*1,$AJ$17:$AJ$172)/1000</f>
        <v>0</v>
      </c>
      <c r="AL2" s="393">
        <f ca="1">SUMPRODUCT(($AK$17:$AK$172=AL1)*1,$AJ$17:$AJ$172)/1000</f>
        <v>0</v>
      </c>
      <c r="AO2" s="381" t="s">
        <v>324</v>
      </c>
      <c r="AP2" s="285">
        <f>VLOOKUP($E$6,'Emission factors'!$C$343:$AY$370,'Emission factors'!Y$340,0)</f>
        <v>1</v>
      </c>
      <c r="AQ2" s="285">
        <f>VLOOKUP($E$6,'Emission factors'!$C$343:$AY$370,'Emission factors'!Z$340,0)</f>
        <v>1</v>
      </c>
      <c r="AR2" s="285">
        <f>VLOOKUP($E$6,'Emission factors'!$C$343:$AY$370,'Emission factors'!AA$340,0)</f>
        <v>2</v>
      </c>
      <c r="AS2" s="285">
        <f>VLOOKUP($E$6,'Emission factors'!$C$343:$AY$370,'Emission factors'!AB$340,0)</f>
        <v>2</v>
      </c>
      <c r="AT2" s="285">
        <f>VLOOKUP($E$6,'Emission factors'!$C$343:$AY$370,'Emission factors'!AC$340,0)</f>
        <v>2</v>
      </c>
      <c r="AU2" s="285">
        <f>VLOOKUP($E$6,'Emission factors'!$C$343:$AY$370,'Emission factors'!AD$340,0)</f>
        <v>2</v>
      </c>
      <c r="AV2" s="285">
        <f>VLOOKUP($E$6,'Emission factors'!$C$343:$AY$370,'Emission factors'!AE$340,0)</f>
        <v>2</v>
      </c>
      <c r="AY2" t="s">
        <v>279</v>
      </c>
    </row>
    <row r="3" spans="1:57" ht="15" customHeight="1">
      <c r="A3" s="338"/>
      <c r="B3" s="338"/>
      <c r="C3" s="338"/>
      <c r="D3" s="338"/>
      <c r="E3" s="338"/>
      <c r="F3" s="338"/>
      <c r="T3" s="772" t="str">
        <f>Translate!$A$123&amp;AQ9&amp;AP9&amp;AR9&amp;AS9&amp;AT9&amp;AU9&amp;AV9</f>
        <v xml:space="preserve">Primary emission sources : 
Materials, Energy, </v>
      </c>
      <c r="U3" s="772"/>
      <c r="V3" s="772"/>
      <c r="W3" s="772"/>
      <c r="X3" s="772"/>
      <c r="Y3" s="772"/>
      <c r="Z3" s="772"/>
      <c r="AB3" t="str">
        <f>Translate!$A$131</f>
        <v>Comments :</v>
      </c>
      <c r="AO3" s="381" t="s">
        <v>269</v>
      </c>
      <c r="AP3" s="286">
        <f t="shared" ref="AP3:AV3" ca="1" si="0">IF(SUM($P$7:$P$13)=0,0,VLOOKUP(AP1,$H$7:$P$13,9,0)/SUM($P$7:$P$13))</f>
        <v>0</v>
      </c>
      <c r="AQ3" s="286">
        <f t="shared" ca="1" si="0"/>
        <v>0</v>
      </c>
      <c r="AR3" s="286">
        <f t="shared" ca="1" si="0"/>
        <v>0</v>
      </c>
      <c r="AS3" s="286">
        <f t="shared" ca="1" si="0"/>
        <v>0</v>
      </c>
      <c r="AT3" s="286">
        <f t="shared" ca="1" si="0"/>
        <v>0</v>
      </c>
      <c r="AU3" s="286">
        <f t="shared" ca="1" si="0"/>
        <v>0</v>
      </c>
      <c r="AV3" s="286">
        <f t="shared" ca="1" si="0"/>
        <v>0</v>
      </c>
      <c r="AX3" t="str">
        <f>IF(E9=0,AY3,"")</f>
        <v xml:space="preserve">Enter the number of working days
</v>
      </c>
      <c r="AY3" s="283" t="str">
        <f>Lists!H2</f>
        <v xml:space="preserve">Enter the number of working days
</v>
      </c>
    </row>
    <row r="4" spans="1:57" ht="30" customHeight="1">
      <c r="A4" s="338"/>
      <c r="B4" s="338"/>
      <c r="C4" s="338"/>
      <c r="D4" s="338"/>
      <c r="E4" s="338"/>
      <c r="F4" s="338"/>
      <c r="T4" s="772"/>
      <c r="U4" s="772"/>
      <c r="V4" s="772"/>
      <c r="W4" s="772"/>
      <c r="X4" s="772"/>
      <c r="Y4" s="772"/>
      <c r="Z4" s="772"/>
      <c r="AB4" s="773"/>
      <c r="AC4" s="774"/>
      <c r="AD4" s="774"/>
      <c r="AE4" s="774"/>
      <c r="AF4" s="775"/>
      <c r="AO4" s="381" t="s">
        <v>278</v>
      </c>
      <c r="AP4" s="286">
        <f>VLOOKUP($E$6,'Emission factors'!$C$343:$Y$370,'Emission factors'!D$340,0)</f>
        <v>4.0916663959490784E-2</v>
      </c>
      <c r="AQ4" s="286">
        <f>VLOOKUP($E$6,'Emission factors'!$C$343:$Y$370,'Emission factors'!E$340,0)</f>
        <v>0.95908333604050922</v>
      </c>
      <c r="AR4" s="286">
        <f>VLOOKUP($E$6,'Emission factors'!$C$343:$Y$370,'Emission factors'!F$340,0)</f>
        <v>6.411482467395477E-3</v>
      </c>
      <c r="AS4" s="286">
        <f>VLOOKUP($E$6,'Emission factors'!$C$343:$Y$370,'Emission factors'!G$340,0)</f>
        <v>3.1868748686830371E-3</v>
      </c>
      <c r="AT4" s="286">
        <f>VLOOKUP($E$6,'Emission factors'!$C$343:$Y$370,'Emission factors'!H$340,0)</f>
        <v>1.8692695917956075E-3</v>
      </c>
      <c r="AU4" s="286">
        <f>VLOOKUP($E$6,'Emission factors'!$C$343:$Y$370,'Emission factors'!I$340,0)</f>
        <v>4.377484024657128E-3</v>
      </c>
      <c r="AV4" s="286">
        <f>VLOOKUP($E$6,'Emission factors'!$C$343:$Y$370,'Emission factors'!J$340,0)</f>
        <v>2.6591480192145979E-3</v>
      </c>
      <c r="AX4" t="str">
        <f>IF(E10=0,AY4,"")</f>
        <v xml:space="preserve">Enter the average number of people working on the project
</v>
      </c>
      <c r="AY4" s="283" t="str">
        <f>Lists!H3</f>
        <v xml:space="preserve">Enter the average number of people working on the project
</v>
      </c>
    </row>
    <row r="5" spans="1:57" ht="20.25">
      <c r="A5" s="338"/>
      <c r="B5" s="338"/>
      <c r="C5" s="338"/>
      <c r="D5" s="215" t="str">
        <f>Translate!$A$64</f>
        <v>Subproject name</v>
      </c>
      <c r="E5" s="492"/>
      <c r="F5" s="338"/>
      <c r="T5" t="str">
        <f ca="1">IF(NOT(AW10),Translate!$A$124,"")</f>
        <v>Please enter activities data relative to the primary emission sources</v>
      </c>
      <c r="AB5" s="776"/>
      <c r="AC5" s="777"/>
      <c r="AD5" s="777"/>
      <c r="AE5" s="777"/>
      <c r="AF5" s="778"/>
      <c r="AO5" s="381" t="s">
        <v>280</v>
      </c>
      <c r="AP5" s="2">
        <f t="shared" ref="AP5:AV5" si="1">IF(AP2=1,0,IF(SUMPRODUCT($AO$17:$AO$183*($AI$17:$AI$183=AP1))&gt;0,0,1))</f>
        <v>0</v>
      </c>
      <c r="AQ5" s="2">
        <f t="shared" si="1"/>
        <v>0</v>
      </c>
      <c r="AR5" s="2">
        <f t="shared" ca="1" si="1"/>
        <v>1</v>
      </c>
      <c r="AS5" s="2">
        <f t="shared" ca="1" si="1"/>
        <v>1</v>
      </c>
      <c r="AT5" s="2">
        <f t="shared" ca="1" si="1"/>
        <v>1</v>
      </c>
      <c r="AU5" s="2">
        <f t="shared" ca="1" si="1"/>
        <v>1</v>
      </c>
      <c r="AV5" s="2">
        <f t="shared" ca="1" si="1"/>
        <v>1</v>
      </c>
      <c r="AX5" t="str">
        <f>IF(Translate!$A$300=E12,AY5,"")</f>
        <v xml:space="preserve">Select a country
</v>
      </c>
      <c r="AY5" s="283" t="str">
        <f>Lists!H4</f>
        <v xml:space="preserve">Select a country
</v>
      </c>
      <c r="BA5" t="str">
        <f>Translate!$A$132</f>
        <v>Primary emission sources</v>
      </c>
      <c r="BB5" s="49">
        <f ca="1">P1/1000</f>
        <v>0</v>
      </c>
      <c r="BC5" s="49">
        <f ca="1">P2/1000</f>
        <v>0</v>
      </c>
      <c r="BD5" s="49">
        <f ca="1">Q1/1000</f>
        <v>0</v>
      </c>
    </row>
    <row r="6" spans="1:57" ht="17.100000000000001" customHeight="1">
      <c r="A6" s="338"/>
      <c r="B6" s="782" t="str">
        <f>Translate!$A$63</f>
        <v>duplication +</v>
      </c>
      <c r="C6" s="338"/>
      <c r="D6" s="216" t="str">
        <f>Translate!$A$48</f>
        <v>Technique</v>
      </c>
      <c r="E6" s="616" t="str">
        <f>Translate!$A$281</f>
        <v>Bored piles</v>
      </c>
      <c r="F6" s="338"/>
      <c r="H6" s="88" t="str">
        <f>Translate!$A$103</f>
        <v>Sources</v>
      </c>
      <c r="L6" s="92"/>
      <c r="M6" s="89"/>
      <c r="N6" s="89"/>
      <c r="O6" s="89"/>
      <c r="P6" s="90" t="str">
        <f>Translate!$A$115</f>
        <v>tCO2e</v>
      </c>
      <c r="Q6" t="str">
        <f>Translate!$A$115</f>
        <v>tCO2e</v>
      </c>
      <c r="R6" s="133"/>
      <c r="S6" s="133"/>
      <c r="T6" s="783" t="str">
        <f ca="1">IF(P14&gt;0,AX3&amp;AX4&amp;AX5&amp;AQ8&amp;AP8&amp;AR8&amp;AS8&amp;AT8&amp;AU8&amp;AV8,"")</f>
        <v/>
      </c>
      <c r="U6" s="783"/>
      <c r="V6" s="783"/>
      <c r="W6" s="783"/>
      <c r="X6" s="783"/>
      <c r="Y6" s="783"/>
      <c r="Z6" s="783"/>
      <c r="AB6" s="776"/>
      <c r="AC6" s="777"/>
      <c r="AD6" s="777"/>
      <c r="AE6" s="777"/>
      <c r="AF6" s="778"/>
      <c r="AO6" s="381" t="s">
        <v>267</v>
      </c>
      <c r="AP6" s="286">
        <f>VLOOKUP($E$6,'Emission factors'!$C$343:$Y$370,'Emission factors'!K$340,0)</f>
        <v>0.15</v>
      </c>
      <c r="AQ6" s="286">
        <f>VLOOKUP($E$6,'Emission factors'!$C$343:$Y$370,'Emission factors'!L$340,0)</f>
        <v>1</v>
      </c>
      <c r="AR6" s="286">
        <f>VLOOKUP($E$6,'Emission factors'!$C$343:$Y$370,'Emission factors'!M$340,0)</f>
        <v>0.1</v>
      </c>
      <c r="AS6" s="286">
        <f>VLOOKUP($E$6,'Emission factors'!$C$343:$Y$370,'Emission factors'!N$340,0)</f>
        <v>0.1</v>
      </c>
      <c r="AT6" s="286">
        <f>VLOOKUP($E$6,'Emission factors'!$C$343:$Y$370,'Emission factors'!O$340,0)</f>
        <v>0.1</v>
      </c>
      <c r="AU6" s="286">
        <f>VLOOKUP($E$6,'Emission factors'!$C$343:$Y$370,'Emission factors'!P$340,0)</f>
        <v>0.05</v>
      </c>
      <c r="AV6" s="286">
        <f>VLOOKUP($E$6,'Emission factors'!$C$343:$Y$370,'Emission factors'!Q$340,0)</f>
        <v>0.05</v>
      </c>
      <c r="AY6" s="283" t="str">
        <f>Lists!H5</f>
        <v xml:space="preserve"> emissions are relatively high
</v>
      </c>
      <c r="BA6" t="str">
        <f>Translate!$A$133</f>
        <v>Secondary emission sources</v>
      </c>
      <c r="BB6" s="49">
        <f ca="1">BB5</f>
        <v>0</v>
      </c>
      <c r="BC6" s="49">
        <f ca="1">BC5</f>
        <v>0</v>
      </c>
      <c r="BD6" s="49">
        <f ca="1">Q2/1000</f>
        <v>0</v>
      </c>
    </row>
    <row r="7" spans="1:57">
      <c r="A7" s="338"/>
      <c r="B7" s="782"/>
      <c r="C7" s="338"/>
      <c r="D7" s="217" t="str">
        <f>Translate!$A$65</f>
        <v>Date of calculation</v>
      </c>
      <c r="E7" s="466"/>
      <c r="F7" s="338"/>
      <c r="H7" s="91" t="str">
        <f>Translate!$A$104</f>
        <v>Materials</v>
      </c>
      <c r="L7" s="388">
        <f ca="1">AJ2</f>
        <v>0</v>
      </c>
      <c r="M7" s="388">
        <f ca="1">AK2</f>
        <v>0</v>
      </c>
      <c r="N7" s="388">
        <f ca="1">AL2</f>
        <v>0</v>
      </c>
      <c r="O7" s="388">
        <f>AL3</f>
        <v>0</v>
      </c>
      <c r="P7" s="93">
        <f t="shared" ref="P7:P13" ca="1" si="2">SUMPRODUCT(($AI$17:$AI$172=$H7)*1,$AJ$17:$AJ$172)/1000</f>
        <v>0</v>
      </c>
      <c r="Q7" s="49">
        <f t="shared" ref="Q7:Q13" ca="1" si="3">SUMPRODUCT(($AI$17:$AI$172=$H7)*1,$AL$17:$AL$172)/1000</f>
        <v>0</v>
      </c>
      <c r="R7" s="133"/>
      <c r="S7" s="133"/>
      <c r="T7" s="783"/>
      <c r="U7" s="783"/>
      <c r="V7" s="783"/>
      <c r="W7" s="783"/>
      <c r="X7" s="783"/>
      <c r="Y7" s="783"/>
      <c r="Z7" s="783"/>
      <c r="AB7" s="776"/>
      <c r="AC7" s="777"/>
      <c r="AD7" s="777"/>
      <c r="AE7" s="777"/>
      <c r="AF7" s="778"/>
      <c r="AO7" s="381" t="s">
        <v>268</v>
      </c>
      <c r="AP7" s="286">
        <f>VLOOKUP($E$6,'Emission factors'!$C$343:$Y$370,'Emission factors'!R$340,0)</f>
        <v>0.02</v>
      </c>
      <c r="AQ7" s="286">
        <f>VLOOKUP($E$6,'Emission factors'!$C$343:$Y$370,'Emission factors'!S$340,0)</f>
        <v>0.5</v>
      </c>
      <c r="AR7" s="286">
        <f>VLOOKUP($E$6,'Emission factors'!$C$343:$Y$370,'Emission factors'!T$340,0)</f>
        <v>1E-3</v>
      </c>
      <c r="AS7" s="287">
        <f>VLOOKUP($E$6,'Emission factors'!$C$343:$Y$370,'Emission factors'!U$340,0)</f>
        <v>1E-4</v>
      </c>
      <c r="AT7" s="286">
        <f>VLOOKUP($E$6,'Emission factors'!$C$343:$Y$370,'Emission factors'!V$340,0)</f>
        <v>1E-4</v>
      </c>
      <c r="AU7" s="286">
        <f>VLOOKUP($E$6,'Emission factors'!$C$343:$Y$370,'Emission factors'!W$340,0)</f>
        <v>5.0000000000000001E-4</v>
      </c>
      <c r="AV7" s="286">
        <f>VLOOKUP($E$6,'Emission factors'!$C$343:$Y$370,'Emission factors'!X$340,0)</f>
        <v>0</v>
      </c>
      <c r="AY7" s="283" t="str">
        <f>Lists!H6</f>
        <v xml:space="preserve"> emissions are relatively low
</v>
      </c>
      <c r="BA7" t="str">
        <f>Translate!$A$134</f>
        <v>Total</v>
      </c>
      <c r="BB7" s="49">
        <f ca="1">BB6</f>
        <v>0</v>
      </c>
      <c r="BC7" s="49">
        <f ca="1">BC6</f>
        <v>0</v>
      </c>
      <c r="BD7" s="49">
        <f ca="1">BD5+BD6</f>
        <v>0</v>
      </c>
      <c r="BE7" s="458">
        <f ca="1">IF(P7=0,0,ROUND(P7,-ROUNDDOWN(LOG(ABS(P7)),0)+1))</f>
        <v>0</v>
      </c>
    </row>
    <row r="8" spans="1:57">
      <c r="A8" s="338"/>
      <c r="B8" s="782"/>
      <c r="C8" s="338"/>
      <c r="D8" s="217" t="str">
        <f>Translate!$A$66</f>
        <v>Author</v>
      </c>
      <c r="E8" s="466"/>
      <c r="F8" s="338"/>
      <c r="H8" s="91" t="str">
        <f>Translate!$A$105</f>
        <v>Energy</v>
      </c>
      <c r="L8" s="389"/>
      <c r="M8" s="389"/>
      <c r="N8" s="389"/>
      <c r="O8" s="388">
        <f t="shared" ref="O8:O13" ca="1" si="4">P8</f>
        <v>0</v>
      </c>
      <c r="P8" s="93">
        <f t="shared" ca="1" si="2"/>
        <v>0</v>
      </c>
      <c r="Q8" s="49">
        <f t="shared" ca="1" si="3"/>
        <v>0</v>
      </c>
      <c r="R8" s="133"/>
      <c r="S8" s="133"/>
      <c r="T8" s="783"/>
      <c r="U8" s="783"/>
      <c r="V8" s="783"/>
      <c r="W8" s="783"/>
      <c r="X8" s="783"/>
      <c r="Y8" s="783"/>
      <c r="Z8" s="783"/>
      <c r="AB8" s="776"/>
      <c r="AC8" s="777"/>
      <c r="AD8" s="777"/>
      <c r="AE8" s="777"/>
      <c r="AF8" s="778"/>
      <c r="AO8" s="283"/>
      <c r="AP8" s="283" t="str">
        <f t="shared" ref="AP8:AU8" ca="1" si="5">IF(AP7&gt;AP3,AP1&amp;$AY$7,IF(AP6&lt;AP3,AP1&amp;$AY$6,""))</f>
        <v xml:space="preserve">Energy emissions are relatively low
</v>
      </c>
      <c r="AQ8" s="283" t="str">
        <f t="shared" ca="1" si="5"/>
        <v xml:space="preserve">Materials emissions are relatively low
</v>
      </c>
      <c r="AR8" s="283" t="str">
        <f t="shared" ca="1" si="5"/>
        <v xml:space="preserve">Freight emissions are relatively low
</v>
      </c>
      <c r="AS8" s="283" t="str">
        <f t="shared" ca="1" si="5"/>
        <v xml:space="preserve">Mob/demob emissions are relatively low
</v>
      </c>
      <c r="AT8" s="283" t="str">
        <f t="shared" ca="1" si="5"/>
        <v xml:space="preserve">People's transportation emissions are relatively low
</v>
      </c>
      <c r="AU8" s="283" t="str">
        <f t="shared" ca="1" si="5"/>
        <v xml:space="preserve">Assets emissions are relatively low
</v>
      </c>
      <c r="AV8" s="283" t="str">
        <f ca="1">IF(AV7&gt;AV3,AV1&amp;$AY$7,IF(AV6&lt;AV3,AV1&amp;$AY$6,""))</f>
        <v/>
      </c>
      <c r="AW8" s="283"/>
      <c r="AY8" s="283" t="str">
        <f>Lists!H7</f>
        <v xml:space="preserve">    (Primary source)</v>
      </c>
      <c r="BE8" s="458">
        <f t="shared" ref="BE8:BE13" ca="1" si="6">IF(P8=0,0,ROUND(P8,-ROUNDDOWN(LOG(ABS(P8)),0)+1))</f>
        <v>0</v>
      </c>
    </row>
    <row r="9" spans="1:57">
      <c r="A9" s="338"/>
      <c r="B9" s="782"/>
      <c r="C9" s="338"/>
      <c r="D9" s="217" t="str">
        <f>Translate!$A$67</f>
        <v>Working days</v>
      </c>
      <c r="E9" s="515"/>
      <c r="F9" s="217" t="str">
        <f>Translate!$A$67</f>
        <v>Working days</v>
      </c>
      <c r="H9" s="91" t="str">
        <f>Translate!$A$106</f>
        <v>Freight</v>
      </c>
      <c r="L9" s="389"/>
      <c r="M9" s="389"/>
      <c r="N9" s="389"/>
      <c r="O9" s="388">
        <f t="shared" ca="1" si="4"/>
        <v>0</v>
      </c>
      <c r="P9" s="93">
        <f t="shared" ca="1" si="2"/>
        <v>0</v>
      </c>
      <c r="Q9" s="49">
        <f t="shared" ca="1" si="3"/>
        <v>0</v>
      </c>
      <c r="R9" s="133"/>
      <c r="S9" s="133"/>
      <c r="T9" s="783"/>
      <c r="U9" s="783"/>
      <c r="V9" s="783"/>
      <c r="W9" s="783"/>
      <c r="X9" s="783"/>
      <c r="Y9" s="783"/>
      <c r="Z9" s="783"/>
      <c r="AB9" s="776"/>
      <c r="AC9" s="777"/>
      <c r="AD9" s="777"/>
      <c r="AE9" s="777"/>
      <c r="AF9" s="778"/>
      <c r="AO9" s="283"/>
      <c r="AP9" s="283" t="str">
        <f t="shared" ref="AP9:AV9" si="7">IF(AP2=1,AP1&amp;", ","")</f>
        <v xml:space="preserve">Energy, </v>
      </c>
      <c r="AQ9" s="283" t="str">
        <f t="shared" si="7"/>
        <v xml:space="preserve">Materials, </v>
      </c>
      <c r="AR9" s="283" t="str">
        <f t="shared" si="7"/>
        <v/>
      </c>
      <c r="AS9" s="283" t="str">
        <f t="shared" si="7"/>
        <v/>
      </c>
      <c r="AT9" s="283" t="str">
        <f t="shared" si="7"/>
        <v/>
      </c>
      <c r="AU9" s="283" t="str">
        <f t="shared" si="7"/>
        <v/>
      </c>
      <c r="AV9" s="283" t="str">
        <f t="shared" si="7"/>
        <v/>
      </c>
      <c r="AY9" s="283" t="str">
        <f>Lists!H8</f>
        <v xml:space="preserve">    (Secondary source)</v>
      </c>
      <c r="BE9" s="458">
        <f t="shared" ca="1" si="6"/>
        <v>0</v>
      </c>
    </row>
    <row r="10" spans="1:57">
      <c r="A10" s="338"/>
      <c r="B10" s="782"/>
      <c r="C10" s="338"/>
      <c r="D10" s="217" t="str">
        <f>Translate!$A$68</f>
        <v>Workforce</v>
      </c>
      <c r="E10" s="515"/>
      <c r="F10" s="431" t="str">
        <f>Translate!$A$94</f>
        <v>Full-time equivalent</v>
      </c>
      <c r="H10" s="91" t="str">
        <f>Translate!$A$107</f>
        <v>Mob/demob</v>
      </c>
      <c r="L10" s="389"/>
      <c r="M10" s="389"/>
      <c r="N10" s="389"/>
      <c r="O10" s="388">
        <f t="shared" ca="1" si="4"/>
        <v>0</v>
      </c>
      <c r="P10" s="93">
        <f t="shared" ca="1" si="2"/>
        <v>0</v>
      </c>
      <c r="Q10" s="49">
        <f t="shared" ca="1" si="3"/>
        <v>0</v>
      </c>
      <c r="R10" s="133"/>
      <c r="S10" s="133"/>
      <c r="T10" s="783"/>
      <c r="U10" s="783"/>
      <c r="V10" s="783"/>
      <c r="W10" s="783"/>
      <c r="X10" s="783"/>
      <c r="Y10" s="783"/>
      <c r="Z10" s="783"/>
      <c r="AB10" s="779"/>
      <c r="AC10" s="780"/>
      <c r="AD10" s="780"/>
      <c r="AE10" s="780"/>
      <c r="AF10" s="781"/>
      <c r="AO10" s="356" t="s">
        <v>308</v>
      </c>
      <c r="AP10" s="283" t="b">
        <f ca="1">IF((AP2=1),NOT(AP3=0),TRUE)</f>
        <v>0</v>
      </c>
      <c r="AQ10" s="283" t="b">
        <f t="shared" ref="AQ10:AV10" ca="1" si="8">IF((AQ2=1),NOT(AQ3=0),TRUE)</f>
        <v>0</v>
      </c>
      <c r="AR10" s="283" t="b">
        <f t="shared" si="8"/>
        <v>1</v>
      </c>
      <c r="AS10" s="283" t="b">
        <f t="shared" si="8"/>
        <v>1</v>
      </c>
      <c r="AT10" s="283" t="b">
        <f t="shared" si="8"/>
        <v>1</v>
      </c>
      <c r="AU10" s="283" t="b">
        <f t="shared" si="8"/>
        <v>1</v>
      </c>
      <c r="AV10" s="283" t="b">
        <f t="shared" si="8"/>
        <v>1</v>
      </c>
      <c r="AW10" s="283" t="b">
        <f ca="1">AND(AP10:AV10)</f>
        <v>0</v>
      </c>
      <c r="BE10" s="458">
        <f t="shared" ca="1" si="6"/>
        <v>0</v>
      </c>
    </row>
    <row r="11" spans="1:57" ht="15.75" thickBot="1">
      <c r="A11" s="338"/>
      <c r="B11" s="133"/>
      <c r="C11" s="338"/>
      <c r="D11" s="217" t="str">
        <f>Translate!$A$69</f>
        <v>Project value</v>
      </c>
      <c r="E11" s="515"/>
      <c r="F11" s="340" t="str">
        <f>Translate!$A$95</f>
        <v>€</v>
      </c>
      <c r="H11" s="91" t="str">
        <f>Translate!$A$108</f>
        <v>People's transportation</v>
      </c>
      <c r="L11" s="389"/>
      <c r="M11" s="389"/>
      <c r="N11" s="389"/>
      <c r="O11" s="388">
        <f t="shared" ca="1" si="4"/>
        <v>0</v>
      </c>
      <c r="P11" s="93">
        <f t="shared" ca="1" si="2"/>
        <v>0</v>
      </c>
      <c r="Q11" s="49">
        <f t="shared" ca="1" si="3"/>
        <v>0</v>
      </c>
      <c r="AO11" s="283"/>
      <c r="AP11" s="283" t="str">
        <f>IF(AP2=1,AP1&amp;$AY$8,AP1&amp;$AY$9)</f>
        <v>Energy    (Primary source)</v>
      </c>
      <c r="AQ11" s="283" t="str">
        <f t="shared" ref="AQ11:AV11" si="9">IF(AQ2=1,AQ1&amp;$AY$8,AQ1&amp;$AY$9)</f>
        <v>Materials    (Primary source)</v>
      </c>
      <c r="AR11" s="283" t="str">
        <f t="shared" si="9"/>
        <v>Freight    (Secondary source)</v>
      </c>
      <c r="AS11" s="283" t="str">
        <f t="shared" si="9"/>
        <v>Mob/demob    (Secondary source)</v>
      </c>
      <c r="AT11" s="283" t="str">
        <f t="shared" si="9"/>
        <v>People's transportation    (Secondary source)</v>
      </c>
      <c r="AU11" s="283" t="str">
        <f t="shared" si="9"/>
        <v>Assets    (Secondary source)</v>
      </c>
      <c r="AV11" s="283" t="str">
        <f t="shared" si="9"/>
        <v>Waste    (Secondary source)</v>
      </c>
      <c r="BE11" s="458">
        <f t="shared" ca="1" si="6"/>
        <v>0</v>
      </c>
    </row>
    <row r="12" spans="1:57" ht="21.75" customHeight="1" thickBot="1">
      <c r="A12" s="338"/>
      <c r="B12" s="133"/>
      <c r="C12" s="338"/>
      <c r="D12" s="217" t="str">
        <f>Translate!$A$70</f>
        <v>Country</v>
      </c>
      <c r="E12" s="493" t="str">
        <f>Translate!$A$300</f>
        <v>-Select the project country</v>
      </c>
      <c r="F12" s="338"/>
      <c r="H12" s="91" t="str">
        <f>Translate!$A$109</f>
        <v>Assets</v>
      </c>
      <c r="L12" s="389"/>
      <c r="M12" s="389"/>
      <c r="N12" s="389"/>
      <c r="O12" s="388">
        <f t="shared" ca="1" si="4"/>
        <v>0</v>
      </c>
      <c r="P12" s="93">
        <f t="shared" ca="1" si="2"/>
        <v>0</v>
      </c>
      <c r="Q12" s="49">
        <f t="shared" ca="1" si="3"/>
        <v>0</v>
      </c>
      <c r="T12" s="485" t="str">
        <f>Translate!$A$125</f>
        <v>TOTAL GHG EMISSIONS</v>
      </c>
      <c r="U12" s="486"/>
      <c r="V12" s="784">
        <f ca="1">IF(P14=0,0,ROUND(P14,-ROUNDDOWN(LOG(ABS(P14)),0)+1))</f>
        <v>0</v>
      </c>
      <c r="W12" s="784"/>
      <c r="X12" s="784"/>
      <c r="Y12" s="487" t="str">
        <f>Translate!$A$115</f>
        <v>tCO2e</v>
      </c>
      <c r="BE12" s="458">
        <f t="shared" ca="1" si="6"/>
        <v>0</v>
      </c>
    </row>
    <row r="13" spans="1:57">
      <c r="A13" s="338"/>
      <c r="B13" s="133"/>
      <c r="C13" s="338"/>
      <c r="D13" s="466" t="str">
        <f>Translate!$A$71</f>
        <v>Functional unit 1</v>
      </c>
      <c r="E13" s="515" t="str">
        <f>Translate!$A$87</f>
        <v>value</v>
      </c>
      <c r="F13" s="466" t="str">
        <f>Translate!$A$96</f>
        <v>unit</v>
      </c>
      <c r="H13" s="91" t="str">
        <f>Translate!$A$110</f>
        <v>Waste</v>
      </c>
      <c r="L13" s="389"/>
      <c r="M13" s="389"/>
      <c r="N13" s="389"/>
      <c r="O13" s="388">
        <f t="shared" ca="1" si="4"/>
        <v>0</v>
      </c>
      <c r="P13" s="93">
        <f t="shared" ca="1" si="2"/>
        <v>0</v>
      </c>
      <c r="Q13" s="49">
        <f t="shared" ca="1" si="3"/>
        <v>0</v>
      </c>
      <c r="BE13" s="458">
        <f t="shared" ca="1" si="6"/>
        <v>0</v>
      </c>
    </row>
    <row r="14" spans="1:57">
      <c r="A14" s="338"/>
      <c r="B14" s="133"/>
      <c r="C14" s="338"/>
      <c r="D14" s="466" t="str">
        <f>Translate!$A$72</f>
        <v>Functional unit 2</v>
      </c>
      <c r="E14" s="515" t="str">
        <f>Translate!$A$87</f>
        <v>value</v>
      </c>
      <c r="F14" s="466" t="str">
        <f>Translate!$A$96</f>
        <v>unit</v>
      </c>
      <c r="P14" s="49">
        <f ca="1">SUM(P7:P13)</f>
        <v>0</v>
      </c>
      <c r="S14" s="49"/>
    </row>
    <row r="15" spans="1:57" ht="12" customHeight="1">
      <c r="A15" s="338"/>
      <c r="B15" s="133"/>
      <c r="C15" s="338"/>
      <c r="D15" s="338"/>
      <c r="E15" s="338"/>
      <c r="F15" s="338"/>
    </row>
    <row r="16" spans="1:57" ht="25.5" hidden="1">
      <c r="I16" s="282" t="s">
        <v>64</v>
      </c>
      <c r="J16" s="282"/>
      <c r="K16" s="282" t="s">
        <v>16</v>
      </c>
      <c r="L16" s="282" t="s">
        <v>65</v>
      </c>
    </row>
    <row r="17" spans="1:41" ht="21" customHeight="1">
      <c r="A17" s="1"/>
      <c r="B17" s="1"/>
      <c r="C17" s="1"/>
      <c r="D17" s="8" t="str">
        <f>AQ11</f>
        <v>Materials    (Primary source)</v>
      </c>
      <c r="E17" s="1"/>
      <c r="F17" s="1"/>
      <c r="G17" s="1"/>
      <c r="H17" s="1"/>
      <c r="I17" s="1"/>
      <c r="J17" s="1"/>
      <c r="K17" s="1"/>
      <c r="L17" s="1"/>
      <c r="M17" s="1"/>
      <c r="N17" s="1"/>
      <c r="O17" s="16"/>
      <c r="P17" s="16"/>
      <c r="Q17" s="16" t="str">
        <f>AR11</f>
        <v>Freight    (Secondary source)</v>
      </c>
      <c r="R17" s="15"/>
      <c r="S17" s="16"/>
      <c r="T17" s="16"/>
      <c r="U17" s="15"/>
      <c r="V17" s="15"/>
      <c r="W17" s="15"/>
      <c r="X17" s="15"/>
      <c r="Y17" s="15"/>
      <c r="Z17" s="15"/>
      <c r="AA17" s="15"/>
      <c r="AB17" s="15"/>
      <c r="AC17" s="15"/>
      <c r="AD17" s="15"/>
      <c r="AE17" s="15"/>
      <c r="AH17" s="357" t="s">
        <v>323</v>
      </c>
      <c r="AI17" s="357" t="s">
        <v>319</v>
      </c>
      <c r="AJ17" s="357" t="s">
        <v>320</v>
      </c>
      <c r="AK17" s="357" t="s">
        <v>314</v>
      </c>
      <c r="AL17" s="357" t="s">
        <v>321</v>
      </c>
      <c r="AM17" s="357"/>
      <c r="AN17" s="357" t="s">
        <v>322</v>
      </c>
    </row>
    <row r="18" spans="1:41" ht="12.75" customHeight="1">
      <c r="A18" s="1"/>
      <c r="D18" s="3"/>
    </row>
    <row r="19" spans="1:41" ht="8.1" customHeight="1">
      <c r="A19" s="1"/>
      <c r="C19" s="27"/>
      <c r="D19" s="29"/>
      <c r="E19" s="29"/>
      <c r="F19" s="29"/>
      <c r="G19" s="29"/>
      <c r="H19" s="29"/>
      <c r="I19" s="29"/>
      <c r="J19" s="29"/>
      <c r="K19" s="29"/>
      <c r="L19" s="29"/>
      <c r="M19" s="29"/>
      <c r="N19" s="29"/>
      <c r="O19" s="30"/>
      <c r="P19" s="30"/>
      <c r="Q19" s="30"/>
      <c r="R19" s="30"/>
      <c r="S19" s="30"/>
      <c r="T19" s="30"/>
      <c r="U19" s="30"/>
      <c r="V19" s="30"/>
      <c r="W19" s="30"/>
      <c r="X19" s="30"/>
      <c r="Y19" s="30"/>
      <c r="Z19" s="30"/>
      <c r="AA19" s="30"/>
      <c r="AB19" s="30"/>
      <c r="AC19" s="30"/>
      <c r="AD19" s="30"/>
      <c r="AE19" s="31"/>
      <c r="AL19" s="49"/>
    </row>
    <row r="20" spans="1:41" ht="15.75">
      <c r="A20" s="1"/>
      <c r="B20" s="551" t="s">
        <v>316</v>
      </c>
      <c r="C20" s="32"/>
      <c r="D20" s="468" t="str">
        <f>Translate!$A$177</f>
        <v>Aggregate</v>
      </c>
      <c r="E20" s="477"/>
      <c r="F20" s="7" t="str">
        <f>VLOOKUP(D20,EFtable,2,0)</f>
        <v>t</v>
      </c>
      <c r="G20" s="23"/>
      <c r="H20" s="23"/>
      <c r="I20" s="25">
        <f>E20</f>
        <v>0</v>
      </c>
      <c r="J20" s="21" t="str">
        <f>F20</f>
        <v>t</v>
      </c>
      <c r="K20" s="38">
        <f>IF(ISERROR(E21*1),VLOOKUP(D20,EFtable,3,0),VLOOKUP(D20,EFtable,3,0)*(1-E21)+VLOOKUP(D20&amp;Translate!$A$199,EFtable,3,0)*E21)</f>
        <v>4</v>
      </c>
      <c r="L20" s="25">
        <f>IF(F21=Translate!$A$111,0,I20*K20)</f>
        <v>0</v>
      </c>
      <c r="M20" s="21" t="str">
        <f>Translate!$A$102</f>
        <v>kgCO2e</v>
      </c>
      <c r="N20" s="23"/>
      <c r="O20" s="24"/>
      <c r="P20" s="19" t="str">
        <f>Translate!$A$112</f>
        <v>Distance</v>
      </c>
      <c r="Q20" s="470"/>
      <c r="R20" s="20" t="str">
        <f>'Emission factors'!$F$410</f>
        <v>km</v>
      </c>
      <c r="S20" s="19" t="str">
        <f>Translate!$A$120</f>
        <v>Type</v>
      </c>
      <c r="T20" s="657" t="str">
        <f>IF(ISERROR(VLOOKUP(D19,StandardFreight,2,0)),VLOOKUP(Translate!$A$118,StandardFreight,2,0),VLOOKUP(D19,StandardFreight,2,0))</f>
        <v>Road - Articulated &gt;33t</v>
      </c>
      <c r="U20" s="19" t="str">
        <f>Translate!$A$127</f>
        <v>Load</v>
      </c>
      <c r="V20" s="478">
        <f>VLOOKUP(T20,FreightLoadFactors,2,0)</f>
        <v>15</v>
      </c>
      <c r="W20" s="20" t="str">
        <f>J20</f>
        <v>t</v>
      </c>
      <c r="X20" s="471">
        <f>IF(V20=0,0,ROUNDUP(I20/V20,0))</f>
        <v>0</v>
      </c>
      <c r="Y20" s="20" t="str">
        <f>Translate!$A$130</f>
        <v>travels</v>
      </c>
      <c r="Z20" s="39" t="str">
        <f>Translate!$A$128</f>
        <v>empty-return rate</v>
      </c>
      <c r="AA20" s="472">
        <v>0.5</v>
      </c>
      <c r="AB20" s="48">
        <f>VLOOKUP(T20,EFtable,3,0)</f>
        <v>0.93694</v>
      </c>
      <c r="AC20" s="46">
        <f>Q20*X20*(1+AA20)*AB20</f>
        <v>0</v>
      </c>
      <c r="AD20" s="47" t="str">
        <f>Translate!$A$102</f>
        <v>kgCO2e</v>
      </c>
      <c r="AE20" s="33"/>
      <c r="AH20">
        <f>HLOOKUP(AI20,$AP$1:$AV$2,2,0)</f>
        <v>1</v>
      </c>
      <c r="AI20" t="str">
        <f>Translate!$A$104</f>
        <v>Materials</v>
      </c>
      <c r="AJ20" s="49">
        <f>L20</f>
        <v>0</v>
      </c>
      <c r="AK20" s="372" t="str">
        <f>VLOOKUP(D20,EFtable,7,0)</f>
        <v>Concrete / Slurry / Grout mix</v>
      </c>
      <c r="AL20" s="379">
        <f>VLOOKUP(D20,EFtable,8,0)*L20</f>
        <v>0</v>
      </c>
      <c r="AN20">
        <f>ROW(F22)-ROW(F19)</f>
        <v>3</v>
      </c>
      <c r="AO20" s="49">
        <f>AJ20</f>
        <v>0</v>
      </c>
    </row>
    <row r="21" spans="1:41">
      <c r="A21" s="1"/>
      <c r="C21" s="32"/>
      <c r="D21" s="336" t="str">
        <f>Translate!$A$79</f>
        <v>Recycled content</v>
      </c>
      <c r="E21" s="476" t="str">
        <f>IF(ISERROR(VLOOKUP(D20,RecycledContent,2,0)),Translate!$A$90,VLOOKUP(D20,RecycledContent,2,0))</f>
        <v>do not apply</v>
      </c>
      <c r="F21" s="469" t="str">
        <f>Translate!$A$478</f>
        <v>-new or recycled-</v>
      </c>
      <c r="G21" s="23"/>
      <c r="H21" s="23"/>
      <c r="I21" s="23"/>
      <c r="J21" s="23"/>
      <c r="K21" s="23"/>
      <c r="L21" s="23"/>
      <c r="M21" s="23"/>
      <c r="N21" s="23"/>
      <c r="O21" s="24"/>
      <c r="P21" s="24"/>
      <c r="Q21" s="24"/>
      <c r="R21" s="24"/>
      <c r="S21" s="24"/>
      <c r="T21" s="24"/>
      <c r="U21" s="24"/>
      <c r="V21" s="24"/>
      <c r="W21" s="24"/>
      <c r="X21" s="24"/>
      <c r="Y21" s="24"/>
      <c r="Z21" s="24"/>
      <c r="AA21" s="24"/>
      <c r="AB21" s="24"/>
      <c r="AC21" s="24"/>
      <c r="AD21" s="24"/>
      <c r="AE21" s="33"/>
      <c r="AH21">
        <f>HLOOKUP(AI21,$AP$1:$AV$2,2,0)</f>
        <v>2</v>
      </c>
      <c r="AI21" t="str">
        <f>Translate!$A$106</f>
        <v>Freight</v>
      </c>
      <c r="AJ21" s="49">
        <f>AC20</f>
        <v>0</v>
      </c>
      <c r="AL21" s="379">
        <f>VLOOKUP(T20,EFtable,8,0)*AC20</f>
        <v>0</v>
      </c>
      <c r="AO21" s="49">
        <f>AJ21</f>
        <v>0</v>
      </c>
    </row>
    <row r="22" spans="1:41" ht="8.1" customHeight="1">
      <c r="A22" s="1"/>
      <c r="C22" s="34"/>
      <c r="D22" s="35"/>
      <c r="E22" s="35"/>
      <c r="F22" s="35"/>
      <c r="G22" s="35"/>
      <c r="H22" s="35"/>
      <c r="I22" s="35"/>
      <c r="J22" s="35"/>
      <c r="K22" s="35"/>
      <c r="L22" s="35"/>
      <c r="M22" s="35"/>
      <c r="N22" s="35"/>
      <c r="O22" s="36"/>
      <c r="P22" s="36"/>
      <c r="Q22" s="36"/>
      <c r="R22" s="36"/>
      <c r="S22" s="36"/>
      <c r="T22" s="36"/>
      <c r="U22" s="36"/>
      <c r="V22" s="36"/>
      <c r="W22" s="36"/>
      <c r="X22" s="36"/>
      <c r="Y22" s="36"/>
      <c r="Z22" s="36"/>
      <c r="AA22" s="36"/>
      <c r="AB22" s="36"/>
      <c r="AC22" s="36"/>
      <c r="AD22" s="36"/>
      <c r="AE22" s="37"/>
      <c r="AL22" s="49"/>
    </row>
    <row r="23" spans="1:41">
      <c r="A23" s="1"/>
      <c r="AL23" s="49"/>
    </row>
    <row r="24" spans="1:41" ht="8.1" customHeight="1">
      <c r="A24" s="1"/>
      <c r="C24" s="27"/>
      <c r="D24" s="29"/>
      <c r="E24" s="29"/>
      <c r="F24" s="29"/>
      <c r="G24" s="29"/>
      <c r="H24" s="29"/>
      <c r="I24" s="29"/>
      <c r="J24" s="29"/>
      <c r="K24" s="29"/>
      <c r="L24" s="29"/>
      <c r="M24" s="29"/>
      <c r="N24" s="29"/>
      <c r="O24" s="30"/>
      <c r="P24" s="30"/>
      <c r="Q24" s="30"/>
      <c r="R24" s="30"/>
      <c r="S24" s="30"/>
      <c r="T24" s="30"/>
      <c r="U24" s="30"/>
      <c r="V24" s="30"/>
      <c r="W24" s="30"/>
      <c r="X24" s="30"/>
      <c r="Y24" s="30"/>
      <c r="Z24" s="30"/>
      <c r="AA24" s="30"/>
      <c r="AB24" s="30"/>
      <c r="AC24" s="30"/>
      <c r="AD24" s="30"/>
      <c r="AE24" s="31"/>
      <c r="AL24" s="49"/>
    </row>
    <row r="25" spans="1:41" ht="15.75">
      <c r="A25" s="1"/>
      <c r="B25" s="551" t="s">
        <v>316</v>
      </c>
      <c r="C25" s="32"/>
      <c r="D25" s="468" t="str">
        <f>Translate!$A$194</f>
        <v>Steel tubes</v>
      </c>
      <c r="E25" s="477"/>
      <c r="F25" s="7" t="str">
        <f>VLOOKUP(D25,EFtable,2,0)</f>
        <v>t</v>
      </c>
      <c r="G25" s="23"/>
      <c r="H25" s="23"/>
      <c r="I25" s="25">
        <f>E25</f>
        <v>0</v>
      </c>
      <c r="J25" s="21" t="str">
        <f>F25</f>
        <v>t</v>
      </c>
      <c r="K25" s="38">
        <f>IF(ISERROR(E26*1),VLOOKUP(D25,EFtable,3,0),VLOOKUP(D25,EFtable,3,0)*(1-E26)+VLOOKUP(D25&amp;Translate!$A$199,EFtable,3,0)*E26)</f>
        <v>1923.1000000000001</v>
      </c>
      <c r="L25" s="25">
        <f>IF(F26=Translate!$A$111,0,I25*K25)</f>
        <v>0</v>
      </c>
      <c r="M25" s="21" t="str">
        <f>Translate!$A$102</f>
        <v>kgCO2e</v>
      </c>
      <c r="N25" s="23"/>
      <c r="O25" s="24"/>
      <c r="P25" s="19" t="str">
        <f>Translate!$A$112</f>
        <v>Distance</v>
      </c>
      <c r="Q25" s="470"/>
      <c r="R25" s="20" t="str">
        <f>'Emission factors'!$F$410</f>
        <v>km</v>
      </c>
      <c r="S25" s="19" t="str">
        <f>Translate!$A$120</f>
        <v>Type</v>
      </c>
      <c r="T25" s="657" t="str">
        <f>IF(ISERROR(VLOOKUP(D24,StandardFreight,2,0)),VLOOKUP(Translate!$A$118,StandardFreight,2,0),VLOOKUP(D24,StandardFreight,2,0))</f>
        <v>Road - Articulated &gt;33t</v>
      </c>
      <c r="U25" s="19" t="str">
        <f>Translate!$A$127</f>
        <v>Load</v>
      </c>
      <c r="V25" s="478">
        <f>VLOOKUP(T25,FreightLoadFactors,2,0)</f>
        <v>15</v>
      </c>
      <c r="W25" s="20" t="str">
        <f>J25</f>
        <v>t</v>
      </c>
      <c r="X25" s="471">
        <f>IF(V25=0,0,ROUNDUP(I25/V25,0))</f>
        <v>0</v>
      </c>
      <c r="Y25" s="20" t="str">
        <f>Translate!$A$130</f>
        <v>travels</v>
      </c>
      <c r="Z25" s="39" t="str">
        <f>Translate!$A$128</f>
        <v>empty-return rate</v>
      </c>
      <c r="AA25" s="472">
        <v>0.5</v>
      </c>
      <c r="AB25" s="48">
        <f>VLOOKUP(T25,EFtable,3,0)</f>
        <v>0.93694</v>
      </c>
      <c r="AC25" s="46">
        <f>Q25*X25*(1+AA25)*AB25</f>
        <v>0</v>
      </c>
      <c r="AD25" s="47" t="str">
        <f>Translate!$A$102</f>
        <v>kgCO2e</v>
      </c>
      <c r="AE25" s="33"/>
      <c r="AH25">
        <f>HLOOKUP(AI25,$AP$1:$AV$2,2,0)</f>
        <v>1</v>
      </c>
      <c r="AI25" t="str">
        <f>Translate!$A$104</f>
        <v>Materials</v>
      </c>
      <c r="AJ25" s="49">
        <f>L25</f>
        <v>0</v>
      </c>
      <c r="AK25" s="372" t="str">
        <f>VLOOKUP(D25,EFtable,7,0)</f>
        <v>Steel</v>
      </c>
      <c r="AL25" s="379">
        <f>VLOOKUP(D25,EFtable,8,0)*L25</f>
        <v>0</v>
      </c>
      <c r="AN25">
        <f>ROW(F27)-ROW(F24)</f>
        <v>3</v>
      </c>
      <c r="AO25" s="49">
        <f>AJ25</f>
        <v>0</v>
      </c>
    </row>
    <row r="26" spans="1:41">
      <c r="A26" s="1"/>
      <c r="C26" s="32"/>
      <c r="D26" s="336" t="str">
        <f>Translate!$A$79</f>
        <v>Recycled content</v>
      </c>
      <c r="E26" s="476">
        <f>IF(ISERROR(VLOOKUP(D25,RecycledContent,2,0)),Translate!$A$90,VLOOKUP(D25,RecycledContent,2,0))</f>
        <v>0.41</v>
      </c>
      <c r="F26" s="469" t="str">
        <f>Translate!$A$478</f>
        <v>-new or recycled-</v>
      </c>
      <c r="G26" s="23"/>
      <c r="H26" s="23"/>
      <c r="I26" s="23"/>
      <c r="J26" s="23"/>
      <c r="K26" s="23"/>
      <c r="L26" s="23"/>
      <c r="M26" s="23"/>
      <c r="N26" s="23"/>
      <c r="O26" s="24"/>
      <c r="P26" s="24"/>
      <c r="Q26" s="24"/>
      <c r="R26" s="24"/>
      <c r="S26" s="24"/>
      <c r="T26" s="24"/>
      <c r="U26" s="24"/>
      <c r="V26" s="24"/>
      <c r="W26" s="24"/>
      <c r="X26" s="24"/>
      <c r="Y26" s="24"/>
      <c r="Z26" s="24"/>
      <c r="AA26" s="24"/>
      <c r="AB26" s="24"/>
      <c r="AC26" s="24"/>
      <c r="AD26" s="24"/>
      <c r="AE26" s="33"/>
      <c r="AH26">
        <f>HLOOKUP(AI26,$AP$1:$AV$2,2,0)</f>
        <v>2</v>
      </c>
      <c r="AI26" t="str">
        <f>Translate!$A$106</f>
        <v>Freight</v>
      </c>
      <c r="AJ26" s="49">
        <f>AC25</f>
        <v>0</v>
      </c>
      <c r="AL26" s="379">
        <f>VLOOKUP(T25,EFtable,8,0)*AC25</f>
        <v>0</v>
      </c>
      <c r="AO26" s="49">
        <f>AJ26</f>
        <v>0</v>
      </c>
    </row>
    <row r="27" spans="1:41" ht="8.1" customHeight="1">
      <c r="A27" s="1"/>
      <c r="C27" s="34"/>
      <c r="D27" s="35"/>
      <c r="E27" s="35"/>
      <c r="F27" s="35"/>
      <c r="G27" s="35"/>
      <c r="H27" s="35"/>
      <c r="I27" s="35"/>
      <c r="J27" s="35"/>
      <c r="K27" s="35"/>
      <c r="L27" s="35"/>
      <c r="M27" s="35"/>
      <c r="N27" s="35"/>
      <c r="O27" s="36"/>
      <c r="P27" s="36"/>
      <c r="Q27" s="36"/>
      <c r="R27" s="36"/>
      <c r="S27" s="36"/>
      <c r="T27" s="36"/>
      <c r="U27" s="36"/>
      <c r="V27" s="36"/>
      <c r="W27" s="36"/>
      <c r="X27" s="36"/>
      <c r="Y27" s="36"/>
      <c r="Z27" s="36"/>
      <c r="AA27" s="36"/>
      <c r="AB27" s="36"/>
      <c r="AC27" s="36"/>
      <c r="AD27" s="36"/>
      <c r="AE27" s="37"/>
      <c r="AL27" s="49"/>
    </row>
    <row r="28" spans="1:41">
      <c r="A28" s="1"/>
      <c r="AL28" s="49"/>
    </row>
    <row r="29" spans="1:41" ht="8.1" customHeight="1">
      <c r="A29" s="1"/>
      <c r="C29" s="27"/>
      <c r="D29" s="29"/>
      <c r="E29" s="29"/>
      <c r="F29" s="29"/>
      <c r="G29" s="29"/>
      <c r="H29" s="29"/>
      <c r="I29" s="29"/>
      <c r="J29" s="29"/>
      <c r="K29" s="29"/>
      <c r="L29" s="29"/>
      <c r="M29" s="29"/>
      <c r="N29" s="29"/>
      <c r="O29" s="30"/>
      <c r="P29" s="30"/>
      <c r="Q29" s="30"/>
      <c r="R29" s="30"/>
      <c r="S29" s="30"/>
      <c r="T29" s="30"/>
      <c r="U29" s="30"/>
      <c r="V29" s="30"/>
      <c r="W29" s="30"/>
      <c r="X29" s="30"/>
      <c r="Y29" s="30"/>
      <c r="Z29" s="30"/>
      <c r="AA29" s="30"/>
      <c r="AB29" s="30"/>
      <c r="AC29" s="30"/>
      <c r="AD29" s="30"/>
      <c r="AE29" s="31"/>
      <c r="AL29" s="49"/>
    </row>
    <row r="30" spans="1:41" ht="15.75">
      <c r="A30" s="1"/>
      <c r="B30" s="551" t="s">
        <v>316</v>
      </c>
      <c r="C30" s="32"/>
      <c r="D30" s="468" t="s">
        <v>2119</v>
      </c>
      <c r="E30" s="477"/>
      <c r="F30" s="7" t="str">
        <f>VLOOKUP(D30,EFtable,2,0)</f>
        <v>t</v>
      </c>
      <c r="G30" s="23"/>
      <c r="H30" s="23"/>
      <c r="I30" s="25">
        <f>E30</f>
        <v>0</v>
      </c>
      <c r="J30" s="21" t="str">
        <f>F30</f>
        <v>t</v>
      </c>
      <c r="K30" s="38">
        <f>IF(ISERROR(E31*1),VLOOKUP(D30,EFtable,3,0),VLOOKUP(D30,EFtable,3,0)*(1-E31)+VLOOKUP(D30&amp;Translate!$A$199,EFtable,3,0)*E31)</f>
        <v>2770.4699000000001</v>
      </c>
      <c r="L30" s="25">
        <f>IF(F31=Translate!$A$111,0,I30*K30)</f>
        <v>0</v>
      </c>
      <c r="M30" s="21" t="str">
        <f>Translate!$A$102</f>
        <v>kgCO2e</v>
      </c>
      <c r="N30" s="23"/>
      <c r="O30" s="24"/>
      <c r="P30" s="19" t="str">
        <f>Translate!$A$112</f>
        <v>Distance</v>
      </c>
      <c r="Q30" s="470"/>
      <c r="R30" s="20" t="str">
        <f>'Emission factors'!$F$410</f>
        <v>km</v>
      </c>
      <c r="S30" s="19" t="str">
        <f>Translate!$A$120</f>
        <v>Type</v>
      </c>
      <c r="T30" s="657" t="str">
        <f>IF(ISERROR(VLOOKUP(D29,StandardFreight,2,0)),VLOOKUP(Translate!$A$118,StandardFreight,2,0),VLOOKUP(D29,StandardFreight,2,0))</f>
        <v>Road - Articulated &gt;33t</v>
      </c>
      <c r="U30" s="19" t="str">
        <f>Translate!$A$127</f>
        <v>Load</v>
      </c>
      <c r="V30" s="478">
        <f>VLOOKUP(T30,FreightLoadFactors,2,0)</f>
        <v>15</v>
      </c>
      <c r="W30" s="20" t="str">
        <f>J30</f>
        <v>t</v>
      </c>
      <c r="X30" s="471">
        <f>IF(V30=0,0,ROUNDUP(I30/V30,0))</f>
        <v>0</v>
      </c>
      <c r="Y30" s="20" t="str">
        <f>Translate!$A$130</f>
        <v>travels</v>
      </c>
      <c r="Z30" s="39" t="str">
        <f>Translate!$A$128</f>
        <v>empty-return rate</v>
      </c>
      <c r="AA30" s="472">
        <v>0.5</v>
      </c>
      <c r="AB30" s="48">
        <f>VLOOKUP(T30,EFtable,3,0)</f>
        <v>0.93694</v>
      </c>
      <c r="AC30" s="46">
        <f>Q30*X30*(1+AA30)*AB30</f>
        <v>0</v>
      </c>
      <c r="AD30" s="47" t="str">
        <f>Translate!$A$102</f>
        <v>kgCO2e</v>
      </c>
      <c r="AE30" s="33"/>
      <c r="AH30">
        <f>HLOOKUP(AI30,$AP$1:$AV$2,2,0)</f>
        <v>1</v>
      </c>
      <c r="AI30" t="str">
        <f>Translate!$A$104</f>
        <v>Materials</v>
      </c>
      <c r="AJ30" s="49">
        <f>L30</f>
        <v>0</v>
      </c>
      <c r="AK30" s="372" t="str">
        <f>VLOOKUP(D30,EFtable,7,0)</f>
        <v>Other</v>
      </c>
      <c r="AL30" s="379">
        <f>VLOOKUP(D30,EFtable,8,0)*L30</f>
        <v>0</v>
      </c>
      <c r="AN30">
        <f>ROW(F32)-ROW(F29)</f>
        <v>3</v>
      </c>
      <c r="AO30" s="49">
        <f>AJ30</f>
        <v>0</v>
      </c>
    </row>
    <row r="31" spans="1:41">
      <c r="A31" s="1"/>
      <c r="C31" s="32"/>
      <c r="D31" s="336" t="str">
        <f>Translate!$A$79</f>
        <v>Recycled content</v>
      </c>
      <c r="E31" s="476" t="str">
        <f>IF(ISERROR(VLOOKUP(D30,RecycledContent,2,0)),Translate!$A$90,VLOOKUP(D30,RecycledContent,2,0))</f>
        <v>do not apply</v>
      </c>
      <c r="F31" s="469" t="str">
        <f>Translate!$A$478</f>
        <v>-new or recycled-</v>
      </c>
      <c r="G31" s="23"/>
      <c r="H31" s="23"/>
      <c r="I31" s="23"/>
      <c r="J31" s="23"/>
      <c r="K31" s="23"/>
      <c r="L31" s="23"/>
      <c r="M31" s="23"/>
      <c r="N31" s="23"/>
      <c r="O31" s="24"/>
      <c r="P31" s="24"/>
      <c r="Q31" s="24"/>
      <c r="R31" s="24"/>
      <c r="S31" s="24"/>
      <c r="T31" s="24"/>
      <c r="U31" s="24"/>
      <c r="V31" s="24"/>
      <c r="W31" s="24"/>
      <c r="X31" s="24"/>
      <c r="Y31" s="24"/>
      <c r="Z31" s="24"/>
      <c r="AA31" s="24"/>
      <c r="AB31" s="24"/>
      <c r="AC31" s="24"/>
      <c r="AD31" s="24"/>
      <c r="AE31" s="33"/>
      <c r="AH31">
        <f>HLOOKUP(AI31,$AP$1:$AV$2,2,0)</f>
        <v>2</v>
      </c>
      <c r="AI31" t="str">
        <f>Translate!$A$106</f>
        <v>Freight</v>
      </c>
      <c r="AJ31" s="49">
        <f>AC30</f>
        <v>0</v>
      </c>
      <c r="AL31" s="379">
        <f>VLOOKUP(T30,EFtable,8,0)*AC30</f>
        <v>0</v>
      </c>
      <c r="AO31" s="49">
        <f>AJ31</f>
        <v>0</v>
      </c>
    </row>
    <row r="32" spans="1:41" ht="8.1" customHeight="1">
      <c r="A32" s="1"/>
      <c r="C32" s="34"/>
      <c r="D32" s="35"/>
      <c r="E32" s="35"/>
      <c r="F32" s="35"/>
      <c r="G32" s="35"/>
      <c r="H32" s="35"/>
      <c r="I32" s="35"/>
      <c r="J32" s="35"/>
      <c r="K32" s="35"/>
      <c r="L32" s="35"/>
      <c r="M32" s="35"/>
      <c r="N32" s="35"/>
      <c r="O32" s="36"/>
      <c r="P32" s="36"/>
      <c r="Q32" s="36"/>
      <c r="R32" s="36"/>
      <c r="S32" s="36"/>
      <c r="T32" s="36"/>
      <c r="U32" s="36"/>
      <c r="V32" s="36"/>
      <c r="W32" s="36"/>
      <c r="X32" s="36"/>
      <c r="Y32" s="36"/>
      <c r="Z32" s="36"/>
      <c r="AA32" s="36"/>
      <c r="AB32" s="36"/>
      <c r="AC32" s="36"/>
      <c r="AD32" s="36"/>
      <c r="AE32" s="37"/>
    </row>
    <row r="33" spans="1:45">
      <c r="A33" s="1"/>
    </row>
    <row r="34" spans="1:45" ht="15.75">
      <c r="A34" s="1"/>
      <c r="C34" s="27"/>
      <c r="D34" s="28" t="str">
        <f>Translate!$A$73</f>
        <v>Concrete / Slurry / Grout mix</v>
      </c>
      <c r="E34" s="29"/>
      <c r="F34" s="29"/>
      <c r="G34" s="29"/>
      <c r="H34" s="29"/>
      <c r="I34" s="29"/>
      <c r="J34" s="29"/>
      <c r="K34" s="29"/>
      <c r="L34" s="29"/>
      <c r="M34" s="29"/>
      <c r="N34" s="29"/>
      <c r="O34" s="30"/>
      <c r="P34" s="30"/>
      <c r="Q34" s="30"/>
      <c r="R34" s="30"/>
      <c r="S34" s="30"/>
      <c r="T34" s="30"/>
      <c r="U34" s="30"/>
      <c r="V34" s="30"/>
      <c r="W34" s="30"/>
      <c r="X34" s="30"/>
      <c r="Y34" s="30"/>
      <c r="Z34" s="30"/>
      <c r="AA34" s="30"/>
      <c r="AB34" s="30"/>
      <c r="AC34" s="30"/>
      <c r="AD34" s="30"/>
      <c r="AE34" s="31"/>
    </row>
    <row r="35" spans="1:45" ht="15.75">
      <c r="A35" s="1"/>
      <c r="B35" s="551" t="s">
        <v>316</v>
      </c>
      <c r="C35" s="32"/>
      <c r="D35" s="22"/>
      <c r="E35" s="23"/>
      <c r="F35" s="23"/>
      <c r="G35" s="23"/>
      <c r="H35" s="23"/>
      <c r="I35" s="23"/>
      <c r="J35" s="23"/>
      <c r="K35" s="23"/>
      <c r="L35" s="23"/>
      <c r="M35" s="23"/>
      <c r="N35" s="23"/>
      <c r="O35" s="24"/>
      <c r="P35" s="24"/>
      <c r="Q35" s="24"/>
      <c r="R35" s="24"/>
      <c r="S35" s="24"/>
      <c r="T35" s="24"/>
      <c r="U35" s="24"/>
      <c r="V35" s="24"/>
      <c r="W35" s="24"/>
      <c r="X35" s="24"/>
      <c r="Y35" s="24"/>
      <c r="Z35" s="24"/>
      <c r="AA35" s="24"/>
      <c r="AB35" s="24"/>
      <c r="AC35" s="24"/>
      <c r="AD35" s="24"/>
      <c r="AE35" s="33"/>
      <c r="AN35">
        <f>ROW(F58)-ROW(F34)</f>
        <v>24</v>
      </c>
    </row>
    <row r="36" spans="1:45" ht="15.75">
      <c r="A36" s="1"/>
      <c r="C36" s="32"/>
      <c r="D36" s="10" t="str">
        <f>Translate!$A$47</f>
        <v>Name</v>
      </c>
      <c r="E36" s="465" t="str">
        <f>Translate!$A$88</f>
        <v>Default concrete</v>
      </c>
      <c r="F36" s="23"/>
      <c r="G36" s="23"/>
      <c r="H36" s="23"/>
      <c r="I36" s="23"/>
      <c r="J36" s="23"/>
      <c r="K36" s="23"/>
      <c r="L36" s="613" t="str">
        <f>Translate!$A$475</f>
        <v>made at plant</v>
      </c>
      <c r="M36" s="614">
        <f>IF(L36=Translate!$A$475,1,0)</f>
        <v>1</v>
      </c>
      <c r="N36" s="23"/>
      <c r="O36" s="24"/>
      <c r="P36" s="24"/>
      <c r="Q36" s="24"/>
      <c r="R36" s="24"/>
      <c r="S36" s="24"/>
      <c r="T36" s="24"/>
      <c r="U36" s="24"/>
      <c r="V36" s="24"/>
      <c r="W36" s="24"/>
      <c r="X36" s="24"/>
      <c r="Y36" s="24"/>
      <c r="Z36" s="24"/>
      <c r="AA36" s="24"/>
      <c r="AB36" s="24"/>
      <c r="AC36" s="24"/>
      <c r="AD36" s="24"/>
      <c r="AE36" s="33"/>
    </row>
    <row r="37" spans="1:45" ht="15.75">
      <c r="A37" s="1"/>
      <c r="C37" s="463"/>
      <c r="D37" s="10" t="str">
        <f>Translate!$A$74</f>
        <v>Quantity</v>
      </c>
      <c r="E37" s="465"/>
      <c r="F37" s="220" t="str">
        <f>'Emission factors'!$F$414</f>
        <v>m3</v>
      </c>
      <c r="G37" s="23"/>
      <c r="H37" s="23"/>
      <c r="I37" s="25">
        <f>E37</f>
        <v>0</v>
      </c>
      <c r="J37" s="21" t="str">
        <f>F37</f>
        <v>m3</v>
      </c>
      <c r="K37" s="23"/>
      <c r="L37" s="23"/>
      <c r="M37" s="23"/>
      <c r="N37" s="23"/>
      <c r="O37" s="24"/>
      <c r="P37" s="19" t="str">
        <f>Translate!$A$112</f>
        <v>Distance</v>
      </c>
      <c r="Q37" s="470">
        <f>IF(L36="made on site",0,20)</f>
        <v>20</v>
      </c>
      <c r="R37" s="20" t="str">
        <f>'Emission factors'!$F$410</f>
        <v>km</v>
      </c>
      <c r="S37" s="19" t="str">
        <f>Translate!$A$120</f>
        <v>Type</v>
      </c>
      <c r="T37" s="471" t="str">
        <f>Translate!$A$206</f>
        <v>Road - Rigid &gt;17t</v>
      </c>
      <c r="U37" s="19" t="str">
        <f>Translate!$A$127</f>
        <v>Load</v>
      </c>
      <c r="V37" s="471">
        <f>'Emission factors'!$D$311</f>
        <v>8</v>
      </c>
      <c r="W37" s="20" t="str">
        <f>J37</f>
        <v>m3</v>
      </c>
      <c r="X37" s="471">
        <f>IF(V37=0,0,ROUNDUP(I37/V37,0))</f>
        <v>0</v>
      </c>
      <c r="Y37" s="20" t="str">
        <f>Translate!$A$130</f>
        <v>travels</v>
      </c>
      <c r="Z37" s="39" t="str">
        <f>Translate!$A$128</f>
        <v>empty-return rate</v>
      </c>
      <c r="AA37" s="472">
        <v>1</v>
      </c>
      <c r="AB37" s="48">
        <f>VLOOKUP(T37,EFtable,3,0)</f>
        <v>0.98243999999999998</v>
      </c>
      <c r="AC37" s="46">
        <f>Q37*X37*(1+AA37)*AB37</f>
        <v>0</v>
      </c>
      <c r="AD37" s="47" t="str">
        <f>Translate!$A$102</f>
        <v>kgCO2e</v>
      </c>
      <c r="AE37" s="33"/>
      <c r="AJ37" s="49"/>
      <c r="AM37" s="463">
        <v>0</v>
      </c>
    </row>
    <row r="38" spans="1:45" ht="15.75">
      <c r="A38" s="1"/>
      <c r="C38" s="463"/>
      <c r="D38" s="22"/>
      <c r="E38" s="23"/>
      <c r="F38" s="23"/>
      <c r="G38" s="23"/>
      <c r="H38" s="23"/>
      <c r="I38" s="23"/>
      <c r="J38" s="23"/>
      <c r="K38" s="23"/>
      <c r="L38" s="23"/>
      <c r="M38" s="23"/>
      <c r="N38" s="23"/>
      <c r="O38" s="24"/>
      <c r="P38" s="24"/>
      <c r="Q38" s="24"/>
      <c r="R38" s="24"/>
      <c r="S38" s="24"/>
      <c r="T38" s="24"/>
      <c r="U38" s="24"/>
      <c r="V38" s="24"/>
      <c r="W38" s="24"/>
      <c r="X38" s="24"/>
      <c r="Y38" s="24"/>
      <c r="Z38" s="24"/>
      <c r="AA38" s="24"/>
      <c r="AB38" s="24"/>
      <c r="AC38" s="24"/>
      <c r="AD38" s="24"/>
      <c r="AE38" s="33"/>
      <c r="AH38">
        <f>HLOOKUP(AI38,$AP$1:$AV$2,2,0)</f>
        <v>2</v>
      </c>
      <c r="AI38" t="str">
        <f>Translate!$A$106</f>
        <v>Freight</v>
      </c>
      <c r="AJ38" s="49">
        <f>AC37</f>
        <v>0</v>
      </c>
      <c r="AL38" s="379">
        <f>VLOOKUP(T37,EFtable,8,0)*AC37</f>
        <v>0</v>
      </c>
      <c r="AM38" s="463">
        <f ca="1">1+OFFSET(AM38,-1,0)</f>
        <v>1</v>
      </c>
      <c r="AO38" s="49">
        <f>AJ38</f>
        <v>0</v>
      </c>
    </row>
    <row r="39" spans="1:45" ht="15.75">
      <c r="A39" s="1"/>
      <c r="C39" s="552" t="s">
        <v>316</v>
      </c>
      <c r="D39" s="10" t="str">
        <f>Translate!$A$75</f>
        <v>Cement</v>
      </c>
      <c r="E39" s="466" t="str">
        <f>Translate!$A$181</f>
        <v>CEM I</v>
      </c>
      <c r="F39" s="23"/>
      <c r="G39" s="23"/>
      <c r="H39" s="23"/>
      <c r="I39" s="23"/>
      <c r="J39" s="23"/>
      <c r="K39" s="23"/>
      <c r="L39" s="23"/>
      <c r="M39" s="23"/>
      <c r="N39" s="23"/>
      <c r="O39" s="24"/>
      <c r="P39" s="24"/>
      <c r="Q39" s="24"/>
      <c r="R39" s="24"/>
      <c r="S39" s="24"/>
      <c r="T39" s="24"/>
      <c r="U39" s="24"/>
      <c r="V39" s="24"/>
      <c r="W39" s="24"/>
      <c r="X39" s="24"/>
      <c r="Y39" s="24"/>
      <c r="Z39" s="24"/>
      <c r="AA39" s="24"/>
      <c r="AB39" s="24"/>
      <c r="AC39" s="24"/>
      <c r="AD39" s="24"/>
      <c r="AE39" s="33"/>
      <c r="AL39" s="49"/>
      <c r="AM39" s="463">
        <f t="shared" ref="AM39:AM58" ca="1" si="10">1+OFFSET(AM39,-1,0)</f>
        <v>2</v>
      </c>
      <c r="AN39">
        <f>ROW(F43)-ROW(F39)</f>
        <v>4</v>
      </c>
    </row>
    <row r="40" spans="1:45">
      <c r="A40" s="1"/>
      <c r="C40" s="463"/>
      <c r="D40" s="9" t="str">
        <f>Translate!$A$76</f>
        <v>Total cementitious content</v>
      </c>
      <c r="E40" s="515">
        <f>VLOOKUP($E$6,DefaultConcrete,3,0)</f>
        <v>400</v>
      </c>
      <c r="F40" s="220" t="str">
        <f ca="1">OFFSET(AS40,-AM40+6,0)</f>
        <v>kg/m3</v>
      </c>
      <c r="G40" s="23"/>
      <c r="H40" s="23"/>
      <c r="I40" s="23"/>
      <c r="J40" s="23"/>
      <c r="K40" s="23"/>
      <c r="L40" s="23"/>
      <c r="M40" s="23"/>
      <c r="N40" s="23"/>
      <c r="O40" s="24"/>
      <c r="P40" s="19" t="str">
        <f>Translate!$A$112</f>
        <v>Distance</v>
      </c>
      <c r="Q40" s="470">
        <f>IF(ISERROR(VLOOKUP(D39,StandardFreight,3,0)),VLOOKUP(Translate!$A$118,StandardFreight,3,0),VLOOKUP(D39,StandardFreight,3,0))</f>
        <v>20</v>
      </c>
      <c r="R40" s="20" t="str">
        <f>'Emission factors'!$F$410</f>
        <v>km</v>
      </c>
      <c r="S40" s="19" t="str">
        <f>Translate!$A$120</f>
        <v>Type</v>
      </c>
      <c r="T40" s="473" t="str">
        <f>IF(ISERROR(VLOOKUP(D39,StandardFreight,2,0)),VLOOKUP("Other",StandardFreight,2,0),VLOOKUP(D39,StandardFreight,2,0))</f>
        <v>Road - Rigid &gt;17t</v>
      </c>
      <c r="U40" s="19" t="str">
        <f>Translate!$A$127</f>
        <v>Load</v>
      </c>
      <c r="V40" s="471">
        <f>VLOOKUP(T40,FreightLoadFactors,2,0)</f>
        <v>7.5</v>
      </c>
      <c r="W40" s="20" t="str">
        <f>J43</f>
        <v>t</v>
      </c>
      <c r="X40" s="471">
        <f ca="1">IF(V40=0,0,ROUNDUP(I43/V40,0))</f>
        <v>0</v>
      </c>
      <c r="Y40" s="20" t="str">
        <f>Translate!$A$130</f>
        <v>travels</v>
      </c>
      <c r="Z40" s="39" t="str">
        <f>Translate!$A$128</f>
        <v>empty-return rate</v>
      </c>
      <c r="AA40" s="472">
        <v>1</v>
      </c>
      <c r="AB40" s="474">
        <f>VLOOKUP(T40,EFtable,3,0)</f>
        <v>0.98243999999999998</v>
      </c>
      <c r="AC40" s="475">
        <f ca="1">Q40*X40*(1+AA40)*AB40</f>
        <v>0</v>
      </c>
      <c r="AD40" s="47" t="str">
        <f>Translate!$A$102</f>
        <v>kgCO2e</v>
      </c>
      <c r="AE40" s="33"/>
      <c r="AH40">
        <f>HLOOKUP(AI40,$AP$1:$AV$2,2,0)</f>
        <v>1</v>
      </c>
      <c r="AI40" t="str">
        <f>Translate!$A$104</f>
        <v>Materials</v>
      </c>
      <c r="AJ40" s="49">
        <f ca="1">L43</f>
        <v>0</v>
      </c>
      <c r="AK40" s="372" t="str">
        <f>Translate!$A$73</f>
        <v>Concrete / Slurry / Grout mix</v>
      </c>
      <c r="AL40" s="379">
        <f ca="1">VLOOKUP("CEM I",EFtable,8,0)*L43</f>
        <v>0</v>
      </c>
      <c r="AM40" s="463">
        <f t="shared" ca="1" si="10"/>
        <v>3</v>
      </c>
      <c r="AO40" s="49">
        <f ca="1">AJ40</f>
        <v>0</v>
      </c>
    </row>
    <row r="41" spans="1:45">
      <c r="A41" s="1"/>
      <c r="C41" s="463"/>
      <c r="D41" s="4" t="str">
        <f>Translate!$A$77</f>
        <v>Secondary constituent</v>
      </c>
      <c r="E41" s="5" t="str">
        <f>VLOOKUP(E39,'Emission factors'!$C$286:$M$294,2,0)</f>
        <v>-</v>
      </c>
      <c r="F41" s="23"/>
      <c r="G41" s="23"/>
      <c r="H41" s="23"/>
      <c r="I41" s="23"/>
      <c r="J41" s="23"/>
      <c r="K41" s="23"/>
      <c r="L41" s="23"/>
      <c r="M41" s="23"/>
      <c r="N41" s="23"/>
      <c r="O41" s="24"/>
      <c r="P41" s="24"/>
      <c r="Q41" s="24"/>
      <c r="R41" s="24"/>
      <c r="S41" s="24"/>
      <c r="T41" s="456"/>
      <c r="U41" s="24"/>
      <c r="V41" s="24"/>
      <c r="W41" s="24"/>
      <c r="X41" s="24"/>
      <c r="Y41" s="24"/>
      <c r="Z41" s="24"/>
      <c r="AA41" s="24"/>
      <c r="AB41" s="24"/>
      <c r="AC41" s="24"/>
      <c r="AD41" s="24"/>
      <c r="AE41" s="33"/>
      <c r="AH41">
        <f>HLOOKUP(AI41,$AP$1:$AV$2,2,0)</f>
        <v>2</v>
      </c>
      <c r="AI41" t="str">
        <f>Translate!$A$106</f>
        <v>Freight</v>
      </c>
      <c r="AJ41" s="49">
        <f ca="1">AC40</f>
        <v>0</v>
      </c>
      <c r="AL41" s="379">
        <f ca="1">VLOOKUP(T40,EFtable,8,0)*AC40</f>
        <v>0</v>
      </c>
      <c r="AM41" s="463">
        <f t="shared" ca="1" si="10"/>
        <v>4</v>
      </c>
      <c r="AO41" s="49">
        <f ca="1">AJ41</f>
        <v>0</v>
      </c>
    </row>
    <row r="42" spans="1:45" ht="15" customHeight="1">
      <c r="A42" s="1"/>
      <c r="C42" s="463"/>
      <c r="D42" s="785" t="str">
        <f>Translate!$A$78</f>
        <v>Secondary constituent content</v>
      </c>
      <c r="E42" s="4" t="str">
        <f>Translate!$A$89</f>
        <v>Default value</v>
      </c>
      <c r="F42" s="4" t="str">
        <f>Translate!$A$97</f>
        <v>Real Value</v>
      </c>
      <c r="G42" s="23"/>
      <c r="H42" s="23"/>
      <c r="I42" s="23"/>
      <c r="J42" s="23"/>
      <c r="K42" s="23"/>
      <c r="L42" s="23"/>
      <c r="M42" s="23"/>
      <c r="N42" s="23"/>
      <c r="O42" s="24"/>
      <c r="P42" s="24"/>
      <c r="Q42" s="24"/>
      <c r="R42" s="24"/>
      <c r="S42" s="24"/>
      <c r="T42" s="456"/>
      <c r="U42" s="24"/>
      <c r="V42" s="24"/>
      <c r="W42" s="24"/>
      <c r="X42" s="24"/>
      <c r="Y42" s="24"/>
      <c r="Z42" s="24"/>
      <c r="AA42" s="24"/>
      <c r="AB42" s="24"/>
      <c r="AC42" s="24"/>
      <c r="AD42" s="24"/>
      <c r="AE42" s="33"/>
      <c r="AL42" s="49"/>
      <c r="AM42" s="463">
        <f t="shared" ca="1" si="10"/>
        <v>5</v>
      </c>
      <c r="AS42" s="95" t="str">
        <f>'Emission factors'!$F$411</f>
        <v>t</v>
      </c>
    </row>
    <row r="43" spans="1:45">
      <c r="A43" s="1"/>
      <c r="C43" s="463"/>
      <c r="D43" s="786"/>
      <c r="E43" s="6">
        <f>IF(F43="",VLOOKUP(E39,CementTypes,5,0),"")</f>
        <v>0</v>
      </c>
      <c r="F43" s="467"/>
      <c r="G43" s="23"/>
      <c r="H43" s="23"/>
      <c r="I43" s="25">
        <f ca="1">IF(F40=OFFSET(AS43,-AM43+6,0),E40*OFFSET(E43,-AM43,0)/IF(J43='Emission factors'!$E$411,1,1000),E40)</f>
        <v>0</v>
      </c>
      <c r="J43" s="21" t="str">
        <f>'Emission factors'!$F$411</f>
        <v>t</v>
      </c>
      <c r="K43" s="7">
        <f>IF(E39="CEM I",VLOOKUP(E39,EFtable,3,0),(IF(F43="",E43,F43)*VLOOKUP(E41,EFtable,3,0)+(1-IF(F43="",E43,F43))*VLOOKUP("CEM I",EFtable,3,0)))</f>
        <v>860</v>
      </c>
      <c r="L43" s="25">
        <f ca="1">I43*K43</f>
        <v>0</v>
      </c>
      <c r="M43" s="21" t="str">
        <f>Translate!$A$102</f>
        <v>kgCO2e</v>
      </c>
      <c r="N43" s="23"/>
      <c r="O43" s="24"/>
      <c r="P43" s="24"/>
      <c r="Q43" s="24"/>
      <c r="R43" s="24"/>
      <c r="S43" s="24"/>
      <c r="T43" s="456"/>
      <c r="U43" s="24"/>
      <c r="V43" s="24"/>
      <c r="W43" s="24"/>
      <c r="X43" s="24"/>
      <c r="Y43" s="24"/>
      <c r="Z43" s="24"/>
      <c r="AA43" s="24"/>
      <c r="AB43" s="24"/>
      <c r="AC43" s="24"/>
      <c r="AD43" s="24"/>
      <c r="AE43" s="33"/>
      <c r="AL43" s="49"/>
      <c r="AM43" s="463">
        <f t="shared" ca="1" si="10"/>
        <v>6</v>
      </c>
      <c r="AS43" s="95" t="str">
        <f>'Emission factors'!$F$413&amp;"/"&amp;F37</f>
        <v>kg/m3</v>
      </c>
    </row>
    <row r="44" spans="1:45" ht="15.75">
      <c r="A44" s="1"/>
      <c r="C44" s="463"/>
      <c r="D44" s="22"/>
      <c r="E44" s="23"/>
      <c r="F44" s="23"/>
      <c r="G44" s="23"/>
      <c r="H44" s="23"/>
      <c r="I44" s="23"/>
      <c r="J44" s="23"/>
      <c r="K44" s="23"/>
      <c r="L44" s="23"/>
      <c r="M44" s="23"/>
      <c r="N44" s="23"/>
      <c r="O44" s="24"/>
      <c r="P44" s="24"/>
      <c r="Q44" s="24"/>
      <c r="R44" s="24"/>
      <c r="S44" s="24"/>
      <c r="T44" s="456"/>
      <c r="U44" s="24"/>
      <c r="V44" s="24"/>
      <c r="W44" s="24"/>
      <c r="X44" s="24"/>
      <c r="Y44" s="24"/>
      <c r="Z44" s="24"/>
      <c r="AA44" s="24"/>
      <c r="AB44" s="24"/>
      <c r="AC44" s="24"/>
      <c r="AD44" s="24"/>
      <c r="AE44" s="33"/>
      <c r="AL44" s="49"/>
      <c r="AM44" s="463">
        <f t="shared" ca="1" si="10"/>
        <v>7</v>
      </c>
    </row>
    <row r="45" spans="1:45" ht="15.75">
      <c r="A45" s="1"/>
      <c r="C45" s="552" t="s">
        <v>316</v>
      </c>
      <c r="D45" s="468" t="str">
        <f>Translate!$A$177</f>
        <v>Aggregate</v>
      </c>
      <c r="E45" s="515">
        <f>IF(ISERROR(VLOOKUP($E$6,DefaultConcrete,HLOOKUP(D45,DefaultConcrete,2,0),0)),0,VLOOKUP($E$6,DefaultConcrete,HLOOKUP(D45,DefaultConcrete,2,0),0))</f>
        <v>900</v>
      </c>
      <c r="F45" s="220" t="str">
        <f ca="1">OFFSET(AS45,-AM45+6,0)</f>
        <v>kg/m3</v>
      </c>
      <c r="G45" s="23"/>
      <c r="H45" s="23"/>
      <c r="I45" s="25">
        <f ca="1">IF(F45=OFFSET(AS45,-AM45+6,0),E45*OFFSET(E45,-AM45,0)/IF(J45='Emission factors'!$E$411,1,1000),E45)</f>
        <v>0</v>
      </c>
      <c r="J45" s="21" t="str">
        <f>'Emission factors'!$F$411</f>
        <v>t</v>
      </c>
      <c r="K45" s="38">
        <f>IF(ISERROR(E46*1),VLOOKUP(D45,EFtable,3,0),VLOOKUP(D45,EFtable,3,0)*(1-E46)+VLOOKUP(D45&amp;Translate!$A$199,EFtable,3,0)*E46)</f>
        <v>4</v>
      </c>
      <c r="L45" s="25">
        <f ca="1">IF(F46=Translate!$A$111,0,I45*K45)</f>
        <v>0</v>
      </c>
      <c r="M45" s="21" t="str">
        <f>Translate!$A$102</f>
        <v>kgCO2e</v>
      </c>
      <c r="N45" s="23"/>
      <c r="O45" s="24"/>
      <c r="P45" s="19" t="str">
        <f>Translate!$A$112</f>
        <v>Distance</v>
      </c>
      <c r="Q45" s="470">
        <f>IF(ISERROR(VLOOKUP(D45,StandardFreight,3,0)),VLOOKUP(Translate!$A$118,StandardFreight,3,0),VLOOKUP(D45,StandardFreight,3,0))</f>
        <v>20</v>
      </c>
      <c r="R45" s="20" t="str">
        <f>'Emission factors'!$F$410</f>
        <v>km</v>
      </c>
      <c r="S45" s="19" t="str">
        <f>Translate!$A$120</f>
        <v>Type</v>
      </c>
      <c r="T45" s="473" t="str">
        <f>IF(ISERROR(VLOOKUP(D45,StandardFreight,2,0)),VLOOKUP("Other",StandardFreight,2,0),VLOOKUP(D45,StandardFreight,2,0))</f>
        <v>Road - Articulated &gt;33t</v>
      </c>
      <c r="U45" s="19" t="str">
        <f>Translate!$A$127</f>
        <v>Load</v>
      </c>
      <c r="V45" s="471">
        <f>VLOOKUP(T45,FreightLoadFactors,2,0)</f>
        <v>15</v>
      </c>
      <c r="W45" s="20" t="str">
        <f>J45</f>
        <v>t</v>
      </c>
      <c r="X45" s="471">
        <f ca="1">IF(V45=0,0,ROUNDUP(I45/V45,0))</f>
        <v>0</v>
      </c>
      <c r="Y45" s="20" t="str">
        <f>Translate!$A$130</f>
        <v>travels</v>
      </c>
      <c r="Z45" s="39" t="str">
        <f>Translate!$A$128</f>
        <v>empty-return rate</v>
      </c>
      <c r="AA45" s="472">
        <v>1</v>
      </c>
      <c r="AB45" s="474">
        <f>VLOOKUP(T45,EFtable,3,0)</f>
        <v>0.93694</v>
      </c>
      <c r="AC45" s="475">
        <f ca="1">Q45*X45*(1+AA45)*AB45</f>
        <v>0</v>
      </c>
      <c r="AD45" s="47" t="str">
        <f>Translate!$A$102</f>
        <v>kgCO2e</v>
      </c>
      <c r="AE45" s="33"/>
      <c r="AH45">
        <f>HLOOKUP(AI45,$AP$1:$AV$2,2,0)</f>
        <v>1</v>
      </c>
      <c r="AI45" t="str">
        <f>Translate!$A$104</f>
        <v>Materials</v>
      </c>
      <c r="AJ45" s="49">
        <f ca="1">L45</f>
        <v>0</v>
      </c>
      <c r="AK45" s="372" t="str">
        <f>VLOOKUP(D45,EFtable,7,0)</f>
        <v>Concrete / Slurry / Grout mix</v>
      </c>
      <c r="AL45" s="379">
        <f ca="1">VLOOKUP(D45,EFtable,8,0)*L45</f>
        <v>0</v>
      </c>
      <c r="AM45" s="463">
        <f t="shared" ca="1" si="10"/>
        <v>8</v>
      </c>
      <c r="AN45">
        <f>ROW(F46)-ROW(F45)</f>
        <v>1</v>
      </c>
      <c r="AO45" s="49">
        <f t="shared" ref="AO45:AO55" ca="1" si="11">AJ45</f>
        <v>0</v>
      </c>
    </row>
    <row r="46" spans="1:45">
      <c r="A46" s="1"/>
      <c r="C46" s="463"/>
      <c r="D46" s="336" t="str">
        <f>Translate!$A$79</f>
        <v>Recycled content</v>
      </c>
      <c r="E46" s="476" t="str">
        <f>IF(ISERROR(VLOOKUP(D45,RecycledContent,2,0)),Translate!$A$90,VLOOKUP(D45,RecycledContent,2,0))</f>
        <v>do not apply</v>
      </c>
      <c r="F46" s="469" t="str">
        <f>Translate!$A$478</f>
        <v>-new or recycled-</v>
      </c>
      <c r="G46" s="23"/>
      <c r="H46" s="23"/>
      <c r="I46" s="23"/>
      <c r="J46" s="23"/>
      <c r="K46" s="23"/>
      <c r="L46" s="23"/>
      <c r="M46" s="23"/>
      <c r="N46" s="23"/>
      <c r="O46" s="24"/>
      <c r="P46" s="24"/>
      <c r="Q46" s="24"/>
      <c r="R46" s="24"/>
      <c r="S46" s="24"/>
      <c r="T46" s="456"/>
      <c r="U46" s="24"/>
      <c r="V46" s="24"/>
      <c r="W46" s="24"/>
      <c r="X46" s="24"/>
      <c r="Y46" s="24"/>
      <c r="Z46" s="24"/>
      <c r="AA46" s="24"/>
      <c r="AB46" s="24"/>
      <c r="AC46" s="24"/>
      <c r="AD46" s="24"/>
      <c r="AE46" s="33"/>
      <c r="AH46">
        <f>HLOOKUP(AI46,$AP$1:$AV$2,2,0)</f>
        <v>2</v>
      </c>
      <c r="AI46" t="str">
        <f>Translate!$A$106</f>
        <v>Freight</v>
      </c>
      <c r="AJ46" s="49">
        <f ca="1">AC45</f>
        <v>0</v>
      </c>
      <c r="AL46" s="379">
        <f ca="1">VLOOKUP(T45,EFtable,8,0)*AC45</f>
        <v>0</v>
      </c>
      <c r="AM46" s="463">
        <f t="shared" ca="1" si="10"/>
        <v>9</v>
      </c>
      <c r="AO46" s="49">
        <f t="shared" ca="1" si="11"/>
        <v>0</v>
      </c>
    </row>
    <row r="47" spans="1:45" ht="9.75" customHeight="1">
      <c r="A47" s="1"/>
      <c r="C47" s="463"/>
      <c r="D47" s="22"/>
      <c r="E47" s="23"/>
      <c r="F47" s="23"/>
      <c r="G47" s="23"/>
      <c r="H47" s="23"/>
      <c r="I47" s="23"/>
      <c r="J47" s="23"/>
      <c r="K47" s="23"/>
      <c r="L47" s="23"/>
      <c r="M47" s="23"/>
      <c r="N47" s="23"/>
      <c r="O47" s="24"/>
      <c r="P47" s="24"/>
      <c r="Q47" s="24"/>
      <c r="R47" s="24"/>
      <c r="S47" s="24"/>
      <c r="T47" s="456"/>
      <c r="U47" s="24"/>
      <c r="V47" s="24"/>
      <c r="W47" s="24"/>
      <c r="X47" s="24"/>
      <c r="Y47" s="24"/>
      <c r="Z47" s="24"/>
      <c r="AA47" s="24"/>
      <c r="AB47" s="24"/>
      <c r="AC47" s="24"/>
      <c r="AD47" s="24"/>
      <c r="AE47" s="33"/>
      <c r="AL47" s="49"/>
      <c r="AM47" s="463">
        <f t="shared" ca="1" si="10"/>
        <v>10</v>
      </c>
    </row>
    <row r="48" spans="1:45" ht="15.75">
      <c r="A48" s="1"/>
      <c r="C48" s="552" t="s">
        <v>316</v>
      </c>
      <c r="D48" s="468" t="str">
        <f>Translate!$A$190</f>
        <v>Sand</v>
      </c>
      <c r="E48" s="515">
        <f>IF(ISERROR(VLOOKUP($E$6,DefaultConcrete,HLOOKUP(D48,DefaultConcrete,2,0),0)),0,VLOOKUP($E$6,DefaultConcrete,HLOOKUP(D48,DefaultConcrete,2,0),0))</f>
        <v>800</v>
      </c>
      <c r="F48" s="220" t="str">
        <f ca="1">OFFSET(AS48,-AM48+6,0)</f>
        <v>kg/m3</v>
      </c>
      <c r="G48" s="23"/>
      <c r="H48" s="23"/>
      <c r="I48" s="25">
        <f ca="1">IF(F48=OFFSET(AS48,-AM48+6,0),E48*OFFSET(E48,-AM48,0)/IF(J48='Emission factors'!$E$411,1,1000),E48)</f>
        <v>0</v>
      </c>
      <c r="J48" s="21" t="str">
        <f>'Emission factors'!$F$411</f>
        <v>t</v>
      </c>
      <c r="K48" s="38">
        <f>IF(ISERROR(E49*1),VLOOKUP(D48,EFtable,3,0),VLOOKUP(D48,EFtable,3,0)*(1-E49)+VLOOKUP(D48&amp;Translate!$A$199,EFtable,3,0)*E49)</f>
        <v>6</v>
      </c>
      <c r="L48" s="25">
        <f ca="1">IF(F49=Translate!$A$111,0,I48*K48)</f>
        <v>0</v>
      </c>
      <c r="M48" s="21" t="str">
        <f>Translate!$A$102</f>
        <v>kgCO2e</v>
      </c>
      <c r="N48" s="23"/>
      <c r="O48" s="24"/>
      <c r="P48" s="19" t="str">
        <f>Translate!$A$112</f>
        <v>Distance</v>
      </c>
      <c r="Q48" s="470">
        <f>IF(ISERROR(VLOOKUP(D48,StandardFreight,3,0)),VLOOKUP(Translate!$A$118,StandardFreight,3,0),VLOOKUP(D48,StandardFreight,3,0))</f>
        <v>20</v>
      </c>
      <c r="R48" s="20" t="str">
        <f>'Emission factors'!$F$410</f>
        <v>km</v>
      </c>
      <c r="S48" s="19" t="str">
        <f>Translate!$A$120</f>
        <v>Type</v>
      </c>
      <c r="T48" s="473" t="str">
        <f>IF(ISERROR(VLOOKUP(D48,StandardFreight,2,0)),VLOOKUP("Other",StandardFreight,2,0),VLOOKUP(D48,StandardFreight,2,0))</f>
        <v>Road - Articulated &gt;33t</v>
      </c>
      <c r="U48" s="19" t="str">
        <f>Translate!$A$127</f>
        <v>Load</v>
      </c>
      <c r="V48" s="471">
        <f>VLOOKUP(T48,FreightLoadFactors,2,0)</f>
        <v>15</v>
      </c>
      <c r="W48" s="20" t="str">
        <f>J48</f>
        <v>t</v>
      </c>
      <c r="X48" s="471">
        <f ca="1">IF(V48=0,0,ROUNDUP(I48/V48,0))</f>
        <v>0</v>
      </c>
      <c r="Y48" s="20" t="str">
        <f>Translate!$A$130</f>
        <v>travels</v>
      </c>
      <c r="Z48" s="39" t="str">
        <f>Translate!$A$128</f>
        <v>empty-return rate</v>
      </c>
      <c r="AA48" s="472">
        <v>1</v>
      </c>
      <c r="AB48" s="474">
        <f>VLOOKUP(T48,EFtable,3,0)</f>
        <v>0.93694</v>
      </c>
      <c r="AC48" s="475">
        <f ca="1">Q48*X48*(1+AA48)*AB48</f>
        <v>0</v>
      </c>
      <c r="AD48" s="47" t="str">
        <f>Translate!$A$102</f>
        <v>kgCO2e</v>
      </c>
      <c r="AE48" s="33"/>
      <c r="AH48">
        <f>HLOOKUP(AI48,$AP$1:$AV$2,2,0)</f>
        <v>1</v>
      </c>
      <c r="AI48" t="str">
        <f>Translate!$A$104</f>
        <v>Materials</v>
      </c>
      <c r="AJ48" s="49">
        <f ca="1">L48</f>
        <v>0</v>
      </c>
      <c r="AK48" s="372" t="str">
        <f>VLOOKUP(D48,EFtable,7,0)</f>
        <v>Concrete / Slurry / Grout mix</v>
      </c>
      <c r="AL48" s="379">
        <f ca="1">VLOOKUP(D48,EFtable,8,0)*L48</f>
        <v>0</v>
      </c>
      <c r="AM48" s="463">
        <f t="shared" ca="1" si="10"/>
        <v>11</v>
      </c>
      <c r="AN48">
        <f>ROW(F49)-ROW(F48)</f>
        <v>1</v>
      </c>
      <c r="AO48" s="49">
        <f t="shared" ca="1" si="11"/>
        <v>0</v>
      </c>
    </row>
    <row r="49" spans="1:41">
      <c r="A49" s="1"/>
      <c r="C49" s="463"/>
      <c r="D49" s="336" t="str">
        <f>Translate!$A$79</f>
        <v>Recycled content</v>
      </c>
      <c r="E49" s="476" t="str">
        <f>IF(ISERROR(VLOOKUP(D48,RecycledContent,2,0)),Translate!$A$90,VLOOKUP(D48,RecycledContent,2,0))</f>
        <v>do not apply</v>
      </c>
      <c r="F49" s="469" t="str">
        <f>Translate!$A$478</f>
        <v>-new or recycled-</v>
      </c>
      <c r="G49" s="23"/>
      <c r="H49" s="23"/>
      <c r="I49" s="23"/>
      <c r="J49" s="23"/>
      <c r="K49" s="23"/>
      <c r="L49" s="23"/>
      <c r="M49" s="23"/>
      <c r="N49" s="23"/>
      <c r="O49" s="24"/>
      <c r="P49" s="24"/>
      <c r="Q49" s="24"/>
      <c r="R49" s="24"/>
      <c r="S49" s="24"/>
      <c r="T49" s="456"/>
      <c r="U49" s="24"/>
      <c r="V49" s="24"/>
      <c r="W49" s="24"/>
      <c r="X49" s="24"/>
      <c r="Y49" s="24"/>
      <c r="Z49" s="24"/>
      <c r="AA49" s="24"/>
      <c r="AB49" s="24"/>
      <c r="AC49" s="24"/>
      <c r="AD49" s="24"/>
      <c r="AE49" s="33"/>
      <c r="AH49">
        <f>HLOOKUP(AI49,$AP$1:$AV$2,2,0)</f>
        <v>2</v>
      </c>
      <c r="AI49" t="str">
        <f>Translate!$A$106</f>
        <v>Freight</v>
      </c>
      <c r="AJ49" s="49">
        <f ca="1">AC48</f>
        <v>0</v>
      </c>
      <c r="AL49" s="379">
        <f ca="1">VLOOKUP(T48,EFtable,8,0)*AC48</f>
        <v>0</v>
      </c>
      <c r="AM49" s="463">
        <f t="shared" ca="1" si="10"/>
        <v>12</v>
      </c>
      <c r="AO49" s="49">
        <f t="shared" ca="1" si="11"/>
        <v>0</v>
      </c>
    </row>
    <row r="50" spans="1:41" ht="9.75" customHeight="1">
      <c r="A50" s="1"/>
      <c r="C50" s="463"/>
      <c r="D50" s="22"/>
      <c r="E50" s="23"/>
      <c r="F50" s="23"/>
      <c r="G50" s="23"/>
      <c r="H50" s="23"/>
      <c r="I50" s="23"/>
      <c r="J50" s="23"/>
      <c r="K50" s="23"/>
      <c r="L50" s="23"/>
      <c r="M50" s="23"/>
      <c r="N50" s="23"/>
      <c r="O50" s="24"/>
      <c r="P50" s="24"/>
      <c r="Q50" s="24"/>
      <c r="R50" s="24"/>
      <c r="S50" s="24"/>
      <c r="T50" s="456"/>
      <c r="U50" s="24"/>
      <c r="V50" s="24"/>
      <c r="W50" s="24"/>
      <c r="X50" s="24"/>
      <c r="Y50" s="24"/>
      <c r="Z50" s="24"/>
      <c r="AA50" s="24"/>
      <c r="AB50" s="24"/>
      <c r="AC50" s="24"/>
      <c r="AD50" s="24"/>
      <c r="AE50" s="33"/>
      <c r="AL50" s="49"/>
      <c r="AM50" s="463">
        <f t="shared" ca="1" si="10"/>
        <v>13</v>
      </c>
    </row>
    <row r="51" spans="1:41" ht="15.75">
      <c r="A51" s="1"/>
      <c r="C51" s="552" t="s">
        <v>316</v>
      </c>
      <c r="D51" s="468" t="str">
        <f>Translate!$A$198</f>
        <v>Water</v>
      </c>
      <c r="E51" s="515">
        <f>IF(ISERROR(VLOOKUP($E$6,DefaultConcrete,HLOOKUP(D51,DefaultConcrete,2,0),0)),0,VLOOKUP($E$6,DefaultConcrete,HLOOKUP(D51,DefaultConcrete,2,0),0))</f>
        <v>200</v>
      </c>
      <c r="F51" s="220" t="str">
        <f ca="1">OFFSET(AS51,-AM51+6,0)</f>
        <v>kg/m3</v>
      </c>
      <c r="G51" s="23"/>
      <c r="H51" s="23"/>
      <c r="I51" s="25">
        <f ca="1">IF(F51=OFFSET(AS51,-AM51+6,0),E51*OFFSET(E51,-AM51,0)/IF(J51='Emission factors'!$E$411,1,1000),E51)</f>
        <v>0</v>
      </c>
      <c r="J51" s="21" t="str">
        <f>'Emission factors'!$F$411</f>
        <v>t</v>
      </c>
      <c r="K51" s="38">
        <f>IF(ISERROR(E52*1),VLOOKUP(D51,EFtable,3,0),VLOOKUP(D51,EFtable,3,0)*(1-E52)+VLOOKUP(D51&amp;Translate!$A$199,EFtable,3,0)*E52)</f>
        <v>0.34399999999999997</v>
      </c>
      <c r="L51" s="25">
        <f ca="1">IF(F52=Translate!$A$111,0,I51*K51)</f>
        <v>0</v>
      </c>
      <c r="M51" s="21" t="str">
        <f>Translate!$A$102</f>
        <v>kgCO2e</v>
      </c>
      <c r="N51" s="23"/>
      <c r="O51" s="24"/>
      <c r="P51" s="19" t="str">
        <f>Translate!$A$112</f>
        <v>Distance</v>
      </c>
      <c r="Q51" s="470">
        <f>IF(ISERROR(VLOOKUP(D51,StandardFreight,3,0)),VLOOKUP(Translate!$A$118,StandardFreight,3,0),VLOOKUP(D51,StandardFreight,3,0))</f>
        <v>0</v>
      </c>
      <c r="R51" s="20" t="str">
        <f>'Emission factors'!$F$410</f>
        <v>km</v>
      </c>
      <c r="S51" s="19" t="str">
        <f>Translate!$A$120</f>
        <v>Type</v>
      </c>
      <c r="T51" s="473" t="str">
        <f>IF(ISERROR(VLOOKUP(D51,StandardFreight,2,0)),VLOOKUP("Other",StandardFreight,2,0),VLOOKUP(D51,StandardFreight,2,0))</f>
        <v>Road - Rigid &gt;3.5-7.5t</v>
      </c>
      <c r="U51" s="19" t="str">
        <f>Translate!$A$127</f>
        <v>Load</v>
      </c>
      <c r="V51" s="471">
        <f>VLOOKUP(T51,FreightLoadFactors,2,0)</f>
        <v>1.0123216601815823</v>
      </c>
      <c r="W51" s="20" t="str">
        <f>J51</f>
        <v>t</v>
      </c>
      <c r="X51" s="471">
        <f ca="1">IF(V51=0,0,ROUNDUP(I51/V51,0))</f>
        <v>0</v>
      </c>
      <c r="Y51" s="20" t="str">
        <f>Translate!$A$130</f>
        <v>travels</v>
      </c>
      <c r="Z51" s="39" t="str">
        <f>Translate!$A$128</f>
        <v>empty-return rate</v>
      </c>
      <c r="AA51" s="472">
        <v>1</v>
      </c>
      <c r="AB51" s="474">
        <f>VLOOKUP(T51,EFtable,3,0)</f>
        <v>0.49041000000000001</v>
      </c>
      <c r="AC51" s="475">
        <f ca="1">Q51*X51*(1+AA51)*AB51</f>
        <v>0</v>
      </c>
      <c r="AD51" s="47" t="str">
        <f>Translate!$A$102</f>
        <v>kgCO2e</v>
      </c>
      <c r="AE51" s="33"/>
      <c r="AH51">
        <f>HLOOKUP(AI51,$AP$1:$AV$2,2,0)</f>
        <v>1</v>
      </c>
      <c r="AI51" t="str">
        <f>Translate!$A$104</f>
        <v>Materials</v>
      </c>
      <c r="AJ51" s="49">
        <f ca="1">L51</f>
        <v>0</v>
      </c>
      <c r="AK51" s="372" t="str">
        <f>VLOOKUP(D51,EFtable,7,0)</f>
        <v>Concrete / Slurry / Grout mix</v>
      </c>
      <c r="AL51" s="379">
        <f ca="1">VLOOKUP(D51,EFtable,8,0)*L51</f>
        <v>0</v>
      </c>
      <c r="AM51" s="463">
        <f t="shared" ca="1" si="10"/>
        <v>14</v>
      </c>
      <c r="AN51">
        <f>ROW(F52)-ROW(F51)</f>
        <v>1</v>
      </c>
      <c r="AO51" s="49">
        <f t="shared" ca="1" si="11"/>
        <v>0</v>
      </c>
    </row>
    <row r="52" spans="1:41">
      <c r="A52" s="1"/>
      <c r="C52" s="463"/>
      <c r="D52" s="336" t="str">
        <f>Translate!$A$79</f>
        <v>Recycled content</v>
      </c>
      <c r="E52" s="476" t="str">
        <f>IF(ISERROR(VLOOKUP(D51,RecycledContent,2,0)),Translate!$A$90,VLOOKUP(D51,RecycledContent,2,0))</f>
        <v>do not apply</v>
      </c>
      <c r="F52" s="469" t="str">
        <f>Translate!$A$478</f>
        <v>-new or recycled-</v>
      </c>
      <c r="G52" s="23"/>
      <c r="H52" s="23"/>
      <c r="I52" s="23"/>
      <c r="J52" s="23"/>
      <c r="K52" s="23"/>
      <c r="L52" s="23"/>
      <c r="M52" s="23"/>
      <c r="N52" s="23"/>
      <c r="O52" s="24"/>
      <c r="P52" s="24"/>
      <c r="Q52" s="24"/>
      <c r="R52" s="24"/>
      <c r="S52" s="24"/>
      <c r="T52" s="24"/>
      <c r="U52" s="24"/>
      <c r="V52" s="24"/>
      <c r="W52" s="24"/>
      <c r="X52" s="24"/>
      <c r="Y52" s="24"/>
      <c r="Z52" s="24"/>
      <c r="AA52" s="24"/>
      <c r="AB52" s="24"/>
      <c r="AC52" s="24"/>
      <c r="AD52" s="24"/>
      <c r="AE52" s="33"/>
      <c r="AH52">
        <f>HLOOKUP(AI52,$AP$1:$AV$2,2,0)</f>
        <v>2</v>
      </c>
      <c r="AI52" t="str">
        <f>Translate!$A$106</f>
        <v>Freight</v>
      </c>
      <c r="AJ52" s="49">
        <f ca="1">AC51</f>
        <v>0</v>
      </c>
      <c r="AL52" s="379">
        <f ca="1">VLOOKUP(T51,EFtable,8,0)*AC51</f>
        <v>0</v>
      </c>
      <c r="AM52" s="463">
        <f t="shared" ca="1" si="10"/>
        <v>15</v>
      </c>
      <c r="AO52" s="49">
        <f t="shared" ca="1" si="11"/>
        <v>0</v>
      </c>
    </row>
    <row r="53" spans="1:41" ht="9.75" customHeight="1">
      <c r="A53" s="1"/>
      <c r="C53" s="463"/>
      <c r="D53" s="22"/>
      <c r="E53" s="23"/>
      <c r="F53" s="23"/>
      <c r="G53" s="23"/>
      <c r="H53" s="23"/>
      <c r="I53" s="23"/>
      <c r="J53" s="23"/>
      <c r="K53" s="23"/>
      <c r="L53" s="23"/>
      <c r="M53" s="23"/>
      <c r="N53" s="23"/>
      <c r="O53" s="24"/>
      <c r="P53" s="24"/>
      <c r="Q53" s="24"/>
      <c r="R53" s="24"/>
      <c r="S53" s="24"/>
      <c r="T53" s="24"/>
      <c r="U53" s="24"/>
      <c r="V53" s="24"/>
      <c r="W53" s="24"/>
      <c r="X53" s="24"/>
      <c r="Y53" s="24"/>
      <c r="Z53" s="24"/>
      <c r="AA53" s="24"/>
      <c r="AB53" s="24"/>
      <c r="AC53" s="24"/>
      <c r="AD53" s="24"/>
      <c r="AE53" s="33"/>
      <c r="AL53" s="49"/>
      <c r="AM53" s="463">
        <f t="shared" ca="1" si="10"/>
        <v>16</v>
      </c>
    </row>
    <row r="54" spans="1:41" ht="15.75">
      <c r="A54" s="1"/>
      <c r="C54" s="552" t="s">
        <v>316</v>
      </c>
      <c r="D54" s="468" t="str">
        <f>Translate!$A$178</f>
        <v>Bentonite</v>
      </c>
      <c r="E54" s="466">
        <f>IF(ISERROR(VLOOKUP($E$6,DefaultConcrete,HLOOKUP(D54,DefaultConcrete,2,0),0)),0,VLOOKUP($E$6,DefaultConcrete,HLOOKUP(D54,DefaultConcrete,2,0),0))</f>
        <v>0</v>
      </c>
      <c r="F54" s="220" t="str">
        <f ca="1">OFFSET(AS54,-AM54+6,0)</f>
        <v>kg/m3</v>
      </c>
      <c r="G54" s="23"/>
      <c r="H54" s="23"/>
      <c r="I54" s="25">
        <f ca="1">IF(F54=OFFSET(AS54,-AM54+6,0),E54*OFFSET(E54,-AM54,0)/IF(J54='Emission factors'!$E$411,1,1000),E54)</f>
        <v>0</v>
      </c>
      <c r="J54" s="21" t="str">
        <f>'Emission factors'!$F$411</f>
        <v>t</v>
      </c>
      <c r="K54" s="38">
        <f>IF(ISERROR(E55*1),VLOOKUP(D54,EFtable,3,0),VLOOKUP(D54,EFtable,3,0)*(1-E55)+VLOOKUP(D54&amp;Translate!$A$199,EFtable,3,0)*E55)</f>
        <v>474.97791999999998</v>
      </c>
      <c r="L54" s="25">
        <f ca="1">IF(F55=Translate!$A$111,0,I54*K54)</f>
        <v>0</v>
      </c>
      <c r="M54" s="21" t="str">
        <f>Translate!$A$102</f>
        <v>kgCO2e</v>
      </c>
      <c r="N54" s="23"/>
      <c r="O54" s="24"/>
      <c r="P54" s="19" t="str">
        <f>Translate!$A$112</f>
        <v>Distance</v>
      </c>
      <c r="Q54" s="470">
        <f>IF(ISERROR(VLOOKUP(D54,StandardFreight,3,0)),VLOOKUP(Translate!$A$118,StandardFreight,3,0),VLOOKUP(D54,StandardFreight,3,0))</f>
        <v>300</v>
      </c>
      <c r="R54" s="20" t="str">
        <f>'Emission factors'!$F$410</f>
        <v>km</v>
      </c>
      <c r="S54" s="19" t="str">
        <f>Translate!$A$120</f>
        <v>Type</v>
      </c>
      <c r="T54" s="473" t="str">
        <f>IF(ISERROR(VLOOKUP(D54,StandardFreight,2,0)),VLOOKUP(Translate!$A$118,StandardFreight,2,0),VLOOKUP(D54,StandardFreight,2,0))</f>
        <v>Road - Articulated &gt;33t</v>
      </c>
      <c r="U54" s="19" t="str">
        <f>Translate!$A$127</f>
        <v>Load</v>
      </c>
      <c r="V54" s="471">
        <f>VLOOKUP(T54,FreightLoadFactors,2,0)</f>
        <v>15</v>
      </c>
      <c r="W54" s="20" t="str">
        <f>J54</f>
        <v>t</v>
      </c>
      <c r="X54" s="471">
        <f ca="1">IF(V54=0,0,ROUNDUP(I54/V54,0))</f>
        <v>0</v>
      </c>
      <c r="Y54" s="20" t="str">
        <f>Translate!$A$130</f>
        <v>travels</v>
      </c>
      <c r="Z54" s="39" t="str">
        <f>Translate!$A$128</f>
        <v>empty-return rate</v>
      </c>
      <c r="AA54" s="472">
        <v>1</v>
      </c>
      <c r="AB54" s="474">
        <f>VLOOKUP(T54,EFtable,3,0)</f>
        <v>0.93694</v>
      </c>
      <c r="AC54" s="475">
        <f ca="1">Q54*X54*(1+AA54)*AB54</f>
        <v>0</v>
      </c>
      <c r="AD54" s="47" t="str">
        <f>Translate!$A$102</f>
        <v>kgCO2e</v>
      </c>
      <c r="AE54" s="33"/>
      <c r="AH54">
        <f>HLOOKUP(AI54,$AP$1:$AV$2,2,0)</f>
        <v>1</v>
      </c>
      <c r="AI54" t="str">
        <f>Translate!$A$104</f>
        <v>Materials</v>
      </c>
      <c r="AJ54" s="49">
        <f ca="1">L54</f>
        <v>0</v>
      </c>
      <c r="AK54" s="372" t="str">
        <f>VLOOKUP(D54,EFtable,7,0)</f>
        <v>Concrete / Slurry / Grout mix</v>
      </c>
      <c r="AL54" s="379">
        <f ca="1">VLOOKUP(D54,EFtable,8,0)*L54</f>
        <v>0</v>
      </c>
      <c r="AM54" s="463">
        <f t="shared" ca="1" si="10"/>
        <v>17</v>
      </c>
      <c r="AN54">
        <f>ROW(F55)-ROW(F54)</f>
        <v>1</v>
      </c>
      <c r="AO54" s="49">
        <f t="shared" ca="1" si="11"/>
        <v>0</v>
      </c>
    </row>
    <row r="55" spans="1:41">
      <c r="A55" s="1"/>
      <c r="C55" s="463"/>
      <c r="D55" s="336" t="str">
        <f>Translate!$A$79</f>
        <v>Recycled content</v>
      </c>
      <c r="E55" s="476" t="str">
        <f>IF(ISERROR(VLOOKUP(D54,RecycledContent,2,0)),Translate!$A$90,VLOOKUP(D54,RecycledContent,2,0))</f>
        <v>do not apply</v>
      </c>
      <c r="F55" s="469" t="str">
        <f>Translate!$A$478</f>
        <v>-new or recycled-</v>
      </c>
      <c r="G55" s="23"/>
      <c r="H55" s="23"/>
      <c r="I55" s="23"/>
      <c r="J55" s="23"/>
      <c r="K55" s="23"/>
      <c r="L55" s="23"/>
      <c r="M55" s="23"/>
      <c r="N55" s="23"/>
      <c r="O55" s="24"/>
      <c r="P55" s="24"/>
      <c r="Q55" s="24"/>
      <c r="R55" s="24"/>
      <c r="S55" s="24"/>
      <c r="T55" s="24"/>
      <c r="U55" s="24"/>
      <c r="V55" s="24"/>
      <c r="W55" s="24"/>
      <c r="X55" s="24"/>
      <c r="Y55" s="24"/>
      <c r="Z55" s="24"/>
      <c r="AA55" s="24"/>
      <c r="AB55" s="24"/>
      <c r="AC55" s="24"/>
      <c r="AD55" s="24"/>
      <c r="AE55" s="33"/>
      <c r="AH55">
        <f>HLOOKUP(AI55,$AP$1:$AV$2,2,0)</f>
        <v>2</v>
      </c>
      <c r="AI55" t="str">
        <f>Translate!$A$106</f>
        <v>Freight</v>
      </c>
      <c r="AJ55" s="49">
        <f ca="1">AC54</f>
        <v>0</v>
      </c>
      <c r="AL55" s="379">
        <f ca="1">VLOOKUP(T54,EFtable,8,0)*AC54</f>
        <v>0</v>
      </c>
      <c r="AM55" s="463">
        <f t="shared" ca="1" si="10"/>
        <v>18</v>
      </c>
      <c r="AO55" s="49">
        <f t="shared" ca="1" si="11"/>
        <v>0</v>
      </c>
    </row>
    <row r="56" spans="1:41" ht="15.75">
      <c r="A56" s="1"/>
      <c r="C56" s="463"/>
      <c r="D56" s="22"/>
      <c r="E56" s="23"/>
      <c r="F56" s="23"/>
      <c r="G56" s="23"/>
      <c r="H56" s="23"/>
      <c r="I56" s="23"/>
      <c r="J56" s="23"/>
      <c r="K56" s="23"/>
      <c r="L56" s="23"/>
      <c r="M56" s="23"/>
      <c r="N56" s="23"/>
      <c r="O56" s="24"/>
      <c r="P56" s="24"/>
      <c r="Q56" s="24"/>
      <c r="R56" s="24"/>
      <c r="S56" s="24"/>
      <c r="T56" s="24"/>
      <c r="U56" s="24"/>
      <c r="V56" s="24"/>
      <c r="W56" s="24"/>
      <c r="X56" s="24"/>
      <c r="Y56" s="24"/>
      <c r="Z56" s="24"/>
      <c r="AA56" s="24"/>
      <c r="AB56" s="24"/>
      <c r="AC56" s="24"/>
      <c r="AD56" s="24"/>
      <c r="AE56" s="33"/>
      <c r="AJ56" s="49"/>
      <c r="AL56" s="379"/>
      <c r="AM56" s="463">
        <f ca="1">1+OFFSET(AM56,-1,0)</f>
        <v>19</v>
      </c>
      <c r="AO56" s="49">
        <f>AJ56</f>
        <v>0</v>
      </c>
    </row>
    <row r="57" spans="1:41" ht="15.75">
      <c r="A57" s="1"/>
      <c r="C57" s="463"/>
      <c r="D57" s="22"/>
      <c r="E57" s="684">
        <f>IF(E37=0,0,SUM(I42:I56)/E37)</f>
        <v>0</v>
      </c>
      <c r="F57" s="650" t="str">
        <f>'Emission factors'!$F$411&amp;"/"&amp;F37</f>
        <v>t/m3</v>
      </c>
      <c r="G57" s="23"/>
      <c r="H57" s="23"/>
      <c r="I57" s="23"/>
      <c r="J57" s="23"/>
      <c r="K57" s="23"/>
      <c r="L57" s="23"/>
      <c r="M57" s="23"/>
      <c r="N57" s="23"/>
      <c r="O57" s="24"/>
      <c r="P57" s="24"/>
      <c r="Q57" s="24"/>
      <c r="R57" s="24"/>
      <c r="S57" s="24"/>
      <c r="T57" s="24"/>
      <c r="U57" s="24"/>
      <c r="V57" s="24"/>
      <c r="W57" s="24"/>
      <c r="X57" s="24"/>
      <c r="Y57" s="24"/>
      <c r="Z57" s="24"/>
      <c r="AA57" s="24"/>
      <c r="AB57" s="24"/>
      <c r="AC57" s="24"/>
      <c r="AD57" s="24"/>
      <c r="AE57" s="33"/>
      <c r="AJ57" s="49"/>
      <c r="AL57" s="379"/>
      <c r="AM57" s="463">
        <f ca="1">1+OFFSET(AM57,-1,0)</f>
        <v>20</v>
      </c>
      <c r="AO57" s="49">
        <f>AJ57</f>
        <v>0</v>
      </c>
    </row>
    <row r="58" spans="1:41">
      <c r="A58" s="1"/>
      <c r="C58" s="464"/>
      <c r="D58" s="35"/>
      <c r="E58" s="35"/>
      <c r="F58" s="35"/>
      <c r="G58" s="35"/>
      <c r="H58" s="35"/>
      <c r="I58" s="35"/>
      <c r="J58" s="35"/>
      <c r="K58" s="35"/>
      <c r="L58" s="35"/>
      <c r="M58" s="35"/>
      <c r="N58" s="35"/>
      <c r="O58" s="36"/>
      <c r="P58" s="36"/>
      <c r="Q58" s="36"/>
      <c r="R58" s="36"/>
      <c r="S58" s="36"/>
      <c r="T58" s="36"/>
      <c r="U58" s="36"/>
      <c r="V58" s="36"/>
      <c r="W58" s="36"/>
      <c r="X58" s="36"/>
      <c r="Y58" s="36"/>
      <c r="Z58" s="36"/>
      <c r="AA58" s="36"/>
      <c r="AB58" s="36"/>
      <c r="AC58" s="36"/>
      <c r="AD58" s="36"/>
      <c r="AE58" s="37"/>
      <c r="AL58" s="49"/>
      <c r="AM58" s="464">
        <f t="shared" ca="1" si="10"/>
        <v>21</v>
      </c>
    </row>
    <row r="59" spans="1:41">
      <c r="A59" s="1"/>
      <c r="AL59" s="49"/>
    </row>
    <row r="60" spans="1:41" ht="20.25">
      <c r="A60" s="1"/>
      <c r="B60" s="1"/>
      <c r="C60" s="1"/>
      <c r="D60" s="8"/>
      <c r="E60" s="1"/>
      <c r="F60" s="1"/>
      <c r="G60" s="1"/>
      <c r="H60" s="1"/>
      <c r="I60" s="1"/>
      <c r="J60" s="1"/>
      <c r="K60" s="1"/>
      <c r="L60" s="1"/>
      <c r="M60" s="1"/>
      <c r="N60" s="1"/>
      <c r="O60" s="15"/>
      <c r="P60" s="15"/>
      <c r="Q60" s="15"/>
      <c r="R60" s="15"/>
      <c r="S60" s="15"/>
      <c r="T60" s="15"/>
      <c r="U60" s="15"/>
      <c r="V60" s="15"/>
      <c r="W60" s="15"/>
      <c r="X60" s="15"/>
      <c r="Y60" s="15"/>
      <c r="Z60" s="15"/>
      <c r="AA60" s="15"/>
      <c r="AB60" s="15"/>
      <c r="AC60" s="15"/>
      <c r="AD60" s="15"/>
      <c r="AE60" s="15"/>
    </row>
    <row r="62" spans="1:41" ht="20.25">
      <c r="A62" s="12"/>
      <c r="B62" s="12"/>
      <c r="C62" s="12"/>
      <c r="D62" s="13" t="str">
        <f>AP11</f>
        <v>Energy    (Primary source)</v>
      </c>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row>
    <row r="63" spans="1:41">
      <c r="A63" s="12"/>
    </row>
    <row r="64" spans="1:41" ht="6" customHeight="1">
      <c r="A64" s="12"/>
      <c r="C64" s="52"/>
      <c r="D64" s="53"/>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5"/>
    </row>
    <row r="65" spans="1:41" ht="15.75">
      <c r="A65" s="12"/>
      <c r="C65" s="56"/>
      <c r="D65" s="14" t="str">
        <f>Translate!$A$80</f>
        <v>Simplified ratio</v>
      </c>
      <c r="E65" s="488" t="str">
        <f>IF(AND(AP5,F65=Translate!$A$91),AP4,Translate!$A$92)</f>
        <v>OFF</v>
      </c>
      <c r="F65" s="542" t="str">
        <f>Translate!$A$91</f>
        <v>Default</v>
      </c>
      <c r="G65" s="57"/>
      <c r="H65" s="57"/>
      <c r="I65" s="57"/>
      <c r="J65" s="57"/>
      <c r="K65" s="248">
        <f ca="1">$P$1</f>
        <v>0</v>
      </c>
      <c r="L65" s="40">
        <f>IF(E65=Translate!$A$92,0,E65*K65)</f>
        <v>0</v>
      </c>
      <c r="M65" s="41" t="str">
        <f>Translate!$A$102</f>
        <v>kgCO2e</v>
      </c>
      <c r="N65" s="57"/>
      <c r="O65" s="57"/>
      <c r="P65" s="57"/>
      <c r="Q65" s="57"/>
      <c r="R65" s="57"/>
      <c r="S65" s="57"/>
      <c r="T65" s="57"/>
      <c r="U65" s="57"/>
      <c r="V65" s="57"/>
      <c r="W65" s="57"/>
      <c r="X65" s="57"/>
      <c r="Y65" s="57"/>
      <c r="Z65" s="57"/>
      <c r="AA65" s="57"/>
      <c r="AB65" s="57"/>
      <c r="AC65" s="57"/>
      <c r="AD65" s="57"/>
      <c r="AE65" s="58"/>
      <c r="AG65" t="s">
        <v>70</v>
      </c>
      <c r="AH65">
        <v>2</v>
      </c>
      <c r="AI65" t="str">
        <f>Translate!$A$105</f>
        <v>Energy</v>
      </c>
      <c r="AJ65" s="49">
        <f>L65</f>
        <v>0</v>
      </c>
      <c r="AL65" s="379">
        <f>100%*L65</f>
        <v>0</v>
      </c>
      <c r="AN65">
        <f>ROW(F66)-ROW(F64)</f>
        <v>2</v>
      </c>
      <c r="AO65" s="49"/>
    </row>
    <row r="66" spans="1:41" ht="5.0999999999999996" customHeight="1">
      <c r="A66" s="12"/>
      <c r="C66" s="59"/>
      <c r="D66" s="60"/>
      <c r="E66" s="61"/>
      <c r="F66" s="61"/>
      <c r="G66" s="61"/>
      <c r="H66" s="61"/>
      <c r="I66" s="61"/>
      <c r="J66" s="61"/>
      <c r="K66" s="61"/>
      <c r="L66" s="61"/>
      <c r="M66" s="61"/>
      <c r="N66" s="61"/>
      <c r="O66" s="61"/>
      <c r="P66" s="61"/>
      <c r="Q66" s="61"/>
      <c r="R66" s="61"/>
      <c r="S66" s="61"/>
      <c r="T66" s="61"/>
      <c r="U66" s="61"/>
      <c r="V66" s="61"/>
      <c r="W66" s="61"/>
      <c r="X66" s="61"/>
      <c r="Y66" s="61"/>
      <c r="Z66" s="61"/>
      <c r="AA66" s="61"/>
      <c r="AB66" s="61"/>
      <c r="AC66" s="61"/>
      <c r="AD66" s="61"/>
      <c r="AE66" s="62"/>
    </row>
    <row r="67" spans="1:41" ht="9.75" customHeight="1">
      <c r="A67" s="12"/>
    </row>
    <row r="68" spans="1:41" ht="6" customHeight="1">
      <c r="A68" s="12"/>
      <c r="C68" s="52"/>
      <c r="D68" s="53"/>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5"/>
    </row>
    <row r="69" spans="1:41" ht="15.75">
      <c r="A69" s="12"/>
      <c r="B69" s="551" t="s">
        <v>316</v>
      </c>
      <c r="C69" s="56"/>
      <c r="D69" s="468" t="str">
        <f>Translate!$A$200</f>
        <v>Diesel</v>
      </c>
      <c r="E69" s="465"/>
      <c r="F69" s="247" t="str">
        <f>VLOOKUP(D69,EFtable,2,0)</f>
        <v>liter</v>
      </c>
      <c r="G69" s="57"/>
      <c r="H69" s="57"/>
      <c r="I69" s="57"/>
      <c r="J69" s="57"/>
      <c r="K69" s="248">
        <f>VLOOKUP(D69,EFtable,3,0)</f>
        <v>3.2112000000000003</v>
      </c>
      <c r="L69" s="40">
        <f>E69*K69</f>
        <v>0</v>
      </c>
      <c r="M69" s="41" t="str">
        <f>Translate!$A$102</f>
        <v>kgCO2e</v>
      </c>
      <c r="N69" s="57"/>
      <c r="O69" s="57"/>
      <c r="P69" s="57"/>
      <c r="Q69" s="57"/>
      <c r="R69" s="57"/>
      <c r="S69" s="57"/>
      <c r="T69" s="57"/>
      <c r="U69" s="57"/>
      <c r="V69" s="57"/>
      <c r="W69" s="57"/>
      <c r="X69" s="57"/>
      <c r="Y69" s="57"/>
      <c r="Z69" s="57"/>
      <c r="AA69" s="57"/>
      <c r="AB69" s="57"/>
      <c r="AC69" s="57"/>
      <c r="AD69" s="57"/>
      <c r="AE69" s="58"/>
      <c r="AH69">
        <f>HLOOKUP(AI69,$AP$1:$AV$2,2,0)</f>
        <v>1</v>
      </c>
      <c r="AI69" t="str">
        <f>Translate!$A$105</f>
        <v>Energy</v>
      </c>
      <c r="AJ69" s="49">
        <f>L69</f>
        <v>0</v>
      </c>
      <c r="AL69" s="379">
        <f>VLOOKUP(D69,EFtable,8,0)*L69</f>
        <v>0</v>
      </c>
      <c r="AN69">
        <f>ROW(F70)-ROW(F68)</f>
        <v>2</v>
      </c>
      <c r="AO69" s="49">
        <f>AJ69</f>
        <v>0</v>
      </c>
    </row>
    <row r="70" spans="1:41" ht="5.0999999999999996" customHeight="1">
      <c r="A70" s="12"/>
      <c r="C70" s="59"/>
      <c r="D70" s="60"/>
      <c r="E70" s="61"/>
      <c r="F70" s="61"/>
      <c r="G70" s="61"/>
      <c r="H70" s="61"/>
      <c r="I70" s="61"/>
      <c r="J70" s="61"/>
      <c r="K70" s="61"/>
      <c r="L70" s="61"/>
      <c r="M70" s="61"/>
      <c r="N70" s="61"/>
      <c r="O70" s="61"/>
      <c r="P70" s="61"/>
      <c r="Q70" s="61"/>
      <c r="R70" s="61"/>
      <c r="S70" s="61"/>
      <c r="T70" s="61"/>
      <c r="U70" s="61"/>
      <c r="V70" s="61"/>
      <c r="W70" s="61"/>
      <c r="X70" s="61"/>
      <c r="Y70" s="61"/>
      <c r="Z70" s="61"/>
      <c r="AA70" s="61"/>
      <c r="AB70" s="61"/>
      <c r="AC70" s="61"/>
      <c r="AD70" s="61"/>
      <c r="AE70" s="62"/>
      <c r="AO70" s="421"/>
    </row>
    <row r="71" spans="1:41" ht="9.75" customHeight="1">
      <c r="A71" s="12"/>
    </row>
    <row r="72" spans="1:41" ht="6" customHeight="1">
      <c r="A72" s="12"/>
      <c r="C72" s="52"/>
      <c r="D72" s="53"/>
      <c r="E72" s="54"/>
      <c r="F72" s="54"/>
      <c r="G72" s="54"/>
      <c r="H72" s="54"/>
      <c r="I72" s="54"/>
      <c r="J72" s="54"/>
      <c r="K72" s="54"/>
      <c r="L72" s="54"/>
      <c r="M72" s="54"/>
      <c r="N72" s="54"/>
      <c r="O72" s="54"/>
      <c r="P72" s="54"/>
      <c r="Q72" s="54"/>
      <c r="R72" s="54"/>
      <c r="S72" s="54"/>
      <c r="T72" s="54"/>
      <c r="U72" s="54"/>
      <c r="V72" s="54"/>
      <c r="W72" s="54"/>
      <c r="X72" s="54"/>
      <c r="Y72" s="54"/>
      <c r="Z72" s="54"/>
      <c r="AA72" s="54"/>
      <c r="AB72" s="54"/>
      <c r="AC72" s="54"/>
      <c r="AD72" s="54"/>
      <c r="AE72" s="55"/>
    </row>
    <row r="73" spans="1:41" ht="15.75">
      <c r="A73" s="12"/>
      <c r="B73" s="551" t="s">
        <v>316</v>
      </c>
      <c r="C73" s="56"/>
      <c r="D73" s="14" t="str">
        <f>Translate!$A$81</f>
        <v>Network electricity</v>
      </c>
      <c r="E73" s="465"/>
      <c r="F73" s="247" t="str">
        <f>Translate!$A$98</f>
        <v>kWh</v>
      </c>
      <c r="G73" s="57"/>
      <c r="H73" s="57"/>
      <c r="I73" s="57"/>
      <c r="J73" s="57"/>
      <c r="K73" s="615">
        <f>IF(ISERROR(VLOOKUP(Translate!$A$202&amp;" - "&amp;$E$12,EFtable,3,0)),0,VLOOKUP(Translate!$A$202&amp;" - "&amp;$E$12,EFtable,3,0))</f>
        <v>0</v>
      </c>
      <c r="L73" s="40">
        <f>IF(ISERROR(K73),0,E73*K73)</f>
        <v>0</v>
      </c>
      <c r="M73" s="41" t="str">
        <f>Translate!$A$102</f>
        <v>kgCO2e</v>
      </c>
      <c r="N73" s="57"/>
      <c r="O73" s="57"/>
      <c r="P73" s="57"/>
      <c r="Q73" s="57"/>
      <c r="R73" s="57"/>
      <c r="S73" s="57"/>
      <c r="T73" s="57"/>
      <c r="U73" s="57"/>
      <c r="V73" s="57"/>
      <c r="W73" s="57"/>
      <c r="X73" s="57"/>
      <c r="Y73" s="57"/>
      <c r="Z73" s="57"/>
      <c r="AA73" s="57"/>
      <c r="AB73" s="57"/>
      <c r="AC73" s="57"/>
      <c r="AD73" s="57"/>
      <c r="AE73" s="58"/>
      <c r="AH73">
        <f>HLOOKUP(AI73,$AP$1:$AV$2,2,0)</f>
        <v>1</v>
      </c>
      <c r="AI73" t="str">
        <f>Translate!$A$105</f>
        <v>Energy</v>
      </c>
      <c r="AJ73" s="49">
        <f>L73</f>
        <v>0</v>
      </c>
      <c r="AL73" s="379">
        <f>10%*L73</f>
        <v>0</v>
      </c>
      <c r="AN73">
        <f>ROW(F74)-ROW(F72)</f>
        <v>2</v>
      </c>
      <c r="AO73" s="49">
        <f>AJ73</f>
        <v>0</v>
      </c>
    </row>
    <row r="74" spans="1:41" ht="5.0999999999999996" customHeight="1">
      <c r="A74" s="12"/>
      <c r="C74" s="59"/>
      <c r="D74" s="60"/>
      <c r="E74" s="61"/>
      <c r="F74" s="61"/>
      <c r="G74" s="61"/>
      <c r="H74" s="61"/>
      <c r="I74" s="61"/>
      <c r="J74" s="61"/>
      <c r="K74" s="61"/>
      <c r="L74" s="61"/>
      <c r="M74" s="61"/>
      <c r="N74" s="61"/>
      <c r="O74" s="61"/>
      <c r="P74" s="61"/>
      <c r="Q74" s="61"/>
      <c r="R74" s="61"/>
      <c r="S74" s="61"/>
      <c r="T74" s="61"/>
      <c r="U74" s="61"/>
      <c r="V74" s="61"/>
      <c r="W74" s="61"/>
      <c r="X74" s="61"/>
      <c r="Y74" s="61"/>
      <c r="Z74" s="61"/>
      <c r="AA74" s="61"/>
      <c r="AB74" s="61"/>
      <c r="AC74" s="61"/>
      <c r="AD74" s="61"/>
      <c r="AE74" s="62"/>
    </row>
    <row r="75" spans="1:41">
      <c r="A75" s="12"/>
    </row>
    <row r="76" spans="1:41" ht="20.25">
      <c r="A76" s="12"/>
      <c r="B76" s="12"/>
      <c r="C76" s="12"/>
      <c r="D76" s="13"/>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row>
    <row r="78" spans="1:41" ht="20.25">
      <c r="A78" s="288"/>
      <c r="B78" s="290"/>
      <c r="C78" s="290"/>
      <c r="D78" s="291" t="str">
        <f>AS11</f>
        <v>Mob/demob    (Secondary source)</v>
      </c>
      <c r="E78" s="290"/>
      <c r="F78" s="290"/>
      <c r="G78" s="290"/>
      <c r="H78" s="290"/>
      <c r="I78" s="290"/>
      <c r="J78" s="290"/>
      <c r="K78" s="290"/>
      <c r="L78" s="290"/>
      <c r="M78" s="290"/>
      <c r="N78" s="290"/>
      <c r="O78" s="290"/>
      <c r="P78" s="290"/>
      <c r="Q78" s="290"/>
      <c r="R78" s="290"/>
      <c r="S78" s="290"/>
      <c r="T78" s="290"/>
      <c r="U78" s="290"/>
      <c r="V78" s="290"/>
      <c r="W78" s="290"/>
      <c r="X78" s="290"/>
      <c r="Y78" s="290"/>
      <c r="Z78" s="290"/>
      <c r="AA78" s="290"/>
      <c r="AB78" s="290"/>
      <c r="AC78" s="290"/>
      <c r="AD78" s="290"/>
      <c r="AE78" s="290"/>
    </row>
    <row r="79" spans="1:41">
      <c r="A79" s="288"/>
    </row>
    <row r="80" spans="1:41" ht="6" customHeight="1">
      <c r="A80" s="288"/>
      <c r="C80" s="296"/>
      <c r="D80" s="297"/>
      <c r="E80" s="297"/>
      <c r="F80" s="297"/>
      <c r="G80" s="297"/>
      <c r="H80" s="297"/>
      <c r="I80" s="297"/>
      <c r="J80" s="297"/>
      <c r="K80" s="297"/>
      <c r="L80" s="297"/>
      <c r="M80" s="297"/>
      <c r="N80" s="297"/>
      <c r="O80" s="297"/>
      <c r="P80" s="297"/>
      <c r="Q80" s="297"/>
      <c r="R80" s="297"/>
      <c r="S80" s="297"/>
      <c r="T80" s="297"/>
      <c r="U80" s="297"/>
      <c r="V80" s="297"/>
      <c r="W80" s="297"/>
      <c r="X80" s="297"/>
      <c r="Y80" s="297"/>
      <c r="Z80" s="297"/>
      <c r="AA80" s="297"/>
      <c r="AB80" s="297"/>
      <c r="AC80" s="297"/>
      <c r="AD80" s="297"/>
      <c r="AE80" s="298"/>
    </row>
    <row r="81" spans="1:41" ht="15.75">
      <c r="A81" s="288"/>
      <c r="C81" s="299"/>
      <c r="D81" s="292" t="str">
        <f>Translate!$A$80</f>
        <v>Simplified ratio</v>
      </c>
      <c r="E81" s="489">
        <f ca="1">IF(AND(AS5,F81=Translate!$A$91),AS4,Translate!$A$92)</f>
        <v>3.1868748686830371E-3</v>
      </c>
      <c r="F81" s="543" t="str">
        <f>Translate!$A$91</f>
        <v>Default</v>
      </c>
      <c r="G81" s="300"/>
      <c r="H81" s="300"/>
      <c r="I81" s="300"/>
      <c r="J81" s="300"/>
      <c r="K81" s="308">
        <f ca="1">$P$1</f>
        <v>0</v>
      </c>
      <c r="L81" s="308">
        <f ca="1">IF(E81=Translate!$A$92,0,E81*K81)</f>
        <v>0</v>
      </c>
      <c r="M81" s="307" t="str">
        <f>Translate!$A$102</f>
        <v>kgCO2e</v>
      </c>
      <c r="N81" s="301"/>
      <c r="O81" s="301"/>
      <c r="P81" s="301"/>
      <c r="Q81" s="301"/>
      <c r="R81" s="301"/>
      <c r="S81" s="301"/>
      <c r="T81" s="301"/>
      <c r="U81" s="301"/>
      <c r="V81" s="301"/>
      <c r="W81" s="301"/>
      <c r="X81" s="301"/>
      <c r="Y81" s="301"/>
      <c r="Z81" s="301"/>
      <c r="AA81" s="301"/>
      <c r="AB81" s="301"/>
      <c r="AC81" s="301"/>
      <c r="AD81" s="301"/>
      <c r="AE81" s="302"/>
      <c r="AG81" t="s">
        <v>70</v>
      </c>
      <c r="AH81">
        <f>HLOOKUP(AI81,$AP$1:$AV$2,2,0)</f>
        <v>2</v>
      </c>
      <c r="AI81" t="str">
        <f>Translate!$A$107</f>
        <v>Mob/demob</v>
      </c>
      <c r="AJ81" s="49">
        <f ca="1">L81</f>
        <v>0</v>
      </c>
      <c r="AL81" s="379">
        <f ca="1">100%*L81</f>
        <v>0</v>
      </c>
      <c r="AO81" s="49"/>
    </row>
    <row r="82" spans="1:41" ht="5.0999999999999996" customHeight="1">
      <c r="A82" s="288"/>
      <c r="C82" s="303"/>
      <c r="D82" s="304"/>
      <c r="E82" s="304"/>
      <c r="F82" s="304"/>
      <c r="G82" s="304"/>
      <c r="H82" s="304"/>
      <c r="I82" s="304"/>
      <c r="J82" s="304"/>
      <c r="K82" s="304"/>
      <c r="L82" s="304"/>
      <c r="M82" s="304"/>
      <c r="N82" s="304"/>
      <c r="O82" s="304"/>
      <c r="P82" s="304"/>
      <c r="Q82" s="304"/>
      <c r="R82" s="304"/>
      <c r="S82" s="304"/>
      <c r="T82" s="304"/>
      <c r="U82" s="304"/>
      <c r="V82" s="304"/>
      <c r="W82" s="304"/>
      <c r="X82" s="304"/>
      <c r="Y82" s="304"/>
      <c r="Z82" s="304"/>
      <c r="AA82" s="304"/>
      <c r="AB82" s="304"/>
      <c r="AC82" s="304"/>
      <c r="AD82" s="304"/>
      <c r="AE82" s="305"/>
    </row>
    <row r="83" spans="1:41" ht="9.75" customHeight="1">
      <c r="A83" s="288"/>
    </row>
    <row r="84" spans="1:41" ht="6" customHeight="1">
      <c r="A84" s="288"/>
      <c r="C84" s="296"/>
      <c r="D84" s="297"/>
      <c r="E84" s="297"/>
      <c r="F84" s="297"/>
      <c r="G84" s="297"/>
      <c r="H84" s="297"/>
      <c r="I84" s="297"/>
      <c r="J84" s="297"/>
      <c r="K84" s="297"/>
      <c r="L84" s="297"/>
      <c r="M84" s="297"/>
      <c r="N84" s="297"/>
      <c r="O84" s="297"/>
      <c r="P84" s="297"/>
      <c r="Q84" s="297"/>
      <c r="R84" s="297"/>
      <c r="S84" s="297"/>
      <c r="T84" s="297"/>
      <c r="U84" s="297"/>
      <c r="V84" s="297"/>
      <c r="W84" s="297"/>
      <c r="X84" s="297"/>
      <c r="Y84" s="297"/>
      <c r="Z84" s="297"/>
      <c r="AA84" s="297"/>
      <c r="AB84" s="297"/>
      <c r="AC84" s="297"/>
      <c r="AD84" s="297"/>
      <c r="AE84" s="298"/>
    </row>
    <row r="85" spans="1:41" ht="15.75">
      <c r="A85" s="288"/>
      <c r="B85" s="551" t="s">
        <v>316</v>
      </c>
      <c r="C85" s="299"/>
      <c r="D85" s="479" t="str">
        <f>Translate!$A$206</f>
        <v>Road - Rigid &gt;17t</v>
      </c>
      <c r="E85" s="465"/>
      <c r="F85" s="383" t="str">
        <f>Translate!$A$99</f>
        <v>roundtrips</v>
      </c>
      <c r="G85" s="301"/>
      <c r="H85" s="300"/>
      <c r="I85" s="306">
        <f>E85*M85*(1+V85)</f>
        <v>0</v>
      </c>
      <c r="J85" s="307" t="str">
        <f>'Emission factors'!$F$410</f>
        <v>km</v>
      </c>
      <c r="K85" s="295">
        <f>VLOOKUP(D85,EFtable,3,0)</f>
        <v>0.98243999999999998</v>
      </c>
      <c r="L85" s="293" t="str">
        <f>Translate!$A$112</f>
        <v>Distance</v>
      </c>
      <c r="M85" s="470">
        <v>50</v>
      </c>
      <c r="N85" s="354" t="str">
        <f>'Emission factors'!$F$410&amp;" "&amp;Translate!$A$114</f>
        <v>km  one way</v>
      </c>
      <c r="O85" s="353"/>
      <c r="P85" s="294"/>
      <c r="Q85" s="301"/>
      <c r="R85" s="308">
        <f>I85*K85</f>
        <v>0</v>
      </c>
      <c r="S85" s="307" t="str">
        <f>Translate!$A$102</f>
        <v>kgCO2e</v>
      </c>
      <c r="T85" s="301"/>
      <c r="U85" s="355" t="str">
        <f>Translate!$A$128</f>
        <v>empty-return rate</v>
      </c>
      <c r="V85" s="472">
        <v>0</v>
      </c>
      <c r="W85" s="301"/>
      <c r="X85" s="301"/>
      <c r="Y85" s="301"/>
      <c r="Z85" s="301"/>
      <c r="AA85" s="301"/>
      <c r="AB85" s="301"/>
      <c r="AC85" s="301"/>
      <c r="AD85" s="301"/>
      <c r="AE85" s="302"/>
      <c r="AH85">
        <f>HLOOKUP(AI85,$AP$1:$AV$2,2,0)</f>
        <v>2</v>
      </c>
      <c r="AI85" t="str">
        <f>Translate!$A$107</f>
        <v>Mob/demob</v>
      </c>
      <c r="AJ85" s="49">
        <f>R85</f>
        <v>0</v>
      </c>
      <c r="AL85" s="379">
        <f>VLOOKUP(D85,EFtable,8,0)*R85</f>
        <v>0</v>
      </c>
      <c r="AN85">
        <f>ROW(F86)-ROW(F84)</f>
        <v>2</v>
      </c>
      <c r="AO85" s="49">
        <f>AJ85</f>
        <v>0</v>
      </c>
    </row>
    <row r="86" spans="1:41" ht="5.0999999999999996" customHeight="1">
      <c r="A86" s="288"/>
      <c r="C86" s="303"/>
      <c r="D86" s="304"/>
      <c r="E86" s="304"/>
      <c r="F86" s="304"/>
      <c r="G86" s="304"/>
      <c r="H86" s="304"/>
      <c r="I86" s="304"/>
      <c r="J86" s="304"/>
      <c r="K86" s="304"/>
      <c r="L86" s="304"/>
      <c r="M86" s="304"/>
      <c r="N86" s="304"/>
      <c r="O86" s="304"/>
      <c r="P86" s="304"/>
      <c r="Q86" s="304"/>
      <c r="R86" s="304"/>
      <c r="S86" s="304"/>
      <c r="T86" s="304"/>
      <c r="U86" s="304"/>
      <c r="V86" s="304"/>
      <c r="W86" s="304"/>
      <c r="X86" s="304"/>
      <c r="Y86" s="304"/>
      <c r="Z86" s="304"/>
      <c r="AA86" s="304"/>
      <c r="AB86" s="304"/>
      <c r="AC86" s="304"/>
      <c r="AD86" s="304"/>
      <c r="AE86" s="305"/>
    </row>
    <row r="87" spans="1:41" ht="9.75" customHeight="1">
      <c r="A87" s="288"/>
    </row>
    <row r="88" spans="1:41" ht="6" customHeight="1">
      <c r="A88" s="288"/>
      <c r="C88" s="296"/>
      <c r="D88" s="297"/>
      <c r="E88" s="297"/>
      <c r="F88" s="297"/>
      <c r="G88" s="297"/>
      <c r="H88" s="297"/>
      <c r="I88" s="297"/>
      <c r="J88" s="297"/>
      <c r="K88" s="297"/>
      <c r="L88" s="297"/>
      <c r="M88" s="297"/>
      <c r="N88" s="297"/>
      <c r="O88" s="297"/>
      <c r="P88" s="297"/>
      <c r="Q88" s="297"/>
      <c r="R88" s="297"/>
      <c r="S88" s="297"/>
      <c r="T88" s="297"/>
      <c r="U88" s="297"/>
      <c r="V88" s="297"/>
      <c r="W88" s="297"/>
      <c r="X88" s="297"/>
      <c r="Y88" s="297"/>
      <c r="Z88" s="297"/>
      <c r="AA88" s="297"/>
      <c r="AB88" s="297"/>
      <c r="AC88" s="297"/>
      <c r="AD88" s="297"/>
      <c r="AE88" s="298"/>
    </row>
    <row r="89" spans="1:41" ht="15.75">
      <c r="A89" s="288"/>
      <c r="B89" s="551" t="s">
        <v>316</v>
      </c>
      <c r="C89" s="299"/>
      <c r="D89" s="479" t="str">
        <f>Translate!$A$208</f>
        <v>Road - Articulated &gt;33t</v>
      </c>
      <c r="E89" s="465"/>
      <c r="F89" s="383" t="str">
        <f>Translate!$A$99</f>
        <v>roundtrips</v>
      </c>
      <c r="G89" s="301"/>
      <c r="H89" s="300"/>
      <c r="I89" s="306">
        <f>E89*M89*(1+V89)</f>
        <v>0</v>
      </c>
      <c r="J89" s="307" t="str">
        <f>'Emission factors'!$F$410</f>
        <v>km</v>
      </c>
      <c r="K89" s="295">
        <f>VLOOKUP(D89,EFtable,3,0)</f>
        <v>0.93694</v>
      </c>
      <c r="L89" s="293" t="str">
        <f>Translate!$A$112</f>
        <v>Distance</v>
      </c>
      <c r="M89" s="470">
        <v>50</v>
      </c>
      <c r="N89" s="354" t="str">
        <f>'Emission factors'!$F$410&amp;" "&amp;Translate!$A$114</f>
        <v>km  one way</v>
      </c>
      <c r="O89" s="353"/>
      <c r="P89" s="294"/>
      <c r="Q89" s="301"/>
      <c r="R89" s="308">
        <f>I89*K89</f>
        <v>0</v>
      </c>
      <c r="S89" s="307" t="str">
        <f>Translate!$A$102</f>
        <v>kgCO2e</v>
      </c>
      <c r="T89" s="301"/>
      <c r="U89" s="355" t="str">
        <f>Translate!$A$128</f>
        <v>empty-return rate</v>
      </c>
      <c r="V89" s="472">
        <v>0</v>
      </c>
      <c r="W89" s="301"/>
      <c r="X89" s="301"/>
      <c r="Y89" s="301"/>
      <c r="Z89" s="301"/>
      <c r="AA89" s="301"/>
      <c r="AB89" s="301"/>
      <c r="AC89" s="301"/>
      <c r="AD89" s="301"/>
      <c r="AE89" s="302"/>
      <c r="AH89">
        <f>HLOOKUP(AI89,$AP$1:$AV$2,2,0)</f>
        <v>2</v>
      </c>
      <c r="AI89" t="str">
        <f>Translate!$A$107</f>
        <v>Mob/demob</v>
      </c>
      <c r="AJ89" s="49">
        <f>R89</f>
        <v>0</v>
      </c>
      <c r="AL89" s="379">
        <f>VLOOKUP(D89,EFtable,8,0)*R89</f>
        <v>0</v>
      </c>
      <c r="AN89">
        <f>ROW(F90)-ROW(F88)</f>
        <v>2</v>
      </c>
      <c r="AO89" s="49">
        <f>AJ89</f>
        <v>0</v>
      </c>
    </row>
    <row r="90" spans="1:41" ht="5.0999999999999996" customHeight="1">
      <c r="A90" s="288"/>
      <c r="C90" s="303"/>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5"/>
    </row>
    <row r="91" spans="1:41">
      <c r="A91" s="288"/>
    </row>
    <row r="92" spans="1:41" ht="20.25">
      <c r="A92" s="288"/>
      <c r="B92" s="288"/>
      <c r="C92" s="288"/>
      <c r="D92" s="289"/>
      <c r="E92" s="288"/>
      <c r="F92" s="288"/>
      <c r="G92" s="288"/>
      <c r="H92" s="288"/>
      <c r="I92" s="288"/>
      <c r="J92" s="288"/>
      <c r="K92" s="288"/>
      <c r="L92" s="288"/>
      <c r="M92" s="288"/>
      <c r="N92" s="288"/>
      <c r="O92" s="288"/>
      <c r="P92" s="288"/>
      <c r="Q92" s="288"/>
      <c r="R92" s="288"/>
      <c r="S92" s="288"/>
      <c r="T92" s="288"/>
      <c r="U92" s="288"/>
      <c r="V92" s="288"/>
      <c r="W92" s="288"/>
      <c r="X92" s="288"/>
      <c r="Y92" s="288"/>
      <c r="Z92" s="288"/>
      <c r="AA92" s="288"/>
      <c r="AB92" s="288"/>
      <c r="AC92" s="288"/>
      <c r="AD92" s="288"/>
      <c r="AE92" s="288"/>
    </row>
    <row r="94" spans="1:41" ht="20.25">
      <c r="A94" s="17"/>
      <c r="B94" s="17"/>
      <c r="C94" s="17"/>
      <c r="D94" s="18" t="str">
        <f>AT11</f>
        <v>People's transportation    (Secondary source)</v>
      </c>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row>
    <row r="95" spans="1:41" ht="9.75" customHeight="1">
      <c r="A95" s="17"/>
    </row>
    <row r="96" spans="1:41" ht="6" customHeight="1">
      <c r="A96" s="17"/>
      <c r="C96" s="63"/>
      <c r="D96" s="64"/>
      <c r="E96" s="65"/>
      <c r="F96" s="65"/>
      <c r="G96" s="65"/>
      <c r="H96" s="65"/>
      <c r="I96" s="65"/>
      <c r="J96" s="65"/>
      <c r="K96" s="65"/>
      <c r="L96" s="65"/>
      <c r="M96" s="65"/>
      <c r="N96" s="65"/>
      <c r="O96" s="65"/>
      <c r="P96" s="65"/>
      <c r="Q96" s="65"/>
      <c r="R96" s="65"/>
      <c r="S96" s="65"/>
      <c r="T96" s="65"/>
      <c r="U96" s="65"/>
      <c r="V96" s="65"/>
      <c r="W96" s="65"/>
      <c r="X96" s="65"/>
      <c r="Y96" s="65"/>
      <c r="Z96" s="65"/>
      <c r="AA96" s="65"/>
      <c r="AB96" s="65"/>
      <c r="AC96" s="65"/>
      <c r="AD96" s="65"/>
      <c r="AE96" s="66"/>
    </row>
    <row r="97" spans="1:41" ht="47.1" customHeight="1">
      <c r="A97" s="17"/>
      <c r="C97" s="45"/>
      <c r="D97" s="698" t="str">
        <f>Translate!$A$82</f>
        <v>Coming by</v>
      </c>
      <c r="E97" s="697" t="str">
        <f>Translate!$A$93</f>
        <v>Number of roundtrips</v>
      </c>
      <c r="F97" s="787" t="str">
        <f>Translate!$A$100</f>
        <v>every X day(s)</v>
      </c>
      <c r="G97" s="787"/>
      <c r="H97" s="787"/>
      <c r="I97" s="699"/>
      <c r="J97" s="699"/>
      <c r="K97" s="699"/>
      <c r="L97" s="700" t="str">
        <f>Translate!$A$113&amp;"
("&amp;'Emission factors'!$F$410&amp;Translate!$A$114&amp;")"</f>
        <v>Average distance
(km one way)</v>
      </c>
      <c r="M97" s="67"/>
      <c r="N97" s="67"/>
      <c r="O97" s="67"/>
      <c r="P97" s="67"/>
      <c r="Q97" s="67"/>
      <c r="R97" s="67"/>
      <c r="S97" s="67"/>
      <c r="T97" s="67"/>
      <c r="U97" s="67"/>
      <c r="V97" s="67"/>
      <c r="W97" s="67"/>
      <c r="X97" s="67"/>
      <c r="Y97" s="67"/>
      <c r="Z97" s="67"/>
      <c r="AA97" s="67"/>
      <c r="AB97" s="67"/>
      <c r="AC97" s="67"/>
      <c r="AD97" s="67"/>
      <c r="AE97" s="68"/>
    </row>
    <row r="98" spans="1:41" ht="3.75" customHeight="1">
      <c r="A98" s="17"/>
      <c r="C98" s="45"/>
      <c r="D98" s="64"/>
      <c r="E98" s="65"/>
      <c r="F98" s="65"/>
      <c r="G98" s="65"/>
      <c r="H98" s="65"/>
      <c r="I98" s="65"/>
      <c r="J98" s="65"/>
      <c r="K98" s="65"/>
      <c r="L98" s="65"/>
      <c r="M98" s="67"/>
      <c r="N98" s="67"/>
      <c r="O98" s="67"/>
      <c r="P98" s="67"/>
      <c r="Q98" s="67"/>
      <c r="R98" s="67"/>
      <c r="S98" s="67"/>
      <c r="T98" s="67"/>
      <c r="U98" s="67"/>
      <c r="V98" s="67"/>
      <c r="W98" s="67"/>
      <c r="X98" s="67"/>
      <c r="Y98" s="67"/>
      <c r="Z98" s="67"/>
      <c r="AA98" s="67"/>
      <c r="AB98" s="67"/>
      <c r="AC98" s="67"/>
      <c r="AD98" s="67"/>
      <c r="AE98" s="68"/>
    </row>
    <row r="99" spans="1:41" ht="15.75">
      <c r="A99" s="17"/>
      <c r="C99" s="551" t="s">
        <v>316</v>
      </c>
      <c r="D99" s="468" t="str">
        <f>Translate!$A$217</f>
        <v>Car</v>
      </c>
      <c r="E99" s="480">
        <f>$E$10</f>
        <v>0</v>
      </c>
      <c r="F99" s="788">
        <v>1</v>
      </c>
      <c r="G99" s="789"/>
      <c r="H99" s="790"/>
      <c r="I99" s="44">
        <f>L99*E99*$E$9*2/F99</f>
        <v>0</v>
      </c>
      <c r="J99" s="43" t="str">
        <f>VLOOKUP(D99,EFtable,2,0)</f>
        <v>vkm</v>
      </c>
      <c r="K99" s="50">
        <f>VLOOKUP(D99,EFtable,3,0)</f>
        <v>0.21470999999999998</v>
      </c>
      <c r="L99" s="547">
        <v>50</v>
      </c>
      <c r="M99" s="67"/>
      <c r="N99" s="67"/>
      <c r="O99" s="67"/>
      <c r="P99" s="42">
        <f>I99*K99</f>
        <v>0</v>
      </c>
      <c r="Q99" s="43" t="str">
        <f>Translate!$A$102</f>
        <v>kgCO2e</v>
      </c>
      <c r="R99" s="67"/>
      <c r="S99" s="67"/>
      <c r="T99" s="67"/>
      <c r="U99" s="67"/>
      <c r="V99" s="67"/>
      <c r="W99" s="67"/>
      <c r="X99" s="67"/>
      <c r="Y99" s="67"/>
      <c r="Z99" s="67"/>
      <c r="AA99" s="67"/>
      <c r="AB99" s="67"/>
      <c r="AC99" s="67"/>
      <c r="AD99" s="67"/>
      <c r="AE99" s="68"/>
      <c r="AH99">
        <f>HLOOKUP(AI99,$AP$1:$AV$2,2,0)</f>
        <v>2</v>
      </c>
      <c r="AI99" t="str">
        <f>Translate!$A$108</f>
        <v>People's transportation</v>
      </c>
      <c r="AJ99" s="49">
        <f>P99</f>
        <v>0</v>
      </c>
      <c r="AL99" s="379">
        <f>VLOOKUP(D99,EFtable,8,0)*P99</f>
        <v>0</v>
      </c>
      <c r="AN99">
        <v>2</v>
      </c>
      <c r="AO99" s="49">
        <f>AJ99</f>
        <v>0</v>
      </c>
    </row>
    <row r="100" spans="1:41" ht="3.75" hidden="1" customHeight="1">
      <c r="A100" s="17"/>
      <c r="C100" s="63"/>
      <c r="D100" s="64"/>
      <c r="E100" s="65"/>
      <c r="F100" s="65"/>
      <c r="G100" s="65"/>
      <c r="H100" s="65"/>
      <c r="I100" s="65"/>
      <c r="J100" s="65"/>
      <c r="K100" s="65"/>
      <c r="L100" s="65"/>
      <c r="M100" s="67"/>
      <c r="N100" s="67"/>
      <c r="O100" s="67"/>
      <c r="P100" s="67"/>
      <c r="Q100" s="67"/>
      <c r="R100" s="67"/>
      <c r="S100" s="67"/>
      <c r="T100" s="67"/>
      <c r="U100" s="67"/>
      <c r="V100" s="67"/>
      <c r="W100" s="67"/>
      <c r="X100" s="67"/>
      <c r="Y100" s="67"/>
      <c r="Z100" s="67"/>
      <c r="AA100" s="67"/>
      <c r="AB100" s="67"/>
      <c r="AC100" s="67"/>
      <c r="AD100" s="67"/>
      <c r="AE100" s="68"/>
    </row>
    <row r="101" spans="1:41" ht="3.75" hidden="1" customHeight="1"/>
    <row r="102" spans="1:41" ht="3.75" customHeight="1">
      <c r="A102" s="17"/>
      <c r="C102" s="45"/>
      <c r="D102" s="559"/>
      <c r="E102" s="67"/>
      <c r="F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8"/>
    </row>
    <row r="103" spans="1:41" ht="15.75">
      <c r="A103" s="17"/>
      <c r="C103" s="551" t="s">
        <v>316</v>
      </c>
      <c r="D103" s="468" t="str">
        <f>Translate!$A$216</f>
        <v>Bus</v>
      </c>
      <c r="E103" s="481"/>
      <c r="F103" s="771">
        <v>1</v>
      </c>
      <c r="G103" s="771"/>
      <c r="H103" s="771"/>
      <c r="I103" s="44">
        <f>L103*E103*$E$9*2/F103</f>
        <v>0</v>
      </c>
      <c r="J103" s="43" t="str">
        <f>VLOOKUP(D103,EFtable,2,0)</f>
        <v>pkm</v>
      </c>
      <c r="K103" s="50">
        <f>VLOOKUP(D103,EFtable,3,0)</f>
        <v>0.12970999999999999</v>
      </c>
      <c r="L103" s="654">
        <v>50</v>
      </c>
      <c r="M103" s="67"/>
      <c r="N103" s="67"/>
      <c r="O103" s="67"/>
      <c r="P103" s="42">
        <f>I103*K103</f>
        <v>0</v>
      </c>
      <c r="Q103" s="43" t="str">
        <f>Translate!$A$102</f>
        <v>kgCO2e</v>
      </c>
      <c r="R103" s="67"/>
      <c r="S103" s="67"/>
      <c r="T103" s="67"/>
      <c r="U103" s="67"/>
      <c r="V103" s="67"/>
      <c r="W103" s="67"/>
      <c r="X103" s="67"/>
      <c r="Y103" s="67"/>
      <c r="Z103" s="67"/>
      <c r="AA103" s="67"/>
      <c r="AB103" s="67"/>
      <c r="AC103" s="67"/>
      <c r="AD103" s="67"/>
      <c r="AE103" s="68"/>
      <c r="AH103">
        <f>HLOOKUP(AI103,$AP$1:$AV$2,2,0)</f>
        <v>2</v>
      </c>
      <c r="AI103" t="str">
        <f>Translate!$A$108</f>
        <v>People's transportation</v>
      </c>
      <c r="AJ103" s="49">
        <f>P103</f>
        <v>0</v>
      </c>
      <c r="AL103" s="379">
        <f>VLOOKUP(D103,EFtable,8,0)*P103</f>
        <v>0</v>
      </c>
      <c r="AN103">
        <v>2</v>
      </c>
      <c r="AO103" s="49">
        <f>AJ103</f>
        <v>0</v>
      </c>
    </row>
    <row r="104" spans="1:41" ht="3.75" hidden="1" customHeight="1">
      <c r="A104" s="17"/>
      <c r="C104" s="63"/>
      <c r="D104" s="64"/>
      <c r="E104" s="65"/>
      <c r="F104" s="65"/>
      <c r="G104" s="65"/>
      <c r="H104" s="65"/>
      <c r="I104" s="65"/>
      <c r="J104" s="65"/>
      <c r="K104" s="65"/>
      <c r="L104" s="65"/>
      <c r="M104" s="67"/>
      <c r="N104" s="67"/>
      <c r="O104" s="67"/>
      <c r="P104" s="67"/>
      <c r="Q104" s="67"/>
      <c r="R104" s="67"/>
      <c r="S104" s="67"/>
      <c r="T104" s="67"/>
      <c r="U104" s="67"/>
      <c r="V104" s="67"/>
      <c r="W104" s="67"/>
      <c r="X104" s="67"/>
      <c r="Y104" s="67"/>
      <c r="Z104" s="67"/>
      <c r="AA104" s="67"/>
      <c r="AB104" s="67"/>
      <c r="AC104" s="67"/>
      <c r="AD104" s="67"/>
      <c r="AE104" s="68"/>
    </row>
    <row r="105" spans="1:41" ht="3.75" hidden="1" customHeight="1"/>
    <row r="106" spans="1:41" ht="3.75" customHeight="1">
      <c r="A106" s="17"/>
      <c r="C106" s="45"/>
      <c r="D106" s="559"/>
      <c r="E106" s="67"/>
      <c r="F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8"/>
    </row>
    <row r="107" spans="1:41" ht="15.75">
      <c r="A107" s="17"/>
      <c r="C107" s="551" t="s">
        <v>316</v>
      </c>
      <c r="D107" s="468" t="str">
        <f>Translate!$A$218</f>
        <v>Train</v>
      </c>
      <c r="E107" s="481"/>
      <c r="F107" s="771">
        <v>5</v>
      </c>
      <c r="G107" s="771"/>
      <c r="H107" s="771"/>
      <c r="I107" s="44">
        <f>L107*E107*$E$9*2/F107</f>
        <v>0</v>
      </c>
      <c r="J107" s="43" t="str">
        <f>VLOOKUP(D107,EFtable,2,0)</f>
        <v>pkm</v>
      </c>
      <c r="K107" s="50">
        <f>VLOOKUP(D107,EFtable,3,0)</f>
        <v>4.9049999999999996E-2</v>
      </c>
      <c r="L107" s="654">
        <v>300</v>
      </c>
      <c r="M107" s="67"/>
      <c r="N107" s="67"/>
      <c r="O107" s="67"/>
      <c r="P107" s="42">
        <f>I107*K107</f>
        <v>0</v>
      </c>
      <c r="Q107" s="43" t="str">
        <f>Translate!$A$102</f>
        <v>kgCO2e</v>
      </c>
      <c r="R107" s="67"/>
      <c r="S107" s="67"/>
      <c r="T107" s="67"/>
      <c r="U107" s="67"/>
      <c r="V107" s="67"/>
      <c r="W107" s="67"/>
      <c r="X107" s="67"/>
      <c r="Y107" s="67"/>
      <c r="Z107" s="67"/>
      <c r="AA107" s="67"/>
      <c r="AB107" s="67"/>
      <c r="AC107" s="67"/>
      <c r="AD107" s="67"/>
      <c r="AE107" s="68"/>
      <c r="AH107">
        <f>HLOOKUP(AI107,$AP$1:$AV$2,2,0)</f>
        <v>2</v>
      </c>
      <c r="AI107" t="str">
        <f>Translate!$A$108</f>
        <v>People's transportation</v>
      </c>
      <c r="AJ107" s="49">
        <f>P107</f>
        <v>0</v>
      </c>
      <c r="AL107" s="379">
        <f>VLOOKUP(D107,EFtable,8,0)*P107</f>
        <v>0</v>
      </c>
      <c r="AN107">
        <v>2</v>
      </c>
      <c r="AO107" s="49">
        <f>AJ107</f>
        <v>0</v>
      </c>
    </row>
    <row r="108" spans="1:41" ht="3.75" hidden="1" customHeight="1">
      <c r="A108" s="17"/>
      <c r="C108" s="69"/>
      <c r="D108" s="70"/>
      <c r="E108" s="71"/>
      <c r="F108" s="71"/>
      <c r="G108" s="71"/>
      <c r="H108" s="71"/>
      <c r="I108" s="71"/>
      <c r="J108" s="71"/>
      <c r="K108" s="71"/>
      <c r="L108" s="71"/>
      <c r="M108" s="71"/>
      <c r="N108" s="71"/>
      <c r="O108" s="71"/>
      <c r="P108" s="71"/>
      <c r="Q108" s="71"/>
      <c r="R108" s="71"/>
      <c r="S108" s="71"/>
      <c r="T108" s="71"/>
      <c r="U108" s="71"/>
      <c r="V108" s="71"/>
      <c r="W108" s="71"/>
      <c r="X108" s="71"/>
      <c r="Y108" s="71"/>
      <c r="Z108" s="71"/>
      <c r="AA108" s="71"/>
      <c r="AB108" s="71"/>
      <c r="AC108" s="71"/>
      <c r="AD108" s="71"/>
      <c r="AE108" s="72"/>
    </row>
    <row r="109" spans="1:41" ht="3.75" hidden="1" customHeight="1"/>
    <row r="110" spans="1:41" ht="3.75" customHeight="1">
      <c r="A110" s="17"/>
      <c r="C110" s="69"/>
      <c r="D110" s="70"/>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2"/>
    </row>
    <row r="111" spans="1:41">
      <c r="A111" s="17"/>
    </row>
    <row r="112" spans="1:41" ht="6" customHeight="1">
      <c r="A112" s="17"/>
      <c r="C112" s="63"/>
      <c r="D112" s="64"/>
      <c r="E112" s="65"/>
      <c r="F112" s="65"/>
      <c r="G112" s="65"/>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6"/>
    </row>
    <row r="113" spans="1:41" ht="15.75">
      <c r="A113" s="17"/>
      <c r="B113" s="551" t="s">
        <v>316</v>
      </c>
      <c r="C113" s="45"/>
      <c r="D113" s="468" t="str">
        <f>Translate!$A$218</f>
        <v>Train</v>
      </c>
      <c r="E113" s="465"/>
      <c r="F113" s="386" t="str">
        <f>VLOOKUP(D113,EFtable,2,0)</f>
        <v>pkm</v>
      </c>
      <c r="G113" s="67"/>
      <c r="H113" s="67"/>
      <c r="I113" s="67"/>
      <c r="J113" s="67"/>
      <c r="K113" s="51">
        <f>VLOOKUP(D113,EFtable,3,0)</f>
        <v>4.9049999999999996E-2</v>
      </c>
      <c r="L113" s="42">
        <f>E113*K113</f>
        <v>0</v>
      </c>
      <c r="M113" s="43" t="str">
        <f>Translate!$A$102</f>
        <v>kgCO2e</v>
      </c>
      <c r="N113" s="67"/>
      <c r="O113" s="67"/>
      <c r="P113" s="67"/>
      <c r="Q113" s="67"/>
      <c r="R113" s="67"/>
      <c r="S113" s="67"/>
      <c r="T113" s="67"/>
      <c r="U113" s="67"/>
      <c r="V113" s="67"/>
      <c r="W113" s="67"/>
      <c r="X113" s="67"/>
      <c r="Y113" s="67"/>
      <c r="Z113" s="67"/>
      <c r="AA113" s="67"/>
      <c r="AB113" s="67"/>
      <c r="AC113" s="67"/>
      <c r="AD113" s="67"/>
      <c r="AE113" s="68"/>
      <c r="AH113">
        <f>HLOOKUP(AI113,$AP$1:$AV$2,2,0)</f>
        <v>2</v>
      </c>
      <c r="AI113" t="str">
        <f>Translate!$A$108</f>
        <v>People's transportation</v>
      </c>
      <c r="AJ113" s="49">
        <f>L113</f>
        <v>0</v>
      </c>
      <c r="AL113" s="379">
        <f>VLOOKUP(D113,EFtable,8,0)*L113</f>
        <v>0</v>
      </c>
      <c r="AN113">
        <f>ROW(F114)-ROW(F112)</f>
        <v>2</v>
      </c>
      <c r="AO113" s="49">
        <f>AJ113</f>
        <v>0</v>
      </c>
    </row>
    <row r="114" spans="1:41" ht="5.0999999999999996" customHeight="1">
      <c r="A114" s="17"/>
      <c r="C114" s="69"/>
      <c r="D114" s="70"/>
      <c r="E114" s="71"/>
      <c r="F114" s="71"/>
      <c r="G114" s="71"/>
      <c r="H114" s="71"/>
      <c r="I114" s="71"/>
      <c r="J114" s="71"/>
      <c r="K114" s="71"/>
      <c r="L114" s="71"/>
      <c r="M114" s="71"/>
      <c r="N114" s="71"/>
      <c r="O114" s="71"/>
      <c r="P114" s="71"/>
      <c r="Q114" s="71"/>
      <c r="R114" s="71"/>
      <c r="S114" s="71"/>
      <c r="T114" s="71"/>
      <c r="U114" s="71"/>
      <c r="V114" s="71"/>
      <c r="W114" s="71"/>
      <c r="X114" s="71"/>
      <c r="Y114" s="71"/>
      <c r="Z114" s="71"/>
      <c r="AA114" s="71"/>
      <c r="AB114" s="71"/>
      <c r="AC114" s="71"/>
      <c r="AD114" s="71"/>
      <c r="AE114" s="72"/>
    </row>
    <row r="115" spans="1:41">
      <c r="A115" s="17"/>
    </row>
    <row r="116" spans="1:41" ht="20.25">
      <c r="A116" s="17"/>
      <c r="B116" s="17"/>
      <c r="C116" s="17"/>
      <c r="D116" s="18"/>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row>
    <row r="118" spans="1:41" ht="20.25">
      <c r="A118" s="73"/>
      <c r="B118" s="73"/>
      <c r="C118" s="73"/>
      <c r="D118" s="74" t="str">
        <f>AU11</f>
        <v>Assets    (Secondary source)</v>
      </c>
      <c r="E118" s="73"/>
      <c r="F118" s="73"/>
      <c r="G118" s="73"/>
      <c r="H118" s="73"/>
      <c r="I118" s="73"/>
      <c r="J118" s="73"/>
      <c r="K118" s="73"/>
      <c r="L118" s="73"/>
      <c r="M118" s="73"/>
      <c r="N118" s="73"/>
      <c r="O118" s="73"/>
      <c r="P118" s="73"/>
      <c r="Q118" s="73"/>
      <c r="R118" s="73"/>
      <c r="S118" s="73"/>
      <c r="T118" s="73"/>
      <c r="U118" s="73"/>
      <c r="V118" s="73"/>
      <c r="W118" s="73"/>
      <c r="X118" s="73"/>
      <c r="Y118" s="73"/>
      <c r="Z118" s="73"/>
      <c r="AA118" s="73"/>
      <c r="AB118" s="73"/>
      <c r="AC118" s="73"/>
      <c r="AD118" s="73"/>
      <c r="AE118" s="73"/>
    </row>
    <row r="119" spans="1:41">
      <c r="A119" s="73"/>
    </row>
    <row r="120" spans="1:41" ht="6" customHeight="1">
      <c r="A120" s="73"/>
      <c r="C120" s="85"/>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76"/>
      <c r="AC120" s="76"/>
      <c r="AD120" s="76"/>
      <c r="AE120" s="77"/>
    </row>
    <row r="121" spans="1:41" ht="15.75">
      <c r="A121" s="73"/>
      <c r="C121" s="86"/>
      <c r="D121" s="75" t="str">
        <f>Translate!$A$80</f>
        <v>Simplified ratio</v>
      </c>
      <c r="E121" s="490">
        <f ca="1">IF(AND(AU5,F121=Translate!$A$91),AU4,Translate!$A$92)</f>
        <v>4.377484024657128E-3</v>
      </c>
      <c r="F121" s="545" t="str">
        <f>Translate!$A$91</f>
        <v>Default</v>
      </c>
      <c r="G121" s="78"/>
      <c r="H121" s="78"/>
      <c r="I121" s="78"/>
      <c r="J121" s="78"/>
      <c r="K121" s="79">
        <f ca="1">$P$1</f>
        <v>0</v>
      </c>
      <c r="L121" s="79">
        <f ca="1">IF(E121=Translate!$A$92,0,E121*K121)</f>
        <v>0</v>
      </c>
      <c r="M121" s="80" t="str">
        <f>Translate!$A$102</f>
        <v>kgCO2e</v>
      </c>
      <c r="N121" s="78"/>
      <c r="O121" s="78"/>
      <c r="P121" s="78"/>
      <c r="Q121" s="78"/>
      <c r="R121" s="78"/>
      <c r="S121" s="78"/>
      <c r="T121" s="78"/>
      <c r="U121" s="78"/>
      <c r="V121" s="78"/>
      <c r="W121" s="78"/>
      <c r="X121" s="78"/>
      <c r="Y121" s="78"/>
      <c r="Z121" s="78"/>
      <c r="AA121" s="78"/>
      <c r="AB121" s="78"/>
      <c r="AC121" s="78"/>
      <c r="AD121" s="78"/>
      <c r="AE121" s="81"/>
      <c r="AG121" t="s">
        <v>70</v>
      </c>
      <c r="AH121">
        <f>HLOOKUP(AI121,$AP$1:$AV$2,2,0)</f>
        <v>2</v>
      </c>
      <c r="AI121" t="str">
        <f>Translate!$A$109</f>
        <v>Assets</v>
      </c>
      <c r="AJ121" s="49">
        <f ca="1">L121</f>
        <v>0</v>
      </c>
      <c r="AL121" s="379">
        <f ca="1">100%*L121</f>
        <v>0</v>
      </c>
      <c r="AO121" s="49"/>
    </row>
    <row r="122" spans="1:41" ht="5.0999999999999996" customHeight="1">
      <c r="A122" s="73"/>
      <c r="C122" s="84"/>
      <c r="D122" s="82"/>
      <c r="E122" s="82"/>
      <c r="F122" s="82"/>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3"/>
    </row>
    <row r="123" spans="1:41" ht="9.75" customHeight="1">
      <c r="A123" s="73"/>
    </row>
    <row r="124" spans="1:41" ht="6" customHeight="1">
      <c r="A124" s="73"/>
      <c r="C124" s="85"/>
      <c r="D124" s="76"/>
      <c r="E124" s="76"/>
      <c r="F124" s="76"/>
      <c r="G124" s="76"/>
      <c r="H124" s="76"/>
      <c r="I124" s="76"/>
      <c r="J124" s="76"/>
      <c r="K124" s="76"/>
      <c r="L124" s="76"/>
      <c r="M124" s="76"/>
      <c r="N124" s="76"/>
      <c r="O124" s="76"/>
      <c r="P124" s="76"/>
      <c r="Q124" s="76"/>
      <c r="R124" s="76"/>
      <c r="S124" s="76"/>
      <c r="T124" s="76"/>
      <c r="U124" s="76"/>
      <c r="V124" s="76"/>
      <c r="W124" s="76"/>
      <c r="X124" s="76"/>
      <c r="Y124" s="76"/>
      <c r="Z124" s="76"/>
      <c r="AA124" s="76"/>
      <c r="AB124" s="76"/>
      <c r="AC124" s="76"/>
      <c r="AD124" s="76"/>
      <c r="AE124" s="77"/>
    </row>
    <row r="125" spans="1:41" ht="15.75">
      <c r="A125" s="73"/>
      <c r="B125" s="551" t="s">
        <v>316</v>
      </c>
      <c r="C125" s="86"/>
      <c r="D125" s="468" t="str">
        <f>Translate!$A$222</f>
        <v>Machines</v>
      </c>
      <c r="E125" s="465"/>
      <c r="F125" s="87" t="str">
        <f>Translate!$A$101</f>
        <v>t</v>
      </c>
      <c r="G125" s="78"/>
      <c r="H125" s="78"/>
      <c r="I125" s="149">
        <f>E125*U125/(Z125*R125)</f>
        <v>0</v>
      </c>
      <c r="J125" s="80" t="s">
        <v>19</v>
      </c>
      <c r="K125" s="149">
        <f>VLOOKUP(Translate!$A$222,EFtable,3,0)</f>
        <v>3666.6666666666665</v>
      </c>
      <c r="L125" s="79">
        <f>I125*K125</f>
        <v>0</v>
      </c>
      <c r="M125" s="80" t="str">
        <f>Translate!$A$102</f>
        <v>kgCO2e</v>
      </c>
      <c r="N125" s="78"/>
      <c r="O125" s="78"/>
      <c r="P125" s="658" t="str">
        <f>Translate!$A$116</f>
        <v>Lifetime</v>
      </c>
      <c r="Q125" s="384"/>
      <c r="R125" s="482">
        <v>10</v>
      </c>
      <c r="S125" s="385" t="str">
        <f>Translate!$A$121</f>
        <v>years</v>
      </c>
      <c r="T125" s="75" t="str">
        <f>Translate!$A$126</f>
        <v>Use time</v>
      </c>
      <c r="U125" s="483">
        <f>$E$9</f>
        <v>0</v>
      </c>
      <c r="V125" s="75" t="str">
        <f>Translate!$A$129</f>
        <v>days</v>
      </c>
      <c r="W125" s="384"/>
      <c r="X125" s="659" t="str">
        <f>Translate!$A$67</f>
        <v>Working days</v>
      </c>
      <c r="Y125" s="660"/>
      <c r="Z125" s="661">
        <v>150</v>
      </c>
      <c r="AA125" s="662" t="str">
        <f>Translate!$A$129&amp;" / "&amp;Translate!$A$122</f>
        <v>days / year</v>
      </c>
      <c r="AB125" s="78"/>
      <c r="AC125" s="78"/>
      <c r="AD125" s="78"/>
      <c r="AE125" s="81"/>
      <c r="AH125">
        <f>HLOOKUP(AI125,$AP$1:$AV$2,2,0)</f>
        <v>2</v>
      </c>
      <c r="AI125" t="str">
        <f>Translate!$A$109</f>
        <v>Assets</v>
      </c>
      <c r="AJ125" s="49">
        <f>L125</f>
        <v>0</v>
      </c>
      <c r="AL125" s="379">
        <f>VLOOKUP("Machines",EFtable,8,0)*L125</f>
        <v>0</v>
      </c>
      <c r="AN125">
        <f>ROW(F126)-ROW(F124)</f>
        <v>2</v>
      </c>
      <c r="AO125" s="49">
        <f>AJ125</f>
        <v>0</v>
      </c>
    </row>
    <row r="126" spans="1:41" ht="5.0999999999999996" customHeight="1">
      <c r="A126" s="73"/>
      <c r="C126" s="84"/>
      <c r="D126" s="82"/>
      <c r="E126" s="82"/>
      <c r="F126" s="8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3"/>
    </row>
    <row r="127" spans="1:41">
      <c r="A127" s="73"/>
    </row>
    <row r="128" spans="1:41" ht="20.25">
      <c r="A128" s="73"/>
      <c r="B128" s="73"/>
      <c r="C128" s="73"/>
      <c r="D128" s="74"/>
      <c r="E128" s="73"/>
      <c r="F128" s="73"/>
      <c r="G128" s="73"/>
      <c r="H128" s="73"/>
      <c r="I128" s="73"/>
      <c r="J128" s="73"/>
      <c r="K128" s="73"/>
      <c r="L128" s="73"/>
      <c r="M128" s="73"/>
      <c r="N128" s="73"/>
      <c r="O128" s="73"/>
      <c r="P128" s="73"/>
      <c r="Q128" s="73"/>
      <c r="R128" s="73"/>
      <c r="S128" s="73"/>
      <c r="T128" s="73"/>
      <c r="U128" s="73"/>
      <c r="V128" s="73"/>
      <c r="W128" s="73"/>
      <c r="X128" s="73"/>
      <c r="Y128" s="73"/>
      <c r="Z128" s="73"/>
      <c r="AA128" s="73"/>
      <c r="AB128" s="73"/>
      <c r="AC128" s="73"/>
      <c r="AD128" s="73"/>
      <c r="AE128" s="73"/>
    </row>
    <row r="130" spans="1:41" ht="20.25">
      <c r="A130" s="249"/>
      <c r="B130" s="249"/>
      <c r="C130" s="249"/>
      <c r="D130" s="250" t="str">
        <f>AV11</f>
        <v>Waste    (Secondary source)</v>
      </c>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c r="AA130" s="249"/>
      <c r="AB130" s="249"/>
      <c r="AC130" s="249"/>
      <c r="AD130" s="249"/>
      <c r="AE130" s="249"/>
    </row>
    <row r="131" spans="1:41">
      <c r="A131" s="249"/>
    </row>
    <row r="132" spans="1:41" ht="6" customHeight="1">
      <c r="A132" s="249"/>
      <c r="C132" s="252"/>
      <c r="D132" s="253"/>
      <c r="E132" s="253"/>
      <c r="F132" s="253"/>
      <c r="G132" s="253"/>
      <c r="H132" s="253"/>
      <c r="I132" s="253"/>
      <c r="J132" s="253"/>
      <c r="K132" s="253"/>
      <c r="L132" s="253"/>
      <c r="M132" s="253"/>
      <c r="N132" s="253"/>
      <c r="O132" s="253"/>
      <c r="P132" s="253"/>
      <c r="Q132" s="253"/>
      <c r="R132" s="253"/>
      <c r="S132" s="253"/>
      <c r="T132" s="253"/>
      <c r="U132" s="253"/>
      <c r="V132" s="253"/>
      <c r="W132" s="253"/>
      <c r="X132" s="253"/>
      <c r="Y132" s="253"/>
      <c r="Z132" s="253"/>
      <c r="AA132" s="253"/>
      <c r="AB132" s="253"/>
      <c r="AC132" s="253"/>
      <c r="AD132" s="253"/>
      <c r="AE132" s="254"/>
    </row>
    <row r="133" spans="1:41" ht="15.75">
      <c r="A133" s="249"/>
      <c r="C133" s="255"/>
      <c r="D133" s="251" t="str">
        <f>Translate!$A$80</f>
        <v>Simplified ratio</v>
      </c>
      <c r="E133" s="491">
        <f ca="1">IF(AND(AV5,F133=Translate!$A$91),AV4,Translate!$A$92)</f>
        <v>2.6591480192145979E-3</v>
      </c>
      <c r="F133" s="544" t="str">
        <f>Translate!$A$91</f>
        <v>Default</v>
      </c>
      <c r="G133" s="259"/>
      <c r="H133" s="259"/>
      <c r="I133" s="259"/>
      <c r="J133" s="259"/>
      <c r="K133" s="261">
        <f ca="1">$P$1</f>
        <v>0</v>
      </c>
      <c r="L133" s="261">
        <f ca="1">IF(E133=Translate!$A$92,0,E133*K133)</f>
        <v>0</v>
      </c>
      <c r="M133" s="262" t="str">
        <f>Translate!$A$102</f>
        <v>kgCO2e</v>
      </c>
      <c r="N133" s="259"/>
      <c r="O133" s="259"/>
      <c r="P133" s="259"/>
      <c r="Q133" s="259"/>
      <c r="R133" s="259"/>
      <c r="S133" s="259"/>
      <c r="T133" s="259"/>
      <c r="U133" s="259"/>
      <c r="V133" s="259"/>
      <c r="W133" s="259"/>
      <c r="X133" s="259"/>
      <c r="Y133" s="259"/>
      <c r="Z133" s="259"/>
      <c r="AA133" s="259"/>
      <c r="AB133" s="259"/>
      <c r="AC133" s="259"/>
      <c r="AD133" s="259"/>
      <c r="AE133" s="260"/>
      <c r="AG133" t="s">
        <v>70</v>
      </c>
      <c r="AH133">
        <f>HLOOKUP(AI133,$AP$1:$AV$2,2,0)</f>
        <v>2</v>
      </c>
      <c r="AI133" t="str">
        <f>Translate!$A$110</f>
        <v>Waste</v>
      </c>
      <c r="AJ133" s="49">
        <f ca="1">L133</f>
        <v>0</v>
      </c>
      <c r="AL133" s="379">
        <f ca="1">100%*L133</f>
        <v>0</v>
      </c>
      <c r="AO133" s="49"/>
    </row>
    <row r="134" spans="1:41" ht="5.0999999999999996" customHeight="1">
      <c r="A134" s="249"/>
      <c r="C134" s="256"/>
      <c r="D134" s="257"/>
      <c r="E134" s="257"/>
      <c r="F134" s="257"/>
      <c r="G134" s="257"/>
      <c r="H134" s="257"/>
      <c r="I134" s="257"/>
      <c r="J134" s="257"/>
      <c r="K134" s="257"/>
      <c r="L134" s="257"/>
      <c r="M134" s="257"/>
      <c r="N134" s="257"/>
      <c r="O134" s="257"/>
      <c r="P134" s="257"/>
      <c r="Q134" s="257"/>
      <c r="R134" s="257"/>
      <c r="S134" s="257"/>
      <c r="T134" s="257"/>
      <c r="U134" s="257"/>
      <c r="V134" s="257"/>
      <c r="W134" s="257"/>
      <c r="X134" s="257"/>
      <c r="Y134" s="257"/>
      <c r="Z134" s="257"/>
      <c r="AA134" s="257"/>
      <c r="AB134" s="257"/>
      <c r="AC134" s="257"/>
      <c r="AD134" s="257"/>
      <c r="AE134" s="258"/>
    </row>
    <row r="135" spans="1:41" ht="9.75" customHeight="1">
      <c r="A135" s="249"/>
    </row>
    <row r="136" spans="1:41" ht="6" customHeight="1">
      <c r="A136" s="249"/>
      <c r="C136" s="252"/>
      <c r="D136" s="253"/>
      <c r="E136" s="253"/>
      <c r="F136" s="253"/>
      <c r="G136" s="253"/>
      <c r="H136" s="253"/>
      <c r="I136" s="253"/>
      <c r="J136" s="253"/>
      <c r="K136" s="253"/>
      <c r="L136" s="253"/>
      <c r="M136" s="253"/>
      <c r="N136" s="253"/>
      <c r="O136" s="253"/>
      <c r="P136" s="253"/>
      <c r="Q136" s="253"/>
      <c r="R136" s="253"/>
      <c r="S136" s="253"/>
      <c r="T136" s="253"/>
      <c r="U136" s="253"/>
      <c r="V136" s="253"/>
      <c r="W136" s="253"/>
      <c r="X136" s="253"/>
      <c r="Y136" s="253"/>
      <c r="Z136" s="253"/>
      <c r="AA136" s="253"/>
      <c r="AB136" s="253"/>
      <c r="AC136" s="253"/>
      <c r="AD136" s="253"/>
      <c r="AE136" s="254"/>
    </row>
    <row r="137" spans="1:41" ht="15.75">
      <c r="A137" s="249"/>
      <c r="B137" s="551" t="s">
        <v>316</v>
      </c>
      <c r="C137" s="255"/>
      <c r="D137" s="468" t="str">
        <f>Translate!$A$84</f>
        <v>Waste 1</v>
      </c>
      <c r="E137" s="465"/>
      <c r="F137" s="264" t="str">
        <f>Translate!$A$101</f>
        <v>t</v>
      </c>
      <c r="G137" s="259"/>
      <c r="H137" s="259"/>
      <c r="I137" s="263">
        <f>Q137*X137*(1+AA137)</f>
        <v>0</v>
      </c>
      <c r="J137" s="262" t="str">
        <f>'Emission factors'!$F$410</f>
        <v>km</v>
      </c>
      <c r="K137" s="274">
        <f>VLOOKUP(T137,EFtable,3,0)</f>
        <v>0.98243999999999998</v>
      </c>
      <c r="L137" s="275">
        <f>I137*K137</f>
        <v>0</v>
      </c>
      <c r="M137" s="262" t="str">
        <f>Translate!$A$102</f>
        <v>kgCO2e</v>
      </c>
      <c r="N137" s="259"/>
      <c r="O137" s="259"/>
      <c r="P137" s="271" t="str">
        <f>Translate!$A$112</f>
        <v>Distance</v>
      </c>
      <c r="Q137" s="470">
        <v>10</v>
      </c>
      <c r="R137" s="272" t="str">
        <f>'Emission factors'!$F$410</f>
        <v>km</v>
      </c>
      <c r="S137" s="271" t="str">
        <f>Translate!$A$120</f>
        <v>Type</v>
      </c>
      <c r="T137" s="471" t="str">
        <f>Translate!$A$206</f>
        <v>Road - Rigid &gt;17t</v>
      </c>
      <c r="U137" s="271" t="str">
        <f>Translate!$A$127</f>
        <v>Load</v>
      </c>
      <c r="V137" s="484">
        <f>VLOOKUP(T137,'Emission factors'!$C$313:$E$329,2,0)</f>
        <v>7.5</v>
      </c>
      <c r="W137" s="272" t="str">
        <f>J137</f>
        <v>km</v>
      </c>
      <c r="X137" s="471">
        <f>IF(V137=0,0,ROUNDUP(E137/V137,0))</f>
        <v>0</v>
      </c>
      <c r="Y137" s="272" t="str">
        <f>Translate!$A$130</f>
        <v>travels</v>
      </c>
      <c r="Z137" s="273" t="str">
        <f>Translate!$A$128</f>
        <v>empty-return rate</v>
      </c>
      <c r="AA137" s="472">
        <v>0.5</v>
      </c>
      <c r="AB137" s="259"/>
      <c r="AC137" s="259"/>
      <c r="AD137" s="259"/>
      <c r="AE137" s="260"/>
      <c r="AH137">
        <f>HLOOKUP(AI137,$AP$1:$AV$2,2,0)</f>
        <v>2</v>
      </c>
      <c r="AI137" t="str">
        <f>Translate!$A$110</f>
        <v>Waste</v>
      </c>
      <c r="AJ137" s="49">
        <f>L137</f>
        <v>0</v>
      </c>
      <c r="AL137" s="379">
        <f>VLOOKUP(T137,EFtable,8,0)*L137</f>
        <v>0</v>
      </c>
      <c r="AN137">
        <f>ROW(F138)-ROW(F136)</f>
        <v>2</v>
      </c>
      <c r="AO137" s="49">
        <f>AJ137</f>
        <v>0</v>
      </c>
    </row>
    <row r="138" spans="1:41" ht="5.0999999999999996" customHeight="1">
      <c r="A138" s="249"/>
      <c r="C138" s="256"/>
      <c r="D138" s="257"/>
      <c r="E138" s="257"/>
      <c r="F138" s="257"/>
      <c r="G138" s="257"/>
      <c r="H138" s="257"/>
      <c r="I138" s="257"/>
      <c r="J138" s="257"/>
      <c r="K138" s="257"/>
      <c r="L138" s="257"/>
      <c r="M138" s="257"/>
      <c r="N138" s="257"/>
      <c r="O138" s="257"/>
      <c r="P138" s="257"/>
      <c r="Q138" s="257"/>
      <c r="R138" s="257"/>
      <c r="S138" s="257"/>
      <c r="T138" s="257"/>
      <c r="U138" s="257"/>
      <c r="V138" s="257"/>
      <c r="W138" s="257"/>
      <c r="X138" s="257"/>
      <c r="Y138" s="257"/>
      <c r="Z138" s="257"/>
      <c r="AA138" s="257"/>
      <c r="AB138" s="257"/>
      <c r="AC138" s="257"/>
      <c r="AD138" s="257"/>
      <c r="AE138" s="258"/>
    </row>
    <row r="139" spans="1:41">
      <c r="A139" s="249"/>
    </row>
    <row r="140" spans="1:41" ht="6" customHeight="1">
      <c r="A140" s="249"/>
      <c r="C140" s="252"/>
      <c r="D140" s="253"/>
      <c r="E140" s="253"/>
      <c r="F140" s="253"/>
      <c r="G140" s="253"/>
      <c r="H140" s="253"/>
      <c r="I140" s="253"/>
      <c r="J140" s="253"/>
      <c r="K140" s="253"/>
      <c r="L140" s="253"/>
      <c r="M140" s="253"/>
      <c r="N140" s="253"/>
      <c r="O140" s="253"/>
      <c r="P140" s="253"/>
      <c r="Q140" s="253"/>
      <c r="R140" s="253"/>
      <c r="S140" s="253"/>
      <c r="T140" s="253"/>
      <c r="U140" s="253"/>
      <c r="V140" s="253"/>
      <c r="W140" s="253"/>
      <c r="X140" s="253"/>
      <c r="Y140" s="253"/>
      <c r="Z140" s="253"/>
      <c r="AA140" s="253"/>
      <c r="AB140" s="253"/>
      <c r="AC140" s="253"/>
      <c r="AD140" s="253"/>
      <c r="AE140" s="254"/>
    </row>
    <row r="141" spans="1:41" ht="15.75">
      <c r="A141" s="249"/>
      <c r="B141" s="551" t="str">
        <f>Translate!$A$242</f>
        <v>-</v>
      </c>
      <c r="C141" s="255"/>
      <c r="D141" s="468" t="str">
        <f>Translate!$A$85</f>
        <v>Waste 2</v>
      </c>
      <c r="E141" s="465"/>
      <c r="F141" s="264" t="str">
        <f>Translate!$A$101</f>
        <v>t</v>
      </c>
      <c r="G141" s="259"/>
      <c r="H141" s="259"/>
      <c r="I141" s="263">
        <f>Q141*X141*(1+AA141)</f>
        <v>0</v>
      </c>
      <c r="J141" s="262" t="str">
        <f>'Emission factors'!$F$410</f>
        <v>km</v>
      </c>
      <c r="K141" s="274">
        <f>VLOOKUP(T141,EFtable,3,0)</f>
        <v>0.98243999999999998</v>
      </c>
      <c r="L141" s="275">
        <f>I141*K141</f>
        <v>0</v>
      </c>
      <c r="M141" s="262" t="str">
        <f>Translate!$A$102</f>
        <v>kgCO2e</v>
      </c>
      <c r="N141" s="259"/>
      <c r="O141" s="259"/>
      <c r="P141" s="271" t="str">
        <f>Translate!$A$112</f>
        <v>Distance</v>
      </c>
      <c r="Q141" s="470">
        <v>10</v>
      </c>
      <c r="R141" s="272" t="str">
        <f>'Emission factors'!$F$410</f>
        <v>km</v>
      </c>
      <c r="S141" s="271" t="str">
        <f>Translate!$A$120</f>
        <v>Type</v>
      </c>
      <c r="T141" s="471" t="str">
        <f>Translate!$A$206</f>
        <v>Road - Rigid &gt;17t</v>
      </c>
      <c r="U141" s="271" t="str">
        <f>Translate!$A$127</f>
        <v>Load</v>
      </c>
      <c r="V141" s="484">
        <f>VLOOKUP(T141,'Emission factors'!$C$313:$E$329,2,0)</f>
        <v>7.5</v>
      </c>
      <c r="W141" s="272" t="str">
        <f>J141</f>
        <v>km</v>
      </c>
      <c r="X141" s="471">
        <f>IF(V141=0,0,ROUNDUP(E141/V141,0))</f>
        <v>0</v>
      </c>
      <c r="Y141" s="272" t="str">
        <f>Translate!$A$130</f>
        <v>travels</v>
      </c>
      <c r="Z141" s="273" t="str">
        <f>Translate!$A$128</f>
        <v>empty-return rate</v>
      </c>
      <c r="AA141" s="472">
        <v>0.5</v>
      </c>
      <c r="AB141" s="259"/>
      <c r="AC141" s="259"/>
      <c r="AD141" s="259"/>
      <c r="AE141" s="260"/>
      <c r="AH141">
        <f>HLOOKUP(AI141,$AP$1:$AV$2,2,0)</f>
        <v>2</v>
      </c>
      <c r="AI141" t="str">
        <f>Translate!$A$110</f>
        <v>Waste</v>
      </c>
      <c r="AJ141" s="49">
        <f>L141</f>
        <v>0</v>
      </c>
      <c r="AL141" s="379">
        <f>VLOOKUP(T141,EFtable,8,0)*L141</f>
        <v>0</v>
      </c>
      <c r="AN141">
        <f>ROW(F142)-ROW(F140)</f>
        <v>2</v>
      </c>
      <c r="AO141" s="49">
        <f>AJ141</f>
        <v>0</v>
      </c>
    </row>
    <row r="142" spans="1:41" ht="5.0999999999999996" customHeight="1">
      <c r="A142" s="249"/>
      <c r="C142" s="256"/>
      <c r="D142" s="257"/>
      <c r="E142" s="257"/>
      <c r="F142" s="257"/>
      <c r="G142" s="257"/>
      <c r="H142" s="257"/>
      <c r="I142" s="257"/>
      <c r="J142" s="257"/>
      <c r="K142" s="257"/>
      <c r="L142" s="257"/>
      <c r="M142" s="257"/>
      <c r="N142" s="257"/>
      <c r="O142" s="257"/>
      <c r="P142" s="257"/>
      <c r="Q142" s="257"/>
      <c r="R142" s="257"/>
      <c r="S142" s="257"/>
      <c r="T142" s="257"/>
      <c r="U142" s="257"/>
      <c r="V142" s="257"/>
      <c r="W142" s="257"/>
      <c r="X142" s="257"/>
      <c r="Y142" s="257"/>
      <c r="Z142" s="257"/>
      <c r="AA142" s="257"/>
      <c r="AB142" s="257"/>
      <c r="AC142" s="257"/>
      <c r="AD142" s="257"/>
      <c r="AE142" s="258"/>
    </row>
    <row r="143" spans="1:41">
      <c r="A143" s="249"/>
    </row>
    <row r="144" spans="1:41" ht="20.25">
      <c r="A144" s="249"/>
      <c r="B144" s="249"/>
      <c r="C144" s="249"/>
      <c r="D144" s="250"/>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49"/>
      <c r="AB144" s="249"/>
      <c r="AC144" s="249"/>
      <c r="AD144" s="249"/>
      <c r="AE144" s="249"/>
    </row>
    <row r="146" spans="1:40" ht="20.25">
      <c r="A146" s="357"/>
      <c r="B146" s="357"/>
      <c r="C146" s="357"/>
      <c r="D146" s="358" t="str">
        <f>Translate!$A$86</f>
        <v>Externaly calculated emissions</v>
      </c>
      <c r="E146" s="357"/>
      <c r="F146" s="357"/>
      <c r="G146" s="357"/>
      <c r="H146" s="357"/>
      <c r="I146" s="357"/>
      <c r="J146" s="357"/>
      <c r="K146" s="357"/>
      <c r="L146" s="357"/>
      <c r="M146" s="357"/>
      <c r="N146" s="357"/>
      <c r="O146" s="357"/>
      <c r="P146" s="357"/>
      <c r="Q146" s="357"/>
      <c r="R146" s="357"/>
      <c r="S146" s="357"/>
      <c r="T146" s="357"/>
      <c r="U146" s="357"/>
      <c r="V146" s="357"/>
      <c r="W146" s="357"/>
      <c r="X146" s="357"/>
      <c r="Y146" s="357"/>
      <c r="Z146" s="357"/>
      <c r="AA146" s="357"/>
      <c r="AB146" s="357"/>
      <c r="AC146" s="357"/>
      <c r="AD146" s="357"/>
      <c r="AE146" s="357"/>
    </row>
    <row r="147" spans="1:40">
      <c r="A147" s="357"/>
    </row>
    <row r="148" spans="1:40" ht="6" customHeight="1">
      <c r="A148" s="357"/>
      <c r="C148" s="359"/>
      <c r="D148" s="362"/>
      <c r="E148" s="362"/>
      <c r="F148" s="362"/>
      <c r="G148" s="362"/>
      <c r="H148" s="362"/>
      <c r="I148" s="362"/>
      <c r="J148" s="362"/>
      <c r="K148" s="362"/>
      <c r="L148" s="362"/>
      <c r="M148" s="362"/>
      <c r="N148" s="362"/>
      <c r="O148" s="362"/>
      <c r="P148" s="362"/>
      <c r="Q148" s="362"/>
      <c r="R148" s="362"/>
      <c r="S148" s="362"/>
      <c r="T148" s="362"/>
      <c r="U148" s="362"/>
      <c r="V148" s="362"/>
      <c r="W148" s="362"/>
      <c r="X148" s="362"/>
      <c r="Y148" s="362"/>
      <c r="Z148" s="362"/>
      <c r="AA148" s="362"/>
      <c r="AB148" s="362"/>
      <c r="AC148" s="362"/>
      <c r="AD148" s="362"/>
      <c r="AE148" s="363"/>
    </row>
    <row r="149" spans="1:40" ht="15.75">
      <c r="A149" s="357"/>
      <c r="B149" s="551" t="s">
        <v>316</v>
      </c>
      <c r="C149" s="360"/>
      <c r="D149" s="652" t="str">
        <f>Translate!$A$47</f>
        <v>Name</v>
      </c>
      <c r="E149" s="470"/>
      <c r="F149" s="468" t="str">
        <f>Translate!$A$104</f>
        <v>Materials</v>
      </c>
      <c r="G149" s="368"/>
      <c r="H149" s="651"/>
      <c r="I149" s="366"/>
      <c r="J149" s="366"/>
      <c r="K149" s="366"/>
      <c r="L149" s="465"/>
      <c r="M149" s="369" t="str">
        <f>Translate!$A$102</f>
        <v>kgCO2e</v>
      </c>
      <c r="N149" s="366"/>
      <c r="O149" s="366"/>
      <c r="P149" s="366"/>
      <c r="Q149" s="366"/>
      <c r="R149" s="366"/>
      <c r="S149" s="366"/>
      <c r="T149" s="366"/>
      <c r="U149" s="366"/>
      <c r="V149" s="366"/>
      <c r="W149" s="366"/>
      <c r="X149" s="366"/>
      <c r="Y149" s="366"/>
      <c r="Z149" s="366"/>
      <c r="AA149" s="366"/>
      <c r="AB149" s="366"/>
      <c r="AC149" s="366"/>
      <c r="AD149" s="366"/>
      <c r="AE149" s="367"/>
      <c r="AG149" t="s">
        <v>346</v>
      </c>
      <c r="AH149">
        <f>HLOOKUP(AI149,$AP$1:$AV$2,2,0)</f>
        <v>1</v>
      </c>
      <c r="AI149" t="str">
        <f>F149</f>
        <v>Materials</v>
      </c>
      <c r="AJ149" s="49">
        <f>L149</f>
        <v>0</v>
      </c>
      <c r="AK149" t="str">
        <f>IF(F149=$AQ$1,Translate!$A$118,"")</f>
        <v>Other</v>
      </c>
      <c r="AN149">
        <f>ROW(F150)-ROW(F148)</f>
        <v>2</v>
      </c>
    </row>
    <row r="150" spans="1:40" ht="5.0999999999999996" customHeight="1">
      <c r="A150" s="357"/>
      <c r="C150" s="361"/>
      <c r="D150" s="364"/>
      <c r="E150" s="364"/>
      <c r="F150" s="364"/>
      <c r="G150" s="364"/>
      <c r="H150" s="364"/>
      <c r="I150" s="364"/>
      <c r="J150" s="364"/>
      <c r="K150" s="364"/>
      <c r="L150" s="364"/>
      <c r="M150" s="364"/>
      <c r="N150" s="364"/>
      <c r="O150" s="364"/>
      <c r="P150" s="364"/>
      <c r="Q150" s="364"/>
      <c r="R150" s="364"/>
      <c r="S150" s="364"/>
      <c r="T150" s="364"/>
      <c r="U150" s="364"/>
      <c r="V150" s="364"/>
      <c r="W150" s="364"/>
      <c r="X150" s="364"/>
      <c r="Y150" s="364"/>
      <c r="Z150" s="364"/>
      <c r="AA150" s="364"/>
      <c r="AB150" s="364"/>
      <c r="AC150" s="364"/>
      <c r="AD150" s="364"/>
      <c r="AE150" s="365"/>
    </row>
    <row r="151" spans="1:40">
      <c r="A151" s="357"/>
    </row>
    <row r="152" spans="1:40" ht="20.25">
      <c r="A152" s="357"/>
      <c r="B152" s="357"/>
      <c r="C152" s="357"/>
      <c r="D152" s="358"/>
      <c r="E152" s="357"/>
      <c r="F152" s="357"/>
      <c r="G152" s="357"/>
      <c r="H152" s="357"/>
      <c r="I152" s="357"/>
      <c r="J152" s="357"/>
      <c r="K152" s="357"/>
      <c r="L152" s="357"/>
      <c r="M152" s="357"/>
      <c r="N152" s="357"/>
      <c r="O152" s="357"/>
      <c r="P152" s="357"/>
      <c r="Q152" s="357"/>
      <c r="R152" s="357"/>
      <c r="S152" s="357"/>
      <c r="T152" s="357"/>
      <c r="U152" s="357"/>
      <c r="V152" s="357"/>
      <c r="W152" s="357"/>
      <c r="X152" s="357"/>
      <c r="Y152" s="357"/>
      <c r="Z152" s="357"/>
      <c r="AA152" s="357"/>
      <c r="AB152" s="357"/>
      <c r="AC152" s="357"/>
      <c r="AD152" s="357"/>
      <c r="AE152" s="357"/>
    </row>
  </sheetData>
  <sheetProtection password="C67E" sheet="1" objects="1" scenarios="1" formatColumns="0" formatRows="0"/>
  <mergeCells count="10">
    <mergeCell ref="F103:H103"/>
    <mergeCell ref="F107:H107"/>
    <mergeCell ref="T3:Z4"/>
    <mergeCell ref="AB4:AF10"/>
    <mergeCell ref="B6:B10"/>
    <mergeCell ref="T6:Z10"/>
    <mergeCell ref="V12:X12"/>
    <mergeCell ref="D42:D43"/>
    <mergeCell ref="F97:H97"/>
    <mergeCell ref="F99:H99"/>
  </mergeCells>
  <conditionalFormatting sqref="R7:S10 R6:T6">
    <cfRule type="expression" dxfId="502" priority="282">
      <formula>AND($AW$10,NOT($T$6=""))</formula>
    </cfRule>
  </conditionalFormatting>
  <conditionalFormatting sqref="O34:AE36 O37 AE37 O40 AE40 O47:AD47 O51:O52 O24:AD24 O25:O26 O38:AE38 O39:S39 U39:AE39">
    <cfRule type="expression" dxfId="501" priority="284">
      <formula>IF($AR$2=2,1,0)</formula>
    </cfRule>
  </conditionalFormatting>
  <conditionalFormatting sqref="C68:AE68 C70:AE70 C69 G69:J69 N69:AE69 C72:AE72 C73 C74:AE74 G73:J73">
    <cfRule type="expression" dxfId="500" priority="286">
      <formula>IF($AP$2=2,1,0)</formula>
    </cfRule>
  </conditionalFormatting>
  <conditionalFormatting sqref="C96:AE96 C110:AE110 C97 I97:K97 C112:AE112 C114:AE114 C113 G113:J113 N113:AE113 N97:AE97 N99:O99 R99:AE99 R103:AE103 N103:O103 N107:O107 R107:AE107">
    <cfRule type="expression" dxfId="499" priority="287">
      <formula>IF($AT$2=2,1,0)</formula>
    </cfRule>
  </conditionalFormatting>
  <conditionalFormatting sqref="C120:AE120 C122:AE122 C121 G121:J121 N121:AE121 C132:AE132 C134:AE134 C133 G133:J133 N133:AE133 G137:H137 N137:O137 C138:AE138 C136:AE136 C137 AC137:AE137">
    <cfRule type="expression" dxfId="498" priority="288">
      <formula>IF($AU$2=2,1,0)</formula>
    </cfRule>
  </conditionalFormatting>
  <conditionalFormatting sqref="C80:AE80 C84:AE84 C82:AE82 C81 G81:J81 N81:AE81 C86:AE86 C85 AC85:AE85">
    <cfRule type="expression" dxfId="497" priority="280">
      <formula>IF($AS$2=2,1,0)</formula>
    </cfRule>
  </conditionalFormatting>
  <conditionalFormatting sqref="AB137">
    <cfRule type="expression" dxfId="496" priority="279">
      <formula>IF($AU$2=2,1,0)</formula>
    </cfRule>
  </conditionalFormatting>
  <conditionalFormatting sqref="AB85">
    <cfRule type="expression" dxfId="495" priority="278">
      <formula>IF($AS$2=2,1,0)</formula>
    </cfRule>
  </conditionalFormatting>
  <conditionalFormatting sqref="P21:AD21">
    <cfRule type="expression" dxfId="494" priority="277">
      <formula>IF($AR$2=2,1,0)</formula>
    </cfRule>
  </conditionalFormatting>
  <conditionalFormatting sqref="O27:AE27">
    <cfRule type="expression" dxfId="493" priority="275">
      <formula>IF($AR$2=2,1,0)</formula>
    </cfRule>
  </conditionalFormatting>
  <conditionalFormatting sqref="C27:N27">
    <cfRule type="expression" dxfId="492" priority="276">
      <formula>IF($AQ$2=2,1,0)</formula>
    </cfRule>
  </conditionalFormatting>
  <conditionalFormatting sqref="P26:AD26">
    <cfRule type="expression" dxfId="491" priority="274">
      <formula>IF($AR$2=2,1,0)</formula>
    </cfRule>
  </conditionalFormatting>
  <conditionalFormatting sqref="O32:AE32">
    <cfRule type="expression" dxfId="490" priority="272">
      <formula>IF($AR$2=2,1,0)</formula>
    </cfRule>
  </conditionalFormatting>
  <conditionalFormatting sqref="C32:N32">
    <cfRule type="expression" dxfId="489" priority="273">
      <formula>IF($AQ$2=2,1,0)</formula>
    </cfRule>
  </conditionalFormatting>
  <conditionalFormatting sqref="P31:AD31">
    <cfRule type="expression" dxfId="488" priority="271">
      <formula>IF($AR$2=2,1,0)</formula>
    </cfRule>
  </conditionalFormatting>
  <conditionalFormatting sqref="E26">
    <cfRule type="expression" dxfId="487" priority="270">
      <formula>IF(E26="do not apply",1,0)</formula>
    </cfRule>
  </conditionalFormatting>
  <conditionalFormatting sqref="E31">
    <cfRule type="expression" dxfId="486" priority="269">
      <formula>IF(E31="do not apply",1,0)</formula>
    </cfRule>
  </conditionalFormatting>
  <conditionalFormatting sqref="O46">
    <cfRule type="expression" dxfId="485" priority="268">
      <formula>IF($AR$2=2,1,0)</formula>
    </cfRule>
  </conditionalFormatting>
  <conditionalFormatting sqref="P46:AD46">
    <cfRule type="expression" dxfId="484" priority="267">
      <formula>IF($AR$2=2,1,0)</formula>
    </cfRule>
  </conditionalFormatting>
  <conditionalFormatting sqref="O49">
    <cfRule type="expression" dxfId="483" priority="265">
      <formula>IF($AR$2=2,1,0)</formula>
    </cfRule>
  </conditionalFormatting>
  <conditionalFormatting sqref="P49:AD49">
    <cfRule type="expression" dxfId="482" priority="264">
      <formula>IF($AR$2=2,1,0)</formula>
    </cfRule>
  </conditionalFormatting>
  <conditionalFormatting sqref="O52">
    <cfRule type="expression" dxfId="481" priority="262">
      <formula>IF($AR$2=2,1,0)</formula>
    </cfRule>
  </conditionalFormatting>
  <conditionalFormatting sqref="P52:AD52">
    <cfRule type="expression" dxfId="480" priority="261">
      <formula>IF($AR$2=2,1,0)</formula>
    </cfRule>
  </conditionalFormatting>
  <conditionalFormatting sqref="O55">
    <cfRule type="expression" dxfId="479" priority="259">
      <formula>IF($AR$2=2,1,0)</formula>
    </cfRule>
  </conditionalFormatting>
  <conditionalFormatting sqref="P55:AD55">
    <cfRule type="expression" dxfId="478" priority="258">
      <formula>IF($AR$2=2,1,0)</formula>
    </cfRule>
  </conditionalFormatting>
  <conditionalFormatting sqref="H21:M21">
    <cfRule type="expression" dxfId="477" priority="253">
      <formula>IF($AQ$2=2,1,0)</formula>
    </cfRule>
  </conditionalFormatting>
  <conditionalFormatting sqref="I26:M26">
    <cfRule type="expression" dxfId="476" priority="252">
      <formula>IF($AQ$2=2,1,0)</formula>
    </cfRule>
  </conditionalFormatting>
  <conditionalFormatting sqref="I31:M31">
    <cfRule type="expression" dxfId="475" priority="251">
      <formula>IF($AQ$2=2,1,0)</formula>
    </cfRule>
  </conditionalFormatting>
  <conditionalFormatting sqref="Y85:Z85">
    <cfRule type="expression" dxfId="474" priority="249">
      <formula>IF($AS$2=2,1,0)</formula>
    </cfRule>
  </conditionalFormatting>
  <conditionalFormatting sqref="X85">
    <cfRule type="expression" dxfId="473" priority="245">
      <formula>IF($AS$2=2,1,0)</formula>
    </cfRule>
  </conditionalFormatting>
  <conditionalFormatting sqref="G85">
    <cfRule type="expression" dxfId="472" priority="247">
      <formula>IF($AS$2=2,1,0)</formula>
    </cfRule>
  </conditionalFormatting>
  <conditionalFormatting sqref="AA85">
    <cfRule type="expression" dxfId="471" priority="248">
      <formula>IF($AS$2=2,1,0)</formula>
    </cfRule>
  </conditionalFormatting>
  <conditionalFormatting sqref="H85">
    <cfRule type="expression" dxfId="470" priority="246">
      <formula>IF($AS$2=2,1,0)</formula>
    </cfRule>
  </conditionalFormatting>
  <conditionalFormatting sqref="W85">
    <cfRule type="expression" dxfId="469" priority="244">
      <formula>IF($AS$2=2,1,0)</formula>
    </cfRule>
  </conditionalFormatting>
  <conditionalFormatting sqref="Q85">
    <cfRule type="expression" dxfId="468" priority="243">
      <formula>IF($AS$2=2,1,0)</formula>
    </cfRule>
  </conditionalFormatting>
  <conditionalFormatting sqref="T85">
    <cfRule type="expression" dxfId="467" priority="242">
      <formula>IF($AS$2=2,1,0)</formula>
    </cfRule>
  </conditionalFormatting>
  <conditionalFormatting sqref="O41:AE44 AE45:AE55">
    <cfRule type="expression" dxfId="466" priority="231">
      <formula>IF($AR$2=2,1,0)</formula>
    </cfRule>
  </conditionalFormatting>
  <conditionalFormatting sqref="O53">
    <cfRule type="expression" dxfId="465" priority="230">
      <formula>IF($AR$2=2,1,0)</formula>
    </cfRule>
  </conditionalFormatting>
  <conditionalFormatting sqref="P53:AD53">
    <cfRule type="expression" dxfId="464" priority="229">
      <formula>IF($AR$2=2,1,0)</formula>
    </cfRule>
  </conditionalFormatting>
  <conditionalFormatting sqref="O54">
    <cfRule type="expression" dxfId="463" priority="228">
      <formula>IF($AR$2=2,1,0)</formula>
    </cfRule>
  </conditionalFormatting>
  <conditionalFormatting sqref="O22:AE22">
    <cfRule type="expression" dxfId="462" priority="223">
      <formula>IF($AR$2=2,1,0)</formula>
    </cfRule>
  </conditionalFormatting>
  <conditionalFormatting sqref="O58:AE58">
    <cfRule type="expression" dxfId="461" priority="227">
      <formula>IF($AR$2=2,1,0)</formula>
    </cfRule>
  </conditionalFormatting>
  <conditionalFormatting sqref="O19:AE19">
    <cfRule type="expression" dxfId="460" priority="226">
      <formula>IF($AR$2=2,1,0)</formula>
    </cfRule>
  </conditionalFormatting>
  <conditionalFormatting sqref="AE20:AE21">
    <cfRule type="expression" dxfId="459" priority="225">
      <formula>IF($AR$2=2,1,0)</formula>
    </cfRule>
  </conditionalFormatting>
  <conditionalFormatting sqref="O20:O21">
    <cfRule type="expression" dxfId="458" priority="224">
      <formula>IF($AR$2=2,1,0)</formula>
    </cfRule>
  </conditionalFormatting>
  <conditionalFormatting sqref="W40:AD40 P40:S40 U40 P45 U45 R45:S45 P48:S48 U48 P51 U51 R51:S51 P54 U54 R54:S54">
    <cfRule type="expression" dxfId="457" priority="221">
      <formula>IF($M$36,1,0)</formula>
    </cfRule>
  </conditionalFormatting>
  <conditionalFormatting sqref="P37 R37:U37 W37:AD37">
    <cfRule type="expression" dxfId="456" priority="220">
      <formula>IF($M$36,0,1)</formula>
    </cfRule>
  </conditionalFormatting>
  <conditionalFormatting sqref="O50:AD50">
    <cfRule type="expression" dxfId="455" priority="218">
      <formula>IF($AR$2=2,1,0)</formula>
    </cfRule>
  </conditionalFormatting>
  <conditionalFormatting sqref="O50">
    <cfRule type="expression" dxfId="454" priority="217">
      <formula>IF($AR$2=2,1,0)</formula>
    </cfRule>
  </conditionalFormatting>
  <conditionalFormatting sqref="M97 M99 M103 M107">
    <cfRule type="expression" dxfId="453" priority="216">
      <formula>IF($AT$2=2,1,0)</formula>
    </cfRule>
  </conditionalFormatting>
  <conditionalFormatting sqref="V40">
    <cfRule type="expression" dxfId="452" priority="215">
      <formula>IF($M$36,1,0)</formula>
    </cfRule>
  </conditionalFormatting>
  <conditionalFormatting sqref="F21">
    <cfRule type="expression" dxfId="451" priority="210">
      <formula>IF(F21="-reused-",1,0)</formula>
    </cfRule>
  </conditionalFormatting>
  <conditionalFormatting sqref="F31 F26">
    <cfRule type="expression" dxfId="450" priority="209">
      <formula>IF(F26="-reused-",1,0)</formula>
    </cfRule>
  </conditionalFormatting>
  <conditionalFormatting sqref="C64:AE64 C66:AE66 C65 G65:J65 N65:AE65">
    <cfRule type="expression" dxfId="449" priority="208">
      <formula>IF($AP$2=2,1,0)</formula>
    </cfRule>
  </conditionalFormatting>
  <conditionalFormatting sqref="G141:H141 N141:O141 C142:AE142 C140:AE140 C141 AC141:AE141">
    <cfRule type="expression" dxfId="448" priority="206">
      <formula>IF($AU$2=2,1,0)</formula>
    </cfRule>
  </conditionalFormatting>
  <conditionalFormatting sqref="AB141">
    <cfRule type="expression" dxfId="447" priority="205">
      <formula>IF($AU$2=2,1,0)</formula>
    </cfRule>
  </conditionalFormatting>
  <conditionalFormatting sqref="C98:AE98">
    <cfRule type="expression" dxfId="446" priority="204">
      <formula>IF($AT$2=2,1,0)</formula>
    </cfRule>
  </conditionalFormatting>
  <conditionalFormatting sqref="C100:L100">
    <cfRule type="expression" dxfId="445" priority="203">
      <formula>IF($AT$2=2,1,0)</formula>
    </cfRule>
  </conditionalFormatting>
  <conditionalFormatting sqref="C104:L104">
    <cfRule type="expression" dxfId="444" priority="202">
      <formula>IF($AT$2=2,1,0)</formula>
    </cfRule>
  </conditionalFormatting>
  <conditionalFormatting sqref="M100:AE100">
    <cfRule type="expression" dxfId="443" priority="201">
      <formula>IF($AT$2=2,1,0)</formula>
    </cfRule>
  </conditionalFormatting>
  <conditionalFormatting sqref="M104:AE104">
    <cfRule type="expression" dxfId="442" priority="200">
      <formula>IF($AT$2=2,1,0)</formula>
    </cfRule>
  </conditionalFormatting>
  <conditionalFormatting sqref="M102:AE102">
    <cfRule type="expression" dxfId="441" priority="198">
      <formula>IF($AT$2=2,1,0)</formula>
    </cfRule>
  </conditionalFormatting>
  <conditionalFormatting sqref="C102:L102">
    <cfRule type="expression" dxfId="440" priority="199">
      <formula>IF($AT$2=2,1,0)</formula>
    </cfRule>
  </conditionalFormatting>
  <conditionalFormatting sqref="M106:AE106">
    <cfRule type="expression" dxfId="439" priority="196">
      <formula>IF($AT$2=2,1,0)</formula>
    </cfRule>
  </conditionalFormatting>
  <conditionalFormatting sqref="C106:L106">
    <cfRule type="expression" dxfId="438" priority="197">
      <formula>IF($AT$2=2,1,0)</formula>
    </cfRule>
  </conditionalFormatting>
  <conditionalFormatting sqref="Q37">
    <cfRule type="expression" dxfId="437" priority="195">
      <formula>IF($M$36,0,1)</formula>
    </cfRule>
  </conditionalFormatting>
  <conditionalFormatting sqref="V54">
    <cfRule type="expression" dxfId="436" priority="180">
      <formula>IF($M$36,1,0)</formula>
    </cfRule>
  </conditionalFormatting>
  <conditionalFormatting sqref="O48">
    <cfRule type="expression" dxfId="435" priority="190">
      <formula>IF($AR$2=2,1,0)</formula>
    </cfRule>
  </conditionalFormatting>
  <conditionalFormatting sqref="T40">
    <cfRule type="expression" dxfId="434" priority="189">
      <formula>IF($M$36,1,0)</formula>
    </cfRule>
  </conditionalFormatting>
  <conditionalFormatting sqref="W45:AD45">
    <cfRule type="expression" dxfId="433" priority="188">
      <formula>IF($M$36,1,0)</formula>
    </cfRule>
  </conditionalFormatting>
  <conditionalFormatting sqref="V45">
    <cfRule type="expression" dxfId="432" priority="187">
      <formula>IF($M$36,1,0)</formula>
    </cfRule>
  </conditionalFormatting>
  <conditionalFormatting sqref="T45">
    <cfRule type="expression" dxfId="431" priority="186">
      <formula>IF($M$36,1,0)</formula>
    </cfRule>
  </conditionalFormatting>
  <conditionalFormatting sqref="Y48:AD48">
    <cfRule type="expression" dxfId="430" priority="185">
      <formula>IF($M$36,1,0)</formula>
    </cfRule>
  </conditionalFormatting>
  <conditionalFormatting sqref="V48">
    <cfRule type="expression" dxfId="429" priority="184">
      <formula>IF($M$36,1,0)</formula>
    </cfRule>
  </conditionalFormatting>
  <conditionalFormatting sqref="Y51:AD51">
    <cfRule type="expression" dxfId="428" priority="183">
      <formula>IF($M$36,1,0)</formula>
    </cfRule>
  </conditionalFormatting>
  <conditionalFormatting sqref="V51">
    <cfRule type="expression" dxfId="427" priority="182">
      <formula>IF($M$36,1,0)</formula>
    </cfRule>
  </conditionalFormatting>
  <conditionalFormatting sqref="Y54:AD54">
    <cfRule type="expression" dxfId="426" priority="181">
      <formula>IF($M$36,1,0)</formula>
    </cfRule>
  </conditionalFormatting>
  <conditionalFormatting sqref="O45">
    <cfRule type="expression" dxfId="425" priority="179">
      <formula>IF($AR$2=2,1,0)</formula>
    </cfRule>
  </conditionalFormatting>
  <conditionalFormatting sqref="Q45">
    <cfRule type="expression" dxfId="424" priority="178">
      <formula>IF($M$36,1,0)</formula>
    </cfRule>
  </conditionalFormatting>
  <conditionalFormatting sqref="Q51">
    <cfRule type="expression" dxfId="423" priority="177">
      <formula>IF($M$36,1,0)</formula>
    </cfRule>
  </conditionalFormatting>
  <conditionalFormatting sqref="Q54">
    <cfRule type="expression" dxfId="422" priority="176">
      <formula>IF($M$36,1,0)</formula>
    </cfRule>
  </conditionalFormatting>
  <conditionalFormatting sqref="T48">
    <cfRule type="expression" dxfId="421" priority="175">
      <formula>IF($M$36,1,0)</formula>
    </cfRule>
  </conditionalFormatting>
  <conditionalFormatting sqref="T51">
    <cfRule type="expression" dxfId="420" priority="174">
      <formula>IF($M$36,1,0)</formula>
    </cfRule>
  </conditionalFormatting>
  <conditionalFormatting sqref="T54">
    <cfRule type="expression" dxfId="419" priority="173">
      <formula>IF($M$36,1,0)</formula>
    </cfRule>
  </conditionalFormatting>
  <conditionalFormatting sqref="O30:O31">
    <cfRule type="expression" dxfId="418" priority="172">
      <formula>IF($AR$2=2,1,0)</formula>
    </cfRule>
  </conditionalFormatting>
  <conditionalFormatting sqref="O29:AD29">
    <cfRule type="expression" dxfId="417" priority="171">
      <formula>IF($AR$2=2,1,0)</formula>
    </cfRule>
  </conditionalFormatting>
  <conditionalFormatting sqref="AE24">
    <cfRule type="expression" dxfId="416" priority="170">
      <formula>IF($AR$2=2,1,0)</formula>
    </cfRule>
  </conditionalFormatting>
  <conditionalFormatting sqref="AE25:AE26">
    <cfRule type="expression" dxfId="415" priority="169">
      <formula>IF($AR$2=2,1,0)</formula>
    </cfRule>
  </conditionalFormatting>
  <conditionalFormatting sqref="AE29">
    <cfRule type="expression" dxfId="414" priority="168">
      <formula>IF($AR$2=2,1,0)</formula>
    </cfRule>
  </conditionalFormatting>
  <conditionalFormatting sqref="AE30:AE31">
    <cfRule type="expression" dxfId="413" priority="167">
      <formula>IF($AR$2=2,1,0)</formula>
    </cfRule>
  </conditionalFormatting>
  <conditionalFormatting sqref="E21">
    <cfRule type="expression" dxfId="412" priority="166">
      <formula>IF(E21="do not apply",1,0)</formula>
    </cfRule>
  </conditionalFormatting>
  <conditionalFormatting sqref="C108:AE108">
    <cfRule type="expression" dxfId="411" priority="165">
      <formula>IF($AT$2=2,1,0)</formula>
    </cfRule>
  </conditionalFormatting>
  <conditionalFormatting sqref="O57:AE57">
    <cfRule type="expression" dxfId="410" priority="164">
      <formula>IF($AR$2=2,1,0)</formula>
    </cfRule>
  </conditionalFormatting>
  <conditionalFormatting sqref="O56:AE56">
    <cfRule type="expression" dxfId="409" priority="162">
      <formula>IF($AR$2=2,1,0)</formula>
    </cfRule>
  </conditionalFormatting>
  <conditionalFormatting sqref="H20">
    <cfRule type="expression" dxfId="408" priority="160">
      <formula>IF($AQ$2=2,1,0)</formula>
    </cfRule>
  </conditionalFormatting>
  <conditionalFormatting sqref="G20">
    <cfRule type="expression" dxfId="407" priority="159">
      <formula>IF($AQ$2=2,1,0)</formula>
    </cfRule>
  </conditionalFormatting>
  <conditionalFormatting sqref="G21">
    <cfRule type="expression" dxfId="406" priority="158">
      <formula>IF($AQ$2=2,1,0)</formula>
    </cfRule>
  </conditionalFormatting>
  <conditionalFormatting sqref="C19:N19">
    <cfRule type="expression" dxfId="405" priority="157">
      <formula>IF($AQ$2=2,1,0)</formula>
    </cfRule>
  </conditionalFormatting>
  <conditionalFormatting sqref="N20:N22 C22:N22">
    <cfRule type="expression" dxfId="404" priority="156">
      <formula>IF($AQ$2=2,1,0)</formula>
    </cfRule>
  </conditionalFormatting>
  <conditionalFormatting sqref="C21">
    <cfRule type="expression" dxfId="403" priority="155">
      <formula>IF($AQ$2=2,1,0)</formula>
    </cfRule>
  </conditionalFormatting>
  <conditionalFormatting sqref="C20">
    <cfRule type="expression" dxfId="402" priority="154">
      <formula>IF($AQ$2=2,1,0)</formula>
    </cfRule>
  </conditionalFormatting>
  <conditionalFormatting sqref="C24:M24">
    <cfRule type="expression" dxfId="401" priority="153">
      <formula>IF($AQ$2=2,1,0)</formula>
    </cfRule>
  </conditionalFormatting>
  <conditionalFormatting sqref="C29:M29">
    <cfRule type="expression" dxfId="400" priority="152">
      <formula>IF($AQ$2=2,1,0)</formula>
    </cfRule>
  </conditionalFormatting>
  <conditionalFormatting sqref="C26">
    <cfRule type="expression" dxfId="399" priority="150">
      <formula>IF($AQ$2=2,1,0)</formula>
    </cfRule>
  </conditionalFormatting>
  <conditionalFormatting sqref="C25">
    <cfRule type="expression" dxfId="398" priority="149">
      <formula>IF($AQ$2=2,1,0)</formula>
    </cfRule>
  </conditionalFormatting>
  <conditionalFormatting sqref="C31">
    <cfRule type="expression" dxfId="397" priority="148">
      <formula>IF($AQ$2=2,1,0)</formula>
    </cfRule>
  </conditionalFormatting>
  <conditionalFormatting sqref="C30">
    <cfRule type="expression" dxfId="396" priority="147">
      <formula>IF($AQ$2=2,1,0)</formula>
    </cfRule>
  </conditionalFormatting>
  <conditionalFormatting sqref="H26">
    <cfRule type="expression" dxfId="395" priority="146">
      <formula>IF($AQ$2=2,1,0)</formula>
    </cfRule>
  </conditionalFormatting>
  <conditionalFormatting sqref="H25">
    <cfRule type="expression" dxfId="394" priority="145">
      <formula>IF($AQ$2=2,1,0)</formula>
    </cfRule>
  </conditionalFormatting>
  <conditionalFormatting sqref="G25">
    <cfRule type="expression" dxfId="393" priority="144">
      <formula>IF($AQ$2=2,1,0)</formula>
    </cfRule>
  </conditionalFormatting>
  <conditionalFormatting sqref="G26">
    <cfRule type="expression" dxfId="392" priority="143">
      <formula>IF($AQ$2=2,1,0)</formula>
    </cfRule>
  </conditionalFormatting>
  <conditionalFormatting sqref="H31">
    <cfRule type="expression" dxfId="391" priority="142">
      <formula>IF($AQ$2=2,1,0)</formula>
    </cfRule>
  </conditionalFormatting>
  <conditionalFormatting sqref="H30">
    <cfRule type="expression" dxfId="390" priority="141">
      <formula>IF($AQ$2=2,1,0)</formula>
    </cfRule>
  </conditionalFormatting>
  <conditionalFormatting sqref="G30">
    <cfRule type="expression" dxfId="389" priority="140">
      <formula>IF($AQ$2=2,1,0)</formula>
    </cfRule>
  </conditionalFormatting>
  <conditionalFormatting sqref="G31">
    <cfRule type="expression" dxfId="388" priority="139">
      <formula>IF($AQ$2=2,1,0)</formula>
    </cfRule>
  </conditionalFormatting>
  <conditionalFormatting sqref="N24">
    <cfRule type="expression" dxfId="387" priority="138">
      <formula>IF($AQ$2=2,1,0)</formula>
    </cfRule>
  </conditionalFormatting>
  <conditionalFormatting sqref="N25:N26">
    <cfRule type="expression" dxfId="386" priority="137">
      <formula>IF($AQ$2=2,1,0)</formula>
    </cfRule>
  </conditionalFormatting>
  <conditionalFormatting sqref="N29">
    <cfRule type="expression" dxfId="385" priority="136">
      <formula>IF($AQ$2=2,1,0)</formula>
    </cfRule>
  </conditionalFormatting>
  <conditionalFormatting sqref="N30:N31">
    <cfRule type="expression" dxfId="384" priority="135">
      <formula>IF($AQ$2=2,1,0)</formula>
    </cfRule>
  </conditionalFormatting>
  <conditionalFormatting sqref="T39">
    <cfRule type="expression" dxfId="383" priority="119">
      <formula>IF($AR$2=2,1,0)</formula>
    </cfRule>
  </conditionalFormatting>
  <conditionalFormatting sqref="C124:AE124 C126:AE126 C125 G125:H125 N125:O125 AB125:AE125">
    <cfRule type="expression" dxfId="382" priority="118">
      <formula>IF($AU$2=2,1,0)</formula>
    </cfRule>
  </conditionalFormatting>
  <conditionalFormatting sqref="X89">
    <cfRule type="expression" dxfId="381" priority="111">
      <formula>IF($AS$2=2,1,0)</formula>
    </cfRule>
  </conditionalFormatting>
  <conditionalFormatting sqref="C88:AE88">
    <cfRule type="expression" dxfId="380" priority="117">
      <formula>IF($AS$2=2,1,0)</formula>
    </cfRule>
  </conditionalFormatting>
  <conditionalFormatting sqref="AB89">
    <cfRule type="expression" dxfId="379" priority="116">
      <formula>IF($AS$2=2,1,0)</formula>
    </cfRule>
  </conditionalFormatting>
  <conditionalFormatting sqref="Y89:Z89">
    <cfRule type="expression" dxfId="378" priority="115">
      <formula>IF($AS$2=2,1,0)</formula>
    </cfRule>
  </conditionalFormatting>
  <conditionalFormatting sqref="G89">
    <cfRule type="expression" dxfId="377" priority="113">
      <formula>IF($AS$2=2,1,0)</formula>
    </cfRule>
  </conditionalFormatting>
  <conditionalFormatting sqref="AA89">
    <cfRule type="expression" dxfId="376" priority="114">
      <formula>IF($AS$2=2,1,0)</formula>
    </cfRule>
  </conditionalFormatting>
  <conditionalFormatting sqref="H89">
    <cfRule type="expression" dxfId="375" priority="112">
      <formula>IF($AS$2=2,1,0)</formula>
    </cfRule>
  </conditionalFormatting>
  <conditionalFormatting sqref="W89">
    <cfRule type="expression" dxfId="374" priority="110">
      <formula>IF($AS$2=2,1,0)</formula>
    </cfRule>
  </conditionalFormatting>
  <conditionalFormatting sqref="Q89">
    <cfRule type="expression" dxfId="373" priority="109">
      <formula>IF($AS$2=2,1,0)</formula>
    </cfRule>
  </conditionalFormatting>
  <conditionalFormatting sqref="T89">
    <cfRule type="expression" dxfId="372" priority="108">
      <formula>IF($AS$2=2,1,0)</formula>
    </cfRule>
  </conditionalFormatting>
  <conditionalFormatting sqref="C90:AE90">
    <cfRule type="expression" dxfId="371" priority="107">
      <formula>IF($AS$2=2,1,0)</formula>
    </cfRule>
  </conditionalFormatting>
  <conditionalFormatting sqref="C89">
    <cfRule type="expression" dxfId="370" priority="106">
      <formula>IF($AS$2=2,1,0)</formula>
    </cfRule>
  </conditionalFormatting>
  <conditionalFormatting sqref="AC89:AE89">
    <cfRule type="expression" dxfId="369" priority="105">
      <formula>IF($AS$2=2,1,0)</formula>
    </cfRule>
  </conditionalFormatting>
  <conditionalFormatting sqref="G37:H37 D44:H44 D47:H47 G45:H45 G48:H48 G54:H54 N45 G43:H43 N43 N37 J47:N47 J44:N44">
    <cfRule type="expression" dxfId="368" priority="103">
      <formula>IF($AQ$2=2,1,0)</formula>
    </cfRule>
  </conditionalFormatting>
  <conditionalFormatting sqref="E52">
    <cfRule type="expression" dxfId="367" priority="100">
      <formula>IF(E52="do not apply",1,0)</formula>
    </cfRule>
  </conditionalFormatting>
  <conditionalFormatting sqref="E46">
    <cfRule type="expression" dxfId="366" priority="102">
      <formula>IF(E46="do not apply",1,0)</formula>
    </cfRule>
  </conditionalFormatting>
  <conditionalFormatting sqref="E49">
    <cfRule type="expression" dxfId="365" priority="101">
      <formula>IF(E49="do not apply",1,0)</formula>
    </cfRule>
  </conditionalFormatting>
  <conditionalFormatting sqref="H55:M55">
    <cfRule type="expression" dxfId="364" priority="96">
      <formula>IF($AQ$2=2,1,0)</formula>
    </cfRule>
  </conditionalFormatting>
  <conditionalFormatting sqref="E55">
    <cfRule type="expression" dxfId="363" priority="99">
      <formula>IF(E55="do not apply",1,0)</formula>
    </cfRule>
  </conditionalFormatting>
  <conditionalFormatting sqref="H49 J49:M49">
    <cfRule type="expression" dxfId="362" priority="98">
      <formula>IF($AQ$2=2,1,0)</formula>
    </cfRule>
  </conditionalFormatting>
  <conditionalFormatting sqref="H52 J52:M52">
    <cfRule type="expression" dxfId="361" priority="97">
      <formula>IF($AQ$2=2,1,0)</formula>
    </cfRule>
  </conditionalFormatting>
  <conditionalFormatting sqref="L37:M37">
    <cfRule type="expression" dxfId="360" priority="95">
      <formula>IF($AQ$2=2,1,0)</formula>
    </cfRule>
  </conditionalFormatting>
  <conditionalFormatting sqref="L35">
    <cfRule type="expression" dxfId="359" priority="94">
      <formula>IF($AQ$2=2,1,0)</formula>
    </cfRule>
  </conditionalFormatting>
  <conditionalFormatting sqref="D50:H50 J50:N50">
    <cfRule type="expression" dxfId="358" priority="93">
      <formula>IF($AQ$2=2,1,0)</formula>
    </cfRule>
  </conditionalFormatting>
  <conditionalFormatting sqref="F55">
    <cfRule type="expression" dxfId="357" priority="92">
      <formula>IF(F55="-reused-",1,0)</formula>
    </cfRule>
  </conditionalFormatting>
  <conditionalFormatting sqref="F52">
    <cfRule type="expression" dxfId="356" priority="91">
      <formula>IF(F52="-reused-",1,0)</formula>
    </cfRule>
  </conditionalFormatting>
  <conditionalFormatting sqref="F49">
    <cfRule type="expression" dxfId="355" priority="90">
      <formula>IF(F49="-reused-",1,0)</formula>
    </cfRule>
  </conditionalFormatting>
  <conditionalFormatting sqref="F46">
    <cfRule type="expression" dxfId="354" priority="89">
      <formula>IF(F46="-reused-",1,0)</formula>
    </cfRule>
  </conditionalFormatting>
  <conditionalFormatting sqref="C37:C38 C40:C44 C46:C47 C52:C53 C55 C49:C50 C58">
    <cfRule type="expression" dxfId="353" priority="88">
      <formula>IF($AQ$2=2,1,0)</formula>
    </cfRule>
  </conditionalFormatting>
  <conditionalFormatting sqref="C57">
    <cfRule type="expression" dxfId="352" priority="87">
      <formula>IF($AQ$2=2,1,0)</formula>
    </cfRule>
  </conditionalFormatting>
  <conditionalFormatting sqref="C56">
    <cfRule type="expression" dxfId="351" priority="86">
      <formula>IF($AQ$2=2,1,0)</formula>
    </cfRule>
  </conditionalFormatting>
  <conditionalFormatting sqref="W48">
    <cfRule type="expression" dxfId="350" priority="17">
      <formula>IF($M$36,1,0)</formula>
    </cfRule>
  </conditionalFormatting>
  <conditionalFormatting sqref="W51">
    <cfRule type="expression" dxfId="349" priority="16">
      <formula>IF($M$36,1,0)</formula>
    </cfRule>
  </conditionalFormatting>
  <conditionalFormatting sqref="W54">
    <cfRule type="expression" dxfId="348" priority="15">
      <formula>IF($M$36,1,0)</formula>
    </cfRule>
  </conditionalFormatting>
  <conditionalFormatting sqref="I47 I44">
    <cfRule type="expression" dxfId="347" priority="14">
      <formula>IF($AQ$2=2,1,0)</formula>
    </cfRule>
  </conditionalFormatting>
  <conditionalFormatting sqref="I49">
    <cfRule type="expression" dxfId="346" priority="13">
      <formula>IF($AQ$2=2,1,0)</formula>
    </cfRule>
  </conditionalFormatting>
  <conditionalFormatting sqref="I52">
    <cfRule type="expression" dxfId="345" priority="12">
      <formula>IF($AQ$2=2,1,0)</formula>
    </cfRule>
  </conditionalFormatting>
  <conditionalFormatting sqref="I50">
    <cfRule type="expression" dxfId="344" priority="11">
      <formula>IF($AQ$2=2,1,0)</formula>
    </cfRule>
  </conditionalFormatting>
  <conditionalFormatting sqref="V37">
    <cfRule type="expression" dxfId="343" priority="10">
      <formula>IF($M$36,0,1)</formula>
    </cfRule>
  </conditionalFormatting>
  <conditionalFormatting sqref="F40">
    <cfRule type="expression" dxfId="342" priority="8">
      <formula>IF(COUNTIF(#REF!,F40)=0,1,0)</formula>
    </cfRule>
  </conditionalFormatting>
  <conditionalFormatting sqref="F45">
    <cfRule type="expression" dxfId="341" priority="7">
      <formula>IF(COUNTIF(#REF!,F45)=0,1,0)</formula>
    </cfRule>
  </conditionalFormatting>
  <conditionalFormatting sqref="F48">
    <cfRule type="expression" dxfId="340" priority="6">
      <formula>IF(COUNTIF(#REF!,F48)=0,1,0)</formula>
    </cfRule>
  </conditionalFormatting>
  <conditionalFormatting sqref="F51">
    <cfRule type="expression" dxfId="339" priority="5">
      <formula>IF(COUNTIF(#REF!,F51)=0,1,0)</formula>
    </cfRule>
  </conditionalFormatting>
  <conditionalFormatting sqref="F54">
    <cfRule type="expression" dxfId="338" priority="4">
      <formula>IF(COUNTIF(#REF!,F54)=0,1,0)</formula>
    </cfRule>
  </conditionalFormatting>
  <conditionalFormatting sqref="X48">
    <cfRule type="expression" dxfId="337" priority="3">
      <formula>IF($M$36,1,0)</formula>
    </cfRule>
  </conditionalFormatting>
  <conditionalFormatting sqref="X51">
    <cfRule type="expression" dxfId="336" priority="2">
      <formula>IF($M$36,1,0)</formula>
    </cfRule>
  </conditionalFormatting>
  <conditionalFormatting sqref="X54">
    <cfRule type="expression" dxfId="335" priority="1">
      <formula>IF($M$36,1,0)</formula>
    </cfRule>
  </conditionalFormatting>
  <dataValidations count="17">
    <dataValidation type="list" allowBlank="1" showInputMessage="1" showErrorMessage="1" sqref="E6" xr:uid="{00000000-0002-0000-0300-000000000000}">
      <formula1>techniques</formula1>
    </dataValidation>
    <dataValidation type="list" allowBlank="1" showInputMessage="1" showErrorMessage="1" sqref="D85 D89" xr:uid="{00000000-0002-0000-0300-000001000000}">
      <formula1>EFMobDemob</formula1>
    </dataValidation>
    <dataValidation type="list" showInputMessage="1" showErrorMessage="1" sqref="F149" xr:uid="{00000000-0002-0000-0300-000002000000}">
      <formula1>$H$7:$H$13</formula1>
    </dataValidation>
    <dataValidation type="list" allowBlank="1" showInputMessage="1" showErrorMessage="1" sqref="D113 D99 D103 D107" xr:uid="{00000000-0002-0000-0300-000003000000}">
      <formula1>FETransportation</formula1>
    </dataValidation>
    <dataValidation allowBlank="1" showInputMessage="1" showErrorMessage="1" promptTitle="Duplication" sqref="B35 C51 B20 B25 B141 C99 B137 C103 B125 B30 B69 B73 B85 B89 B113 C107 B149 C54 C39 C45 C48" xr:uid="{00000000-0002-0000-0300-000004000000}"/>
    <dataValidation type="list" allowBlank="1" showInputMessage="1" showErrorMessage="1" sqref="E39" xr:uid="{00000000-0002-0000-0300-000005000000}">
      <formula1>CementTypeName</formula1>
    </dataValidation>
    <dataValidation type="list" allowBlank="1" showInputMessage="1" showErrorMessage="1" sqref="L36" xr:uid="{00000000-0002-0000-0300-000006000000}">
      <formula1>concrete_origin</formula1>
    </dataValidation>
    <dataValidation type="list" allowBlank="1" showInputMessage="1" showErrorMessage="1" sqref="E12" xr:uid="{00000000-0002-0000-0300-000007000000}">
      <formula1>Countries</formula1>
    </dataValidation>
    <dataValidation type="list" allowBlank="1" showInputMessage="1" showErrorMessage="1" sqref="T48 T37 T25 T54 T30 T51 T40 T45 T20" xr:uid="{00000000-0002-0000-0300-000008000000}">
      <formula1>EFFreight</formula1>
    </dataValidation>
    <dataValidation type="list" allowBlank="1" showInputMessage="1" showErrorMessage="1" sqref="D20 D25 D30 D54 D51 D48 D45" xr:uid="{00000000-0002-0000-0300-000009000000}">
      <formula1>FEMaterials</formula1>
    </dataValidation>
    <dataValidation type="list" allowBlank="1" showInputMessage="1" showErrorMessage="1" sqref="D69" xr:uid="{00000000-0002-0000-0300-00000A000000}">
      <formula1>FEEnergy</formula1>
    </dataValidation>
    <dataValidation type="list" allowBlank="1" showInputMessage="1" showErrorMessage="1" sqref="T141 T137" xr:uid="{00000000-0002-0000-0300-00000B000000}">
      <formula1>FEFreight</formula1>
    </dataValidation>
    <dataValidation type="list" allowBlank="1" showInputMessage="1" showErrorMessage="1" sqref="F26 F21 F31 F49 F52 F46 F55" xr:uid="{00000000-0002-0000-0300-00000C000000}">
      <formula1>new_recycled_reused</formula1>
    </dataValidation>
    <dataValidation type="list" allowBlank="1" showInputMessage="1" showErrorMessage="1" sqref="F65 F81 F121 F133" xr:uid="{00000000-0002-0000-0300-00000D000000}">
      <formula1>ratio_use</formula1>
    </dataValidation>
    <dataValidation type="list" allowBlank="1" showInputMessage="1" showErrorMessage="1" sqref="D125" xr:uid="{00000000-0002-0000-0300-00000E000000}">
      <formula1>FEAssets</formula1>
    </dataValidation>
    <dataValidation type="list" allowBlank="1" showInputMessage="1" showErrorMessage="1" sqref="F37" xr:uid="{00000000-0002-0000-0300-00000F000000}">
      <formula1>concreteunits</formula1>
    </dataValidation>
    <dataValidation type="list" allowBlank="1" showInputMessage="1" showErrorMessage="1" sqref="F40 F45 F48 F51 F54" xr:uid="{00000000-0002-0000-0300-000010000000}">
      <formula1>OFFSET(AS40,-AM40+5,0,2)</formula1>
    </dataValidation>
  </dataValidations>
  <pageMargins left="0.7" right="0.7" top="0.75" bottom="0.75"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9">
    <tabColor theme="5"/>
  </sheetPr>
  <dimension ref="A1:BE152"/>
  <sheetViews>
    <sheetView showGridLines="0" topLeftCell="A3" zoomScale="80" zoomScaleNormal="80" zoomScalePageLayoutView="80" workbookViewId="0">
      <pane ySplit="14" topLeftCell="A17" activePane="bottomLeft" state="frozen"/>
      <selection activeCell="E7" sqref="E7"/>
      <selection pane="bottomLeft" activeCell="E5" sqref="E5"/>
    </sheetView>
  </sheetViews>
  <sheetFormatPr baseColWidth="10" defaultColWidth="11.5546875" defaultRowHeight="15" outlineLevelCol="1"/>
  <cols>
    <col min="1" max="1" width="2.5546875" customWidth="1"/>
    <col min="2" max="2" width="2.109375" customWidth="1"/>
    <col min="3" max="3" width="3.33203125" customWidth="1"/>
    <col min="4" max="4" width="21.33203125" customWidth="1"/>
    <col min="5" max="5" width="18.33203125" customWidth="1"/>
    <col min="6" max="6" width="13.33203125" customWidth="1"/>
    <col min="7" max="7" width="3.109375" customWidth="1"/>
    <col min="8" max="8" width="3.88671875" customWidth="1"/>
    <col min="9" max="9" width="8.6640625" hidden="1" customWidth="1" outlineLevel="1"/>
    <col min="10" max="10" width="4.6640625" hidden="1" customWidth="1" outlineLevel="1"/>
    <col min="11" max="11" width="8.33203125" hidden="1" customWidth="1" outlineLevel="1"/>
    <col min="12" max="12" width="13.88671875" customWidth="1" collapsed="1"/>
    <col min="13" max="13" width="8" customWidth="1"/>
    <col min="14" max="14" width="1.33203125" customWidth="1"/>
    <col min="15" max="15" width="1.88671875" customWidth="1"/>
    <col min="16" max="16" width="10.109375" customWidth="1"/>
    <col min="17" max="17" width="9" customWidth="1"/>
    <col min="18" max="18" width="8.109375" customWidth="1"/>
    <col min="19" max="19" width="7.33203125" customWidth="1"/>
    <col min="20" max="20" width="22.6640625" customWidth="1"/>
    <col min="21" max="21" width="9.5546875" customWidth="1"/>
    <col min="22" max="22" width="9.33203125" customWidth="1"/>
    <col min="23" max="23" width="3.33203125" customWidth="1"/>
    <col min="24" max="24" width="7.6640625" customWidth="1"/>
    <col min="25" max="25" width="7.33203125" customWidth="1"/>
    <col min="26" max="26" width="10.109375" customWidth="1"/>
    <col min="27" max="27" width="9.6640625" customWidth="1"/>
    <col min="28" max="30" width="7.6640625" customWidth="1"/>
    <col min="31" max="31" width="5.109375" customWidth="1"/>
    <col min="32" max="32" width="5.33203125" customWidth="1"/>
    <col min="33" max="33" width="5.33203125" hidden="1" customWidth="1"/>
    <col min="34" max="34" width="12.33203125" hidden="1" customWidth="1"/>
    <col min="35" max="40" width="10.6640625" hidden="1" customWidth="1"/>
    <col min="41" max="41" width="22.5546875" hidden="1" customWidth="1"/>
    <col min="42" max="52" width="10.6640625" hidden="1" customWidth="1"/>
    <col min="53" max="55" width="10.6640625" customWidth="1"/>
  </cols>
  <sheetData>
    <row r="1" spans="1:57" hidden="1">
      <c r="A1" s="380" t="s">
        <v>93</v>
      </c>
      <c r="B1" s="380"/>
      <c r="C1" s="380"/>
      <c r="M1" t="s">
        <v>325</v>
      </c>
      <c r="P1" s="49">
        <f ca="1">SUMPRODUCT(($AH$17:$AH$177=1)*$AO$17:$AO$177)</f>
        <v>0</v>
      </c>
      <c r="Q1" s="49">
        <f ca="1">SUMPRODUCT(($AH$17:$AH$177=1)*1,$AL$17:$AL$177)</f>
        <v>0</v>
      </c>
      <c r="T1" s="433" t="s">
        <v>347</v>
      </c>
      <c r="U1" s="432" t="b">
        <f ca="1">IF(SUMPRODUCT(($AG$17:$AG$172="ext")*1,$AJ$17:$AJ$172)&lt;&gt;0,TRUE)</f>
        <v>0</v>
      </c>
      <c r="V1" s="434" t="s">
        <v>348</v>
      </c>
      <c r="W1" s="432" t="b">
        <f ca="1">IF(SUMPRODUCT(($AG$17:$AG$172="ratio")*1,$AJ$17:$AJ$172)&lt;&gt;0,TRUE)</f>
        <v>0</v>
      </c>
      <c r="AA1" s="320" t="s">
        <v>373</v>
      </c>
      <c r="AB1" s="320">
        <f>IF(E13="value",1,0)</f>
        <v>1</v>
      </c>
      <c r="AC1" t="s">
        <v>292</v>
      </c>
      <c r="AD1">
        <v>0</v>
      </c>
      <c r="AI1" s="95" t="s">
        <v>19</v>
      </c>
      <c r="AJ1" s="372" t="str">
        <f>Translate!$A$73</f>
        <v>Concrete / Slurry / Grout mix</v>
      </c>
      <c r="AK1" s="372" t="str">
        <f>Translate!$A$138</f>
        <v>Steel</v>
      </c>
      <c r="AL1" s="372" t="str">
        <f>Translate!$A$118</f>
        <v>Other</v>
      </c>
      <c r="AP1" s="284" t="str">
        <f>'Emission factors'!D342</f>
        <v>Energy</v>
      </c>
      <c r="AQ1" s="284" t="str">
        <f>'Emission factors'!E342</f>
        <v>Materials</v>
      </c>
      <c r="AR1" s="284" t="str">
        <f>'Emission factors'!F342</f>
        <v>Freight</v>
      </c>
      <c r="AS1" s="284" t="str">
        <f>'Emission factors'!G342</f>
        <v>Mob/demob</v>
      </c>
      <c r="AT1" s="284" t="str">
        <f>'Emission factors'!H342</f>
        <v>People's transportation</v>
      </c>
      <c r="AU1" s="284" t="str">
        <f>'Emission factors'!I342</f>
        <v>Assets</v>
      </c>
      <c r="AV1" s="284" t="str">
        <f>'Emission factors'!J342</f>
        <v>Waste</v>
      </c>
    </row>
    <row r="2" spans="1:57" hidden="1">
      <c r="A2" s="380"/>
      <c r="B2" s="380"/>
      <c r="C2" s="380"/>
      <c r="M2" t="s">
        <v>334</v>
      </c>
      <c r="P2" s="49">
        <f ca="1">SUMPRODUCT(($AH$17:$AH$177=2)*$AO$17:$AO$177)</f>
        <v>0</v>
      </c>
      <c r="Q2" s="49">
        <f ca="1">SUMPRODUCT(($AH$17:$AH$177=2)*1,$AL$17:$AL$177)</f>
        <v>0</v>
      </c>
      <c r="AA2" s="320" t="s">
        <v>374</v>
      </c>
      <c r="AB2" s="320">
        <f>IF(E14="value",1,0)</f>
        <v>1</v>
      </c>
      <c r="AI2" s="95" t="str">
        <f>"kg/"&amp;F105</f>
        <v>kg/m3</v>
      </c>
      <c r="AJ2" s="393">
        <f ca="1">SUMPRODUCT(($AK$17:$AK$172=AJ1)*1,$AJ$17:$AJ$172)/1000</f>
        <v>0</v>
      </c>
      <c r="AK2" s="393">
        <f ca="1">SUMPRODUCT(($AK$17:$AK$172=AK1)*1,$AJ$17:$AJ$172)/1000</f>
        <v>0</v>
      </c>
      <c r="AL2" s="393">
        <f ca="1">SUMPRODUCT(($AK$17:$AK$172=AL1)*1,$AJ$17:$AJ$172)/1000</f>
        <v>0</v>
      </c>
      <c r="AO2" s="381" t="s">
        <v>324</v>
      </c>
      <c r="AP2" s="285">
        <f>VLOOKUP($E$6,'Emission factors'!$C$343:$AY$370,'Emission factors'!Y$340,0)</f>
        <v>1</v>
      </c>
      <c r="AQ2" s="285">
        <f>VLOOKUP($E$6,'Emission factors'!$C$343:$AY$370,'Emission factors'!Z$340,0)</f>
        <v>2</v>
      </c>
      <c r="AR2" s="285">
        <f>VLOOKUP($E$6,'Emission factors'!$C$343:$AY$370,'Emission factors'!AA$340,0)</f>
        <v>2</v>
      </c>
      <c r="AS2" s="285">
        <f>VLOOKUP($E$6,'Emission factors'!$C$343:$AY$370,'Emission factors'!AB$340,0)</f>
        <v>1</v>
      </c>
      <c r="AT2" s="285">
        <f>VLOOKUP($E$6,'Emission factors'!$C$343:$AY$370,'Emission factors'!AC$340,0)</f>
        <v>1</v>
      </c>
      <c r="AU2" s="285">
        <f>VLOOKUP($E$6,'Emission factors'!$C$343:$AY$370,'Emission factors'!AD$340,0)</f>
        <v>1</v>
      </c>
      <c r="AV2" s="285">
        <f>VLOOKUP($E$6,'Emission factors'!$C$343:$AY$370,'Emission factors'!AE$340,0)</f>
        <v>2</v>
      </c>
      <c r="AY2" t="s">
        <v>279</v>
      </c>
    </row>
    <row r="3" spans="1:57" ht="15" customHeight="1">
      <c r="A3" s="338"/>
      <c r="B3" s="338"/>
      <c r="C3" s="338"/>
      <c r="D3" s="338"/>
      <c r="E3" s="338"/>
      <c r="F3" s="338"/>
      <c r="T3" s="772" t="str">
        <f>Translate!$A$123&amp;AQ9&amp;AP9&amp;AR9&amp;AS9&amp;AT9&amp;AU9&amp;AV9</f>
        <v xml:space="preserve">Primary emission sources : 
Energy, Mob/demob, People's transportation, Assets, </v>
      </c>
      <c r="U3" s="772"/>
      <c r="V3" s="772"/>
      <c r="W3" s="772"/>
      <c r="X3" s="772"/>
      <c r="Y3" s="772"/>
      <c r="Z3" s="772"/>
      <c r="AB3" t="str">
        <f>Translate!$A$131</f>
        <v>Comments :</v>
      </c>
      <c r="AO3" s="381" t="s">
        <v>269</v>
      </c>
      <c r="AP3" s="286">
        <f t="shared" ref="AP3:AV3" ca="1" si="0">IF(SUM($P$7:$P$13)=0,0,VLOOKUP(AP1,$H$7:$P$13,9,0)/SUM($P$7:$P$13))</f>
        <v>0</v>
      </c>
      <c r="AQ3" s="286">
        <f t="shared" ca="1" si="0"/>
        <v>0</v>
      </c>
      <c r="AR3" s="286">
        <f t="shared" ca="1" si="0"/>
        <v>0</v>
      </c>
      <c r="AS3" s="286">
        <f t="shared" ca="1" si="0"/>
        <v>0</v>
      </c>
      <c r="AT3" s="286">
        <f t="shared" ca="1" si="0"/>
        <v>0</v>
      </c>
      <c r="AU3" s="286">
        <f t="shared" ca="1" si="0"/>
        <v>0</v>
      </c>
      <c r="AV3" s="286">
        <f t="shared" ca="1" si="0"/>
        <v>0</v>
      </c>
      <c r="AX3" t="str">
        <f>IF(E9=0,AY3,"")</f>
        <v xml:space="preserve">Enter the number of working days
</v>
      </c>
      <c r="AY3" s="283" t="str">
        <f>Lists!H2</f>
        <v xml:space="preserve">Enter the number of working days
</v>
      </c>
    </row>
    <row r="4" spans="1:57" ht="30" customHeight="1">
      <c r="A4" s="338"/>
      <c r="B4" s="338"/>
      <c r="C4" s="338"/>
      <c r="D4" s="338"/>
      <c r="E4" s="338"/>
      <c r="F4" s="338"/>
      <c r="T4" s="772"/>
      <c r="U4" s="772"/>
      <c r="V4" s="772"/>
      <c r="W4" s="772"/>
      <c r="X4" s="772"/>
      <c r="Y4" s="772"/>
      <c r="Z4" s="772"/>
      <c r="AB4" s="773"/>
      <c r="AC4" s="774"/>
      <c r="AD4" s="774"/>
      <c r="AE4" s="774"/>
      <c r="AF4" s="775"/>
      <c r="AO4" s="381" t="s">
        <v>278</v>
      </c>
      <c r="AP4" s="286">
        <f>VLOOKUP($E$6,'Emission factors'!$C$343:$Y$370,'Emission factors'!D$340,0)</f>
        <v>0.72613160137232247</v>
      </c>
      <c r="AQ4" s="286">
        <f>VLOOKUP($E$6,'Emission factors'!$C$343:$Y$370,'Emission factors'!E$340,0)</f>
        <v>0</v>
      </c>
      <c r="AR4" s="286">
        <f>VLOOKUP($E$6,'Emission factors'!$C$343:$Y$370,'Emission factors'!F$340,0)</f>
        <v>0</v>
      </c>
      <c r="AS4" s="286">
        <f>VLOOKUP($E$6,'Emission factors'!$C$343:$Y$370,'Emission factors'!G$340,0)</f>
        <v>0.11025726608594562</v>
      </c>
      <c r="AT4" s="286">
        <f>VLOOKUP($E$6,'Emission factors'!$C$343:$Y$370,'Emission factors'!H$340,0)</f>
        <v>6.4582840734115797E-3</v>
      </c>
      <c r="AU4" s="286">
        <f>VLOOKUP($E$6,'Emission factors'!$C$343:$Y$370,'Emission factors'!I$340,0)</f>
        <v>0.1636111059500443</v>
      </c>
      <c r="AV4" s="286">
        <f>VLOOKUP($E$6,'Emission factors'!$C$343:$Y$370,'Emission factors'!J$340,0)</f>
        <v>2.6591687681000226E-8</v>
      </c>
      <c r="AX4" t="str">
        <f>IF(E10=0,AY4,"")</f>
        <v xml:space="preserve">Enter the average number of people working on the project
</v>
      </c>
      <c r="AY4" s="283" t="str">
        <f>Lists!H3</f>
        <v xml:space="preserve">Enter the average number of people working on the project
</v>
      </c>
    </row>
    <row r="5" spans="1:57" ht="20.25">
      <c r="A5" s="338"/>
      <c r="B5" s="338"/>
      <c r="C5" s="338"/>
      <c r="D5" s="215" t="str">
        <f>Translate!$A$64</f>
        <v>Subproject name</v>
      </c>
      <c r="E5" s="492"/>
      <c r="F5" s="338"/>
      <c r="T5" t="str">
        <f ca="1">IF(NOT(AW10),Translate!$A$124,"")</f>
        <v>Please enter activities data relative to the primary emission sources</v>
      </c>
      <c r="AB5" s="776"/>
      <c r="AC5" s="777"/>
      <c r="AD5" s="777"/>
      <c r="AE5" s="777"/>
      <c r="AF5" s="778"/>
      <c r="AO5" s="381" t="s">
        <v>280</v>
      </c>
      <c r="AP5" s="2">
        <f t="shared" ref="AP5:AV5" si="1">IF(AP2=1,0,IF(SUMPRODUCT($AO$17:$AO$183*($AI$17:$AI$183=AP1))&gt;0,0,1))</f>
        <v>0</v>
      </c>
      <c r="AQ5" s="2">
        <f t="shared" ca="1" si="1"/>
        <v>1</v>
      </c>
      <c r="AR5" s="2">
        <f t="shared" ca="1" si="1"/>
        <v>1</v>
      </c>
      <c r="AS5" s="2">
        <f t="shared" si="1"/>
        <v>0</v>
      </c>
      <c r="AT5" s="2">
        <f t="shared" si="1"/>
        <v>0</v>
      </c>
      <c r="AU5" s="2">
        <f t="shared" si="1"/>
        <v>0</v>
      </c>
      <c r="AV5" s="2">
        <f t="shared" ca="1" si="1"/>
        <v>1</v>
      </c>
      <c r="AX5" t="str">
        <f>IF(Translate!$A$300=E12,AY5,"")</f>
        <v xml:space="preserve">Select a country
</v>
      </c>
      <c r="AY5" s="283" t="str">
        <f>Lists!H4</f>
        <v xml:space="preserve">Select a country
</v>
      </c>
      <c r="BA5" t="str">
        <f>Translate!$A$132</f>
        <v>Primary emission sources</v>
      </c>
      <c r="BB5" s="49">
        <f ca="1">P1/1000</f>
        <v>0</v>
      </c>
      <c r="BC5" s="49">
        <f ca="1">P2/1000</f>
        <v>0</v>
      </c>
      <c r="BD5" s="49">
        <f ca="1">Q1/1000</f>
        <v>0</v>
      </c>
    </row>
    <row r="6" spans="1:57" ht="17.100000000000001" customHeight="1">
      <c r="A6" s="338"/>
      <c r="B6" s="782" t="str">
        <f>Translate!$A$63</f>
        <v>duplication +</v>
      </c>
      <c r="C6" s="338"/>
      <c r="D6" s="216" t="str">
        <f>Translate!$A$48</f>
        <v>Technique</v>
      </c>
      <c r="E6" s="616" t="str">
        <f>Translate!$A$289</f>
        <v>Dynamic compaction</v>
      </c>
      <c r="F6" s="338"/>
      <c r="H6" s="88" t="str">
        <f>Translate!$A$103</f>
        <v>Sources</v>
      </c>
      <c r="L6" s="92"/>
      <c r="M6" s="89"/>
      <c r="N6" s="89"/>
      <c r="O6" s="89"/>
      <c r="P6" s="90" t="str">
        <f>Translate!$A$115</f>
        <v>tCO2e</v>
      </c>
      <c r="Q6" t="str">
        <f>Translate!$A$115</f>
        <v>tCO2e</v>
      </c>
      <c r="R6" s="133"/>
      <c r="S6" s="133"/>
      <c r="T6" s="783" t="str">
        <f ca="1">IF(P14&gt;0,AX3&amp;AX4&amp;AX5&amp;AQ8&amp;AP8&amp;AR8&amp;AS8&amp;AT8&amp;AU8&amp;AV8,"")</f>
        <v/>
      </c>
      <c r="U6" s="783"/>
      <c r="V6" s="783"/>
      <c r="W6" s="783"/>
      <c r="X6" s="783"/>
      <c r="Y6" s="783"/>
      <c r="Z6" s="783"/>
      <c r="AB6" s="776"/>
      <c r="AC6" s="777"/>
      <c r="AD6" s="777"/>
      <c r="AE6" s="777"/>
      <c r="AF6" s="778"/>
      <c r="AO6" s="381" t="s">
        <v>267</v>
      </c>
      <c r="AP6" s="286">
        <f>VLOOKUP($E$6,'Emission factors'!$C$343:$Y$370,'Emission factors'!K$340,0)</f>
        <v>1</v>
      </c>
      <c r="AQ6" s="286">
        <f>VLOOKUP($E$6,'Emission factors'!$C$343:$Y$370,'Emission factors'!L$340,0)</f>
        <v>0.8</v>
      </c>
      <c r="AR6" s="286">
        <f>VLOOKUP($E$6,'Emission factors'!$C$343:$Y$370,'Emission factors'!M$340,0)</f>
        <v>0.1</v>
      </c>
      <c r="AS6" s="286">
        <f>VLOOKUP($E$6,'Emission factors'!$C$343:$Y$370,'Emission factors'!N$340,0)</f>
        <v>0.3</v>
      </c>
      <c r="AT6" s="286">
        <f>VLOOKUP($E$6,'Emission factors'!$C$343:$Y$370,'Emission factors'!O$340,0)</f>
        <v>0.2</v>
      </c>
      <c r="AU6" s="286">
        <f>VLOOKUP($E$6,'Emission factors'!$C$343:$Y$370,'Emission factors'!P$340,0)</f>
        <v>0.5</v>
      </c>
      <c r="AV6" s="286">
        <f>VLOOKUP($E$6,'Emission factors'!$C$343:$Y$370,'Emission factors'!Q$340,0)</f>
        <v>0.1</v>
      </c>
      <c r="AY6" s="283" t="str">
        <f>Lists!H5</f>
        <v xml:space="preserve"> emissions are relatively high
</v>
      </c>
      <c r="BA6" t="str">
        <f>Translate!$A$133</f>
        <v>Secondary emission sources</v>
      </c>
      <c r="BB6" s="49">
        <f ca="1">BB5</f>
        <v>0</v>
      </c>
      <c r="BC6" s="49">
        <f ca="1">BC5</f>
        <v>0</v>
      </c>
      <c r="BD6" s="49">
        <f ca="1">Q2/1000</f>
        <v>0</v>
      </c>
    </row>
    <row r="7" spans="1:57">
      <c r="A7" s="338"/>
      <c r="B7" s="782"/>
      <c r="C7" s="338"/>
      <c r="D7" s="217" t="str">
        <f>Translate!$A$65</f>
        <v>Date of calculation</v>
      </c>
      <c r="E7" s="466"/>
      <c r="F7" s="338"/>
      <c r="H7" s="91" t="str">
        <f>Translate!$A$104</f>
        <v>Materials</v>
      </c>
      <c r="L7" s="388">
        <f ca="1">AJ2</f>
        <v>0</v>
      </c>
      <c r="M7" s="388">
        <f ca="1">AK2</f>
        <v>0</v>
      </c>
      <c r="N7" s="388">
        <f ca="1">AL2</f>
        <v>0</v>
      </c>
      <c r="O7" s="388">
        <f>AL3</f>
        <v>0</v>
      </c>
      <c r="P7" s="93">
        <f t="shared" ref="P7:P13" ca="1" si="2">SUMPRODUCT(($AI$17:$AI$172=$H7)*1,$AJ$17:$AJ$172)/1000</f>
        <v>0</v>
      </c>
      <c r="Q7" s="49">
        <f t="shared" ref="Q7:Q13" ca="1" si="3">SUMPRODUCT(($AI$17:$AI$172=$H7)*1,$AL$17:$AL$172)/1000</f>
        <v>0</v>
      </c>
      <c r="R7" s="133"/>
      <c r="S7" s="133"/>
      <c r="T7" s="783"/>
      <c r="U7" s="783"/>
      <c r="V7" s="783"/>
      <c r="W7" s="783"/>
      <c r="X7" s="783"/>
      <c r="Y7" s="783"/>
      <c r="Z7" s="783"/>
      <c r="AB7" s="776"/>
      <c r="AC7" s="777"/>
      <c r="AD7" s="777"/>
      <c r="AE7" s="777"/>
      <c r="AF7" s="778"/>
      <c r="AO7" s="381" t="s">
        <v>268</v>
      </c>
      <c r="AP7" s="286">
        <f>VLOOKUP($E$6,'Emission factors'!$C$343:$Y$370,'Emission factors'!R$340,0)</f>
        <v>0.1</v>
      </c>
      <c r="AQ7" s="286">
        <f>VLOOKUP($E$6,'Emission factors'!$C$343:$Y$370,'Emission factors'!S$340,0)</f>
        <v>0</v>
      </c>
      <c r="AR7" s="286">
        <f>VLOOKUP($E$6,'Emission factors'!$C$343:$Y$370,'Emission factors'!T$340,0)</f>
        <v>1E-3</v>
      </c>
      <c r="AS7" s="287">
        <f>VLOOKUP($E$6,'Emission factors'!$C$343:$Y$370,'Emission factors'!U$340,0)</f>
        <v>0.01</v>
      </c>
      <c r="AT7" s="286">
        <f>VLOOKUP($E$6,'Emission factors'!$C$343:$Y$370,'Emission factors'!V$340,0)</f>
        <v>0</v>
      </c>
      <c r="AU7" s="286">
        <f>VLOOKUP($E$6,'Emission factors'!$C$343:$Y$370,'Emission factors'!W$340,0)</f>
        <v>0.01</v>
      </c>
      <c r="AV7" s="286">
        <f>VLOOKUP($E$6,'Emission factors'!$C$343:$Y$370,'Emission factors'!X$340,0)</f>
        <v>0</v>
      </c>
      <c r="AY7" s="283" t="str">
        <f>Lists!H6</f>
        <v xml:space="preserve"> emissions are relatively low
</v>
      </c>
      <c r="BA7" t="str">
        <f>Translate!$A$134</f>
        <v>Total</v>
      </c>
      <c r="BB7" s="49">
        <f ca="1">BB6</f>
        <v>0</v>
      </c>
      <c r="BC7" s="49">
        <f ca="1">BC6</f>
        <v>0</v>
      </c>
      <c r="BD7" s="49">
        <f ca="1">BD5+BD6</f>
        <v>0</v>
      </c>
      <c r="BE7" s="458">
        <f ca="1">IF(P7=0,0,ROUND(P7,-ROUNDDOWN(LOG(ABS(P7)),0)+1))</f>
        <v>0</v>
      </c>
    </row>
    <row r="8" spans="1:57">
      <c r="A8" s="338"/>
      <c r="B8" s="782"/>
      <c r="C8" s="338"/>
      <c r="D8" s="217" t="str">
        <f>Translate!$A$66</f>
        <v>Author</v>
      </c>
      <c r="E8" s="466"/>
      <c r="F8" s="338"/>
      <c r="H8" s="91" t="str">
        <f>Translate!$A$105</f>
        <v>Energy</v>
      </c>
      <c r="L8" s="389"/>
      <c r="M8" s="389"/>
      <c r="N8" s="389"/>
      <c r="O8" s="388">
        <f t="shared" ref="O8:O13" ca="1" si="4">P8</f>
        <v>0</v>
      </c>
      <c r="P8" s="93">
        <f t="shared" ca="1" si="2"/>
        <v>0</v>
      </c>
      <c r="Q8" s="49">
        <f t="shared" ca="1" si="3"/>
        <v>0</v>
      </c>
      <c r="R8" s="133"/>
      <c r="S8" s="133"/>
      <c r="T8" s="783"/>
      <c r="U8" s="783"/>
      <c r="V8" s="783"/>
      <c r="W8" s="783"/>
      <c r="X8" s="783"/>
      <c r="Y8" s="783"/>
      <c r="Z8" s="783"/>
      <c r="AB8" s="776"/>
      <c r="AC8" s="777"/>
      <c r="AD8" s="777"/>
      <c r="AE8" s="777"/>
      <c r="AF8" s="778"/>
      <c r="AO8" s="283"/>
      <c r="AP8" s="283" t="str">
        <f t="shared" ref="AP8:AU8" ca="1" si="5">IF(AP7&gt;AP3,AP1&amp;$AY$7,IF(AP6&lt;AP3,AP1&amp;$AY$6,""))</f>
        <v xml:space="preserve">Energy emissions are relatively low
</v>
      </c>
      <c r="AQ8" s="283" t="str">
        <f t="shared" ca="1" si="5"/>
        <v/>
      </c>
      <c r="AR8" s="283" t="str">
        <f t="shared" ca="1" si="5"/>
        <v xml:space="preserve">Freight emissions are relatively low
</v>
      </c>
      <c r="AS8" s="283" t="str">
        <f t="shared" ca="1" si="5"/>
        <v xml:space="preserve">Mob/demob emissions are relatively low
</v>
      </c>
      <c r="AT8" s="283" t="str">
        <f t="shared" ca="1" si="5"/>
        <v/>
      </c>
      <c r="AU8" s="283" t="str">
        <f t="shared" ca="1" si="5"/>
        <v xml:space="preserve">Assets emissions are relatively low
</v>
      </c>
      <c r="AV8" s="283" t="str">
        <f ca="1">IF(AV7&gt;AV3,AV1&amp;$AY$7,IF(AV6&lt;AV3,AV1&amp;$AY$6,""))</f>
        <v/>
      </c>
      <c r="AW8" s="283"/>
      <c r="AY8" s="283" t="str">
        <f>Lists!H7</f>
        <v xml:space="preserve">    (Primary source)</v>
      </c>
      <c r="BE8" s="458">
        <f t="shared" ref="BE8:BE13" ca="1" si="6">IF(P8=0,0,ROUND(P8,-ROUNDDOWN(LOG(ABS(P8)),0)+1))</f>
        <v>0</v>
      </c>
    </row>
    <row r="9" spans="1:57">
      <c r="A9" s="338"/>
      <c r="B9" s="782"/>
      <c r="C9" s="338"/>
      <c r="D9" s="217" t="str">
        <f>Translate!$A$67</f>
        <v>Working days</v>
      </c>
      <c r="E9" s="515"/>
      <c r="F9" s="217" t="str">
        <f>Translate!$A$67</f>
        <v>Working days</v>
      </c>
      <c r="H9" s="91" t="str">
        <f>Translate!$A$106</f>
        <v>Freight</v>
      </c>
      <c r="L9" s="389"/>
      <c r="M9" s="389"/>
      <c r="N9" s="389"/>
      <c r="O9" s="388">
        <f t="shared" ca="1" si="4"/>
        <v>0</v>
      </c>
      <c r="P9" s="93">
        <f t="shared" ca="1" si="2"/>
        <v>0</v>
      </c>
      <c r="Q9" s="49">
        <f t="shared" ca="1" si="3"/>
        <v>0</v>
      </c>
      <c r="R9" s="133"/>
      <c r="S9" s="133"/>
      <c r="T9" s="783"/>
      <c r="U9" s="783"/>
      <c r="V9" s="783"/>
      <c r="W9" s="783"/>
      <c r="X9" s="783"/>
      <c r="Y9" s="783"/>
      <c r="Z9" s="783"/>
      <c r="AB9" s="776"/>
      <c r="AC9" s="777"/>
      <c r="AD9" s="777"/>
      <c r="AE9" s="777"/>
      <c r="AF9" s="778"/>
      <c r="AO9" s="283"/>
      <c r="AP9" s="283" t="str">
        <f t="shared" ref="AP9:AV9" si="7">IF(AP2=1,AP1&amp;", ","")</f>
        <v xml:space="preserve">Energy, </v>
      </c>
      <c r="AQ9" s="283" t="str">
        <f t="shared" si="7"/>
        <v/>
      </c>
      <c r="AR9" s="283" t="str">
        <f t="shared" si="7"/>
        <v/>
      </c>
      <c r="AS9" s="283" t="str">
        <f t="shared" si="7"/>
        <v xml:space="preserve">Mob/demob, </v>
      </c>
      <c r="AT9" s="283" t="str">
        <f t="shared" si="7"/>
        <v xml:space="preserve">People's transportation, </v>
      </c>
      <c r="AU9" s="283" t="str">
        <f t="shared" si="7"/>
        <v xml:space="preserve">Assets, </v>
      </c>
      <c r="AV9" s="283" t="str">
        <f t="shared" si="7"/>
        <v/>
      </c>
      <c r="AY9" s="283" t="str">
        <f>Lists!H8</f>
        <v xml:space="preserve">    (Secondary source)</v>
      </c>
      <c r="BE9" s="458">
        <f t="shared" ca="1" si="6"/>
        <v>0</v>
      </c>
    </row>
    <row r="10" spans="1:57">
      <c r="A10" s="338"/>
      <c r="B10" s="782"/>
      <c r="C10" s="338"/>
      <c r="D10" s="217" t="str">
        <f>Translate!$A$68</f>
        <v>Workforce</v>
      </c>
      <c r="E10" s="515"/>
      <c r="F10" s="431" t="str">
        <f>Translate!$A$94</f>
        <v>Full-time equivalent</v>
      </c>
      <c r="H10" s="91" t="str">
        <f>Translate!$A$107</f>
        <v>Mob/demob</v>
      </c>
      <c r="L10" s="389"/>
      <c r="M10" s="389"/>
      <c r="N10" s="389"/>
      <c r="O10" s="388">
        <f t="shared" ca="1" si="4"/>
        <v>0</v>
      </c>
      <c r="P10" s="93">
        <f t="shared" ca="1" si="2"/>
        <v>0</v>
      </c>
      <c r="Q10" s="49">
        <f t="shared" ca="1" si="3"/>
        <v>0</v>
      </c>
      <c r="R10" s="133"/>
      <c r="S10" s="133"/>
      <c r="T10" s="783"/>
      <c r="U10" s="783"/>
      <c r="V10" s="783"/>
      <c r="W10" s="783"/>
      <c r="X10" s="783"/>
      <c r="Y10" s="783"/>
      <c r="Z10" s="783"/>
      <c r="AB10" s="779"/>
      <c r="AC10" s="780"/>
      <c r="AD10" s="780"/>
      <c r="AE10" s="780"/>
      <c r="AF10" s="781"/>
      <c r="AO10" s="356" t="s">
        <v>308</v>
      </c>
      <c r="AP10" s="283" t="b">
        <f ca="1">IF((AP2=1),NOT(AP3=0),TRUE)</f>
        <v>0</v>
      </c>
      <c r="AQ10" s="283" t="b">
        <f t="shared" ref="AQ10:AV10" si="8">IF((AQ2=1),NOT(AQ3=0),TRUE)</f>
        <v>1</v>
      </c>
      <c r="AR10" s="283" t="b">
        <f t="shared" si="8"/>
        <v>1</v>
      </c>
      <c r="AS10" s="283" t="b">
        <f t="shared" ca="1" si="8"/>
        <v>0</v>
      </c>
      <c r="AT10" s="283" t="b">
        <f t="shared" ca="1" si="8"/>
        <v>0</v>
      </c>
      <c r="AU10" s="283" t="b">
        <f t="shared" ca="1" si="8"/>
        <v>0</v>
      </c>
      <c r="AV10" s="283" t="b">
        <f t="shared" si="8"/>
        <v>1</v>
      </c>
      <c r="AW10" s="283" t="b">
        <f ca="1">AND(AP10:AV10)</f>
        <v>0</v>
      </c>
      <c r="BE10" s="458">
        <f t="shared" ca="1" si="6"/>
        <v>0</v>
      </c>
    </row>
    <row r="11" spans="1:57" ht="15.75" thickBot="1">
      <c r="A11" s="338"/>
      <c r="B11" s="133"/>
      <c r="C11" s="338"/>
      <c r="D11" s="217" t="str">
        <f>Translate!$A$69</f>
        <v>Project value</v>
      </c>
      <c r="E11" s="515"/>
      <c r="F11" s="340" t="str">
        <f>Translate!$A$95</f>
        <v>€</v>
      </c>
      <c r="H11" s="91" t="str">
        <f>Translate!$A$108</f>
        <v>People's transportation</v>
      </c>
      <c r="L11" s="389"/>
      <c r="M11" s="389"/>
      <c r="N11" s="389"/>
      <c r="O11" s="388">
        <f t="shared" ca="1" si="4"/>
        <v>0</v>
      </c>
      <c r="P11" s="93">
        <f t="shared" ca="1" si="2"/>
        <v>0</v>
      </c>
      <c r="Q11" s="49">
        <f t="shared" ca="1" si="3"/>
        <v>0</v>
      </c>
      <c r="AO11" s="283"/>
      <c r="AP11" s="283" t="str">
        <f>IF(AP2=1,AP1&amp;$AY$8,AP1&amp;$AY$9)</f>
        <v>Energy    (Primary source)</v>
      </c>
      <c r="AQ11" s="283" t="str">
        <f t="shared" ref="AQ11:AV11" si="9">IF(AQ2=1,AQ1&amp;$AY$8,AQ1&amp;$AY$9)</f>
        <v>Materials    (Secondary source)</v>
      </c>
      <c r="AR11" s="283" t="str">
        <f t="shared" si="9"/>
        <v>Freight    (Secondary source)</v>
      </c>
      <c r="AS11" s="283" t="str">
        <f t="shared" si="9"/>
        <v>Mob/demob    (Primary source)</v>
      </c>
      <c r="AT11" s="283" t="str">
        <f t="shared" si="9"/>
        <v>People's transportation    (Primary source)</v>
      </c>
      <c r="AU11" s="283" t="str">
        <f t="shared" si="9"/>
        <v>Assets    (Primary source)</v>
      </c>
      <c r="AV11" s="283" t="str">
        <f t="shared" si="9"/>
        <v>Waste    (Secondary source)</v>
      </c>
      <c r="BE11" s="458">
        <f t="shared" ca="1" si="6"/>
        <v>0</v>
      </c>
    </row>
    <row r="12" spans="1:57" ht="21.75" customHeight="1" thickBot="1">
      <c r="A12" s="338"/>
      <c r="B12" s="133"/>
      <c r="C12" s="338"/>
      <c r="D12" s="217" t="str">
        <f>Translate!$A$70</f>
        <v>Country</v>
      </c>
      <c r="E12" s="493" t="str">
        <f>Translate!$A$300</f>
        <v>-Select the project country</v>
      </c>
      <c r="F12" s="338"/>
      <c r="H12" s="91" t="str">
        <f>Translate!$A$109</f>
        <v>Assets</v>
      </c>
      <c r="L12" s="389"/>
      <c r="M12" s="389"/>
      <c r="N12" s="389"/>
      <c r="O12" s="388">
        <f t="shared" ca="1" si="4"/>
        <v>0</v>
      </c>
      <c r="P12" s="93">
        <f t="shared" ca="1" si="2"/>
        <v>0</v>
      </c>
      <c r="Q12" s="49">
        <f t="shared" ca="1" si="3"/>
        <v>0</v>
      </c>
      <c r="T12" s="485" t="str">
        <f>Translate!$A$125</f>
        <v>TOTAL GHG EMISSIONS</v>
      </c>
      <c r="U12" s="486"/>
      <c r="V12" s="784">
        <f ca="1">IF(P14=0,0,ROUND(P14,-ROUNDDOWN(LOG(ABS(P14)),0)+1))</f>
        <v>0</v>
      </c>
      <c r="W12" s="784"/>
      <c r="X12" s="784"/>
      <c r="Y12" s="487" t="str">
        <f>Translate!$A$115</f>
        <v>tCO2e</v>
      </c>
      <c r="BE12" s="458">
        <f t="shared" ca="1" si="6"/>
        <v>0</v>
      </c>
    </row>
    <row r="13" spans="1:57">
      <c r="A13" s="338"/>
      <c r="B13" s="133"/>
      <c r="C13" s="338"/>
      <c r="D13" s="466" t="str">
        <f>Translate!$A$71</f>
        <v>Functional unit 1</v>
      </c>
      <c r="E13" s="515" t="str">
        <f>Translate!$A$87</f>
        <v>value</v>
      </c>
      <c r="F13" s="466" t="str">
        <f>Translate!$A$96</f>
        <v>unit</v>
      </c>
      <c r="H13" s="91" t="str">
        <f>Translate!$A$110</f>
        <v>Waste</v>
      </c>
      <c r="L13" s="389"/>
      <c r="M13" s="389"/>
      <c r="N13" s="389"/>
      <c r="O13" s="388">
        <f t="shared" ca="1" si="4"/>
        <v>0</v>
      </c>
      <c r="P13" s="93">
        <f t="shared" ca="1" si="2"/>
        <v>0</v>
      </c>
      <c r="Q13" s="49">
        <f t="shared" ca="1" si="3"/>
        <v>0</v>
      </c>
      <c r="BE13" s="458">
        <f t="shared" ca="1" si="6"/>
        <v>0</v>
      </c>
    </row>
    <row r="14" spans="1:57">
      <c r="A14" s="338"/>
      <c r="B14" s="133"/>
      <c r="C14" s="338"/>
      <c r="D14" s="466" t="str">
        <f>Translate!$A$72</f>
        <v>Functional unit 2</v>
      </c>
      <c r="E14" s="515" t="str">
        <f>Translate!$A$87</f>
        <v>value</v>
      </c>
      <c r="F14" s="466" t="str">
        <f>Translate!$A$96</f>
        <v>unit</v>
      </c>
      <c r="P14" s="49">
        <f ca="1">SUM(P7:P13)</f>
        <v>0</v>
      </c>
      <c r="S14" s="49"/>
    </row>
    <row r="15" spans="1:57" ht="12" customHeight="1">
      <c r="A15" s="338"/>
      <c r="B15" s="133"/>
      <c r="C15" s="338"/>
      <c r="D15" s="338"/>
      <c r="E15" s="338"/>
      <c r="F15" s="338"/>
    </row>
    <row r="16" spans="1:57" ht="25.5" hidden="1">
      <c r="I16" s="282" t="s">
        <v>64</v>
      </c>
      <c r="J16" s="282"/>
      <c r="K16" s="282" t="s">
        <v>16</v>
      </c>
      <c r="L16" s="282" t="s">
        <v>65</v>
      </c>
    </row>
    <row r="17" spans="1:41" ht="20.25">
      <c r="A17" s="12"/>
      <c r="B17" s="12"/>
      <c r="C17" s="12"/>
      <c r="D17" s="13" t="str">
        <f>AP11</f>
        <v>Energy    (Primary source)</v>
      </c>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row>
    <row r="18" spans="1:41">
      <c r="A18" s="12"/>
    </row>
    <row r="19" spans="1:41" ht="6" customHeight="1">
      <c r="A19" s="12"/>
      <c r="C19" s="52"/>
      <c r="D19" s="53"/>
      <c r="E19" s="54"/>
      <c r="F19" s="54"/>
      <c r="G19" s="54"/>
      <c r="H19" s="54"/>
      <c r="I19" s="54"/>
      <c r="J19" s="54"/>
      <c r="K19" s="54"/>
      <c r="L19" s="54"/>
      <c r="M19" s="54"/>
      <c r="N19" s="54"/>
      <c r="O19" s="54"/>
      <c r="P19" s="54"/>
      <c r="Q19" s="54"/>
      <c r="R19" s="54"/>
      <c r="S19" s="54"/>
      <c r="T19" s="54"/>
      <c r="U19" s="54"/>
      <c r="V19" s="54"/>
      <c r="W19" s="54"/>
      <c r="X19" s="54"/>
      <c r="Y19" s="54"/>
      <c r="Z19" s="54"/>
      <c r="AA19" s="54"/>
      <c r="AB19" s="54"/>
      <c r="AC19" s="54"/>
      <c r="AD19" s="54"/>
      <c r="AE19" s="55"/>
    </row>
    <row r="20" spans="1:41" ht="15.75">
      <c r="A20" s="12"/>
      <c r="C20" s="56"/>
      <c r="D20" s="14" t="str">
        <f>Translate!$A$80</f>
        <v>Simplified ratio</v>
      </c>
      <c r="E20" s="488" t="str">
        <f>IF(AND(AP5,F20=Translate!$A$91),AP4,Translate!$A$92)</f>
        <v>OFF</v>
      </c>
      <c r="F20" s="542" t="str">
        <f>Translate!$A$91</f>
        <v>Default</v>
      </c>
      <c r="G20" s="57"/>
      <c r="H20" s="57"/>
      <c r="I20" s="57"/>
      <c r="J20" s="57"/>
      <c r="K20" s="248">
        <f ca="1">$P$1</f>
        <v>0</v>
      </c>
      <c r="L20" s="40">
        <f>IF(E20=Translate!$A$92,0,E20*K20)</f>
        <v>0</v>
      </c>
      <c r="M20" s="41" t="str">
        <f>Translate!$A$102</f>
        <v>kgCO2e</v>
      </c>
      <c r="N20" s="57"/>
      <c r="O20" s="57"/>
      <c r="P20" s="57"/>
      <c r="Q20" s="57"/>
      <c r="R20" s="57"/>
      <c r="S20" s="57"/>
      <c r="T20" s="57"/>
      <c r="U20" s="57"/>
      <c r="V20" s="57"/>
      <c r="W20" s="57"/>
      <c r="X20" s="57"/>
      <c r="Y20" s="57"/>
      <c r="Z20" s="57"/>
      <c r="AA20" s="57"/>
      <c r="AB20" s="57"/>
      <c r="AC20" s="57"/>
      <c r="AD20" s="57"/>
      <c r="AE20" s="58"/>
      <c r="AG20" t="s">
        <v>70</v>
      </c>
      <c r="AH20">
        <v>2</v>
      </c>
      <c r="AI20" t="str">
        <f>Translate!$A$105</f>
        <v>Energy</v>
      </c>
      <c r="AJ20" s="49">
        <f>L20</f>
        <v>0</v>
      </c>
      <c r="AL20" s="379">
        <f>100%*L20</f>
        <v>0</v>
      </c>
      <c r="AN20">
        <f>ROW(F21)-ROW(F19)</f>
        <v>2</v>
      </c>
      <c r="AO20" s="49"/>
    </row>
    <row r="21" spans="1:41" ht="5.0999999999999996" customHeight="1">
      <c r="A21" s="12"/>
      <c r="C21" s="59"/>
      <c r="D21" s="60"/>
      <c r="E21" s="61"/>
      <c r="F21" s="61"/>
      <c r="G21" s="61"/>
      <c r="H21" s="61"/>
      <c r="I21" s="61"/>
      <c r="J21" s="61"/>
      <c r="K21" s="61"/>
      <c r="L21" s="61"/>
      <c r="M21" s="61"/>
      <c r="N21" s="61"/>
      <c r="O21" s="61"/>
      <c r="P21" s="61"/>
      <c r="Q21" s="61"/>
      <c r="R21" s="61"/>
      <c r="S21" s="61"/>
      <c r="T21" s="61"/>
      <c r="U21" s="61"/>
      <c r="V21" s="61"/>
      <c r="W21" s="61"/>
      <c r="X21" s="61"/>
      <c r="Y21" s="61"/>
      <c r="Z21" s="61"/>
      <c r="AA21" s="61"/>
      <c r="AB21" s="61"/>
      <c r="AC21" s="61"/>
      <c r="AD21" s="61"/>
      <c r="AE21" s="62"/>
    </row>
    <row r="22" spans="1:41" ht="9.75" customHeight="1">
      <c r="A22" s="12"/>
    </row>
    <row r="23" spans="1:41" ht="6" customHeight="1">
      <c r="A23" s="12"/>
      <c r="C23" s="52"/>
      <c r="D23" s="53"/>
      <c r="E23" s="54"/>
      <c r="F23" s="54"/>
      <c r="G23" s="54"/>
      <c r="H23" s="54"/>
      <c r="I23" s="54"/>
      <c r="J23" s="54"/>
      <c r="K23" s="54"/>
      <c r="L23" s="54"/>
      <c r="M23" s="54"/>
      <c r="N23" s="54"/>
      <c r="O23" s="54"/>
      <c r="P23" s="54"/>
      <c r="Q23" s="54"/>
      <c r="R23" s="54"/>
      <c r="S23" s="54"/>
      <c r="T23" s="54"/>
      <c r="U23" s="54"/>
      <c r="V23" s="54"/>
      <c r="W23" s="54"/>
      <c r="X23" s="54"/>
      <c r="Y23" s="54"/>
      <c r="Z23" s="54"/>
      <c r="AA23" s="54"/>
      <c r="AB23" s="54"/>
      <c r="AC23" s="54"/>
      <c r="AD23" s="54"/>
      <c r="AE23" s="55"/>
    </row>
    <row r="24" spans="1:41" ht="15.75">
      <c r="A24" s="12"/>
      <c r="B24" s="551" t="s">
        <v>316</v>
      </c>
      <c r="C24" s="56"/>
      <c r="D24" s="468" t="str">
        <f>Translate!$A$200</f>
        <v>Diesel</v>
      </c>
      <c r="E24" s="465"/>
      <c r="F24" s="247" t="str">
        <f>VLOOKUP(D24,EFtable,2,0)</f>
        <v>liter</v>
      </c>
      <c r="G24" s="57"/>
      <c r="H24" s="57"/>
      <c r="I24" s="57"/>
      <c r="J24" s="57"/>
      <c r="K24" s="248">
        <f>VLOOKUP(D24,EFtable,3,0)</f>
        <v>3.2112000000000003</v>
      </c>
      <c r="L24" s="40">
        <f>E24*K24</f>
        <v>0</v>
      </c>
      <c r="M24" s="41" t="str">
        <f>Translate!$A$102</f>
        <v>kgCO2e</v>
      </c>
      <c r="N24" s="57"/>
      <c r="O24" s="57"/>
      <c r="P24" s="57"/>
      <c r="Q24" s="57"/>
      <c r="R24" s="57"/>
      <c r="S24" s="57"/>
      <c r="T24" s="57"/>
      <c r="U24" s="57"/>
      <c r="V24" s="57"/>
      <c r="W24" s="57"/>
      <c r="X24" s="57"/>
      <c r="Y24" s="57"/>
      <c r="Z24" s="57"/>
      <c r="AA24" s="57"/>
      <c r="AB24" s="57"/>
      <c r="AC24" s="57"/>
      <c r="AD24" s="57"/>
      <c r="AE24" s="58"/>
      <c r="AH24">
        <f>HLOOKUP(AI24,$AP$1:$AV$2,2,0)</f>
        <v>1</v>
      </c>
      <c r="AI24" t="str">
        <f>Translate!$A$105</f>
        <v>Energy</v>
      </c>
      <c r="AJ24" s="49">
        <f>L24</f>
        <v>0</v>
      </c>
      <c r="AL24" s="379">
        <f>VLOOKUP(D24,EFtable,8,0)*L24</f>
        <v>0</v>
      </c>
      <c r="AN24">
        <f>ROW(F25)-ROW(F23)</f>
        <v>2</v>
      </c>
      <c r="AO24" s="49">
        <f>AJ24</f>
        <v>0</v>
      </c>
    </row>
    <row r="25" spans="1:41" ht="5.0999999999999996" customHeight="1">
      <c r="A25" s="12"/>
      <c r="C25" s="59"/>
      <c r="D25" s="60"/>
      <c r="E25" s="61"/>
      <c r="F25" s="61"/>
      <c r="G25" s="61"/>
      <c r="H25" s="61"/>
      <c r="I25" s="61"/>
      <c r="J25" s="61"/>
      <c r="K25" s="61"/>
      <c r="L25" s="61"/>
      <c r="M25" s="61"/>
      <c r="N25" s="61"/>
      <c r="O25" s="61"/>
      <c r="P25" s="61"/>
      <c r="Q25" s="61"/>
      <c r="R25" s="61"/>
      <c r="S25" s="61"/>
      <c r="T25" s="61"/>
      <c r="U25" s="61"/>
      <c r="V25" s="61"/>
      <c r="W25" s="61"/>
      <c r="X25" s="61"/>
      <c r="Y25" s="61"/>
      <c r="Z25" s="61"/>
      <c r="AA25" s="61"/>
      <c r="AB25" s="61"/>
      <c r="AC25" s="61"/>
      <c r="AD25" s="61"/>
      <c r="AE25" s="62"/>
      <c r="AO25" s="421"/>
    </row>
    <row r="26" spans="1:41" ht="9.75" customHeight="1">
      <c r="A26" s="12"/>
    </row>
    <row r="27" spans="1:41" ht="6" customHeight="1">
      <c r="A27" s="12"/>
      <c r="C27" s="52"/>
      <c r="D27" s="53"/>
      <c r="E27" s="54"/>
      <c r="F27" s="54"/>
      <c r="G27" s="54"/>
      <c r="H27" s="54"/>
      <c r="I27" s="54"/>
      <c r="J27" s="54"/>
      <c r="K27" s="54"/>
      <c r="L27" s="54"/>
      <c r="M27" s="54"/>
      <c r="N27" s="54"/>
      <c r="O27" s="54"/>
      <c r="P27" s="54"/>
      <c r="Q27" s="54"/>
      <c r="R27" s="54"/>
      <c r="S27" s="54"/>
      <c r="T27" s="54"/>
      <c r="U27" s="54"/>
      <c r="V27" s="54"/>
      <c r="W27" s="54"/>
      <c r="X27" s="54"/>
      <c r="Y27" s="54"/>
      <c r="Z27" s="54"/>
      <c r="AA27" s="54"/>
      <c r="AB27" s="54"/>
      <c r="AC27" s="54"/>
      <c r="AD27" s="54"/>
      <c r="AE27" s="55"/>
    </row>
    <row r="28" spans="1:41" ht="15.75">
      <c r="A28" s="12"/>
      <c r="B28" s="551" t="s">
        <v>316</v>
      </c>
      <c r="C28" s="56"/>
      <c r="D28" s="14" t="str">
        <f>Translate!$A$81</f>
        <v>Network electricity</v>
      </c>
      <c r="E28" s="465"/>
      <c r="F28" s="247" t="str">
        <f>Translate!$A$98</f>
        <v>kWh</v>
      </c>
      <c r="G28" s="57"/>
      <c r="H28" s="57"/>
      <c r="I28" s="57"/>
      <c r="J28" s="57"/>
      <c r="K28" s="615">
        <f>IF(ISERROR(VLOOKUP(Translate!$A$202&amp;" - "&amp;$E$12,EFtable,3,0)),0,VLOOKUP(Translate!$A$202&amp;" - "&amp;$E$12,EFtable,3,0))</f>
        <v>0</v>
      </c>
      <c r="L28" s="40">
        <f>IF(ISERROR(K28),0,E28*K28)</f>
        <v>0</v>
      </c>
      <c r="M28" s="41" t="str">
        <f>Translate!$A$102</f>
        <v>kgCO2e</v>
      </c>
      <c r="N28" s="57"/>
      <c r="O28" s="57"/>
      <c r="P28" s="57"/>
      <c r="Q28" s="57"/>
      <c r="R28" s="57"/>
      <c r="S28" s="57"/>
      <c r="T28" s="57"/>
      <c r="U28" s="57"/>
      <c r="V28" s="57"/>
      <c r="W28" s="57"/>
      <c r="X28" s="57"/>
      <c r="Y28" s="57"/>
      <c r="Z28" s="57"/>
      <c r="AA28" s="57"/>
      <c r="AB28" s="57"/>
      <c r="AC28" s="57"/>
      <c r="AD28" s="57"/>
      <c r="AE28" s="58"/>
      <c r="AH28">
        <f>HLOOKUP(AI28,$AP$1:$AV$2,2,0)</f>
        <v>1</v>
      </c>
      <c r="AI28" t="str">
        <f>Translate!$A$105</f>
        <v>Energy</v>
      </c>
      <c r="AJ28" s="49">
        <f>L28</f>
        <v>0</v>
      </c>
      <c r="AL28" s="379">
        <f>10%*L28</f>
        <v>0</v>
      </c>
      <c r="AN28">
        <f>ROW(F29)-ROW(F27)</f>
        <v>2</v>
      </c>
      <c r="AO28" s="49">
        <f>AJ28</f>
        <v>0</v>
      </c>
    </row>
    <row r="29" spans="1:41" ht="5.0999999999999996" customHeight="1">
      <c r="A29" s="12"/>
      <c r="C29" s="59"/>
      <c r="D29" s="60"/>
      <c r="E29" s="61"/>
      <c r="F29" s="61"/>
      <c r="G29" s="61"/>
      <c r="H29" s="61"/>
      <c r="I29" s="61"/>
      <c r="J29" s="61"/>
      <c r="K29" s="61"/>
      <c r="L29" s="61"/>
      <c r="M29" s="61"/>
      <c r="N29" s="61"/>
      <c r="O29" s="61"/>
      <c r="P29" s="61"/>
      <c r="Q29" s="61"/>
      <c r="R29" s="61"/>
      <c r="S29" s="61"/>
      <c r="T29" s="61"/>
      <c r="U29" s="61"/>
      <c r="V29" s="61"/>
      <c r="W29" s="61"/>
      <c r="X29" s="61"/>
      <c r="Y29" s="61"/>
      <c r="Z29" s="61"/>
      <c r="AA29" s="61"/>
      <c r="AB29" s="61"/>
      <c r="AC29" s="61"/>
      <c r="AD29" s="61"/>
      <c r="AE29" s="62"/>
    </row>
    <row r="30" spans="1:41">
      <c r="A30" s="12"/>
    </row>
    <row r="31" spans="1:41" ht="20.25">
      <c r="A31" s="12"/>
      <c r="B31" s="12"/>
      <c r="C31" s="12"/>
      <c r="D31" s="13"/>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row>
    <row r="33" spans="1:41" ht="20.25">
      <c r="A33" s="288"/>
      <c r="B33" s="290"/>
      <c r="C33" s="290"/>
      <c r="D33" s="291" t="str">
        <f>AS11</f>
        <v>Mob/demob    (Primary source)</v>
      </c>
      <c r="E33" s="290"/>
      <c r="F33" s="290"/>
      <c r="G33" s="290"/>
      <c r="H33" s="290"/>
      <c r="I33" s="290"/>
      <c r="J33" s="290"/>
      <c r="K33" s="290"/>
      <c r="L33" s="290"/>
      <c r="M33" s="290"/>
      <c r="N33" s="290"/>
      <c r="O33" s="290"/>
      <c r="P33" s="290"/>
      <c r="Q33" s="290"/>
      <c r="R33" s="290"/>
      <c r="S33" s="290"/>
      <c r="T33" s="290"/>
      <c r="U33" s="290"/>
      <c r="V33" s="290"/>
      <c r="W33" s="290"/>
      <c r="X33" s="290"/>
      <c r="Y33" s="290"/>
      <c r="Z33" s="290"/>
      <c r="AA33" s="290"/>
      <c r="AB33" s="290"/>
      <c r="AC33" s="290"/>
      <c r="AD33" s="290"/>
      <c r="AE33" s="290"/>
    </row>
    <row r="34" spans="1:41">
      <c r="A34" s="288"/>
    </row>
    <row r="35" spans="1:41" ht="6" customHeight="1">
      <c r="A35" s="288"/>
      <c r="C35" s="296"/>
      <c r="D35" s="297"/>
      <c r="E35" s="297"/>
      <c r="F35" s="297"/>
      <c r="G35" s="297"/>
      <c r="H35" s="297"/>
      <c r="I35" s="297"/>
      <c r="J35" s="297"/>
      <c r="K35" s="297"/>
      <c r="L35" s="297"/>
      <c r="M35" s="297"/>
      <c r="N35" s="297"/>
      <c r="O35" s="297"/>
      <c r="P35" s="297"/>
      <c r="Q35" s="297"/>
      <c r="R35" s="297"/>
      <c r="S35" s="297"/>
      <c r="T35" s="297"/>
      <c r="U35" s="297"/>
      <c r="V35" s="297"/>
      <c r="W35" s="297"/>
      <c r="X35" s="297"/>
      <c r="Y35" s="297"/>
      <c r="Z35" s="297"/>
      <c r="AA35" s="297"/>
      <c r="AB35" s="297"/>
      <c r="AC35" s="297"/>
      <c r="AD35" s="297"/>
      <c r="AE35" s="298"/>
    </row>
    <row r="36" spans="1:41" ht="15.75">
      <c r="A36" s="288"/>
      <c r="C36" s="299"/>
      <c r="D36" s="292" t="str">
        <f>Translate!$A$80</f>
        <v>Simplified ratio</v>
      </c>
      <c r="E36" s="489" t="str">
        <f>IF(AND(AS5,F36=Translate!$A$91),AS4,Translate!$A$92)</f>
        <v>OFF</v>
      </c>
      <c r="F36" s="543" t="str">
        <f>Translate!$A$91</f>
        <v>Default</v>
      </c>
      <c r="G36" s="300"/>
      <c r="H36" s="300"/>
      <c r="I36" s="300"/>
      <c r="J36" s="300"/>
      <c r="K36" s="308">
        <f ca="1">$P$1</f>
        <v>0</v>
      </c>
      <c r="L36" s="308">
        <f>IF(E36=Translate!$A$92,0,E36*K36)</f>
        <v>0</v>
      </c>
      <c r="M36" s="307" t="str">
        <f>Translate!$A$102</f>
        <v>kgCO2e</v>
      </c>
      <c r="N36" s="301"/>
      <c r="O36" s="301"/>
      <c r="P36" s="301"/>
      <c r="Q36" s="301"/>
      <c r="R36" s="301"/>
      <c r="S36" s="301"/>
      <c r="T36" s="301"/>
      <c r="U36" s="301"/>
      <c r="V36" s="301"/>
      <c r="W36" s="301"/>
      <c r="X36" s="301"/>
      <c r="Y36" s="301"/>
      <c r="Z36" s="301"/>
      <c r="AA36" s="301"/>
      <c r="AB36" s="301"/>
      <c r="AC36" s="301"/>
      <c r="AD36" s="301"/>
      <c r="AE36" s="302"/>
      <c r="AG36" t="s">
        <v>70</v>
      </c>
      <c r="AH36">
        <f>HLOOKUP(AI36,$AP$1:$AV$2,2,0)</f>
        <v>1</v>
      </c>
      <c r="AI36" t="str">
        <f>Translate!$A$107</f>
        <v>Mob/demob</v>
      </c>
      <c r="AJ36" s="49">
        <f>L36</f>
        <v>0</v>
      </c>
      <c r="AL36" s="379">
        <f>100%*L36</f>
        <v>0</v>
      </c>
      <c r="AO36" s="49"/>
    </row>
    <row r="37" spans="1:41" ht="5.0999999999999996" customHeight="1">
      <c r="A37" s="288"/>
      <c r="C37" s="303"/>
      <c r="D37" s="304"/>
      <c r="E37" s="304"/>
      <c r="F37" s="304"/>
      <c r="G37" s="304"/>
      <c r="H37" s="304"/>
      <c r="I37" s="304"/>
      <c r="J37" s="304"/>
      <c r="K37" s="304"/>
      <c r="L37" s="304"/>
      <c r="M37" s="304"/>
      <c r="N37" s="304"/>
      <c r="O37" s="304"/>
      <c r="P37" s="304"/>
      <c r="Q37" s="304"/>
      <c r="R37" s="304"/>
      <c r="S37" s="304"/>
      <c r="T37" s="304"/>
      <c r="U37" s="304"/>
      <c r="V37" s="304"/>
      <c r="W37" s="304"/>
      <c r="X37" s="304"/>
      <c r="Y37" s="304"/>
      <c r="Z37" s="304"/>
      <c r="AA37" s="304"/>
      <c r="AB37" s="304"/>
      <c r="AC37" s="304"/>
      <c r="AD37" s="304"/>
      <c r="AE37" s="305"/>
    </row>
    <row r="38" spans="1:41" ht="9.75" customHeight="1">
      <c r="A38" s="288"/>
    </row>
    <row r="39" spans="1:41" ht="6" customHeight="1">
      <c r="A39" s="288"/>
      <c r="C39" s="296"/>
      <c r="D39" s="297"/>
      <c r="E39" s="297"/>
      <c r="F39" s="297"/>
      <c r="G39" s="297"/>
      <c r="H39" s="297"/>
      <c r="I39" s="297"/>
      <c r="J39" s="297"/>
      <c r="K39" s="297"/>
      <c r="L39" s="297"/>
      <c r="M39" s="297"/>
      <c r="N39" s="297"/>
      <c r="O39" s="297"/>
      <c r="P39" s="297"/>
      <c r="Q39" s="297"/>
      <c r="R39" s="297"/>
      <c r="S39" s="297"/>
      <c r="T39" s="297"/>
      <c r="U39" s="297"/>
      <c r="V39" s="297"/>
      <c r="W39" s="297"/>
      <c r="X39" s="297"/>
      <c r="Y39" s="297"/>
      <c r="Z39" s="297"/>
      <c r="AA39" s="297"/>
      <c r="AB39" s="297"/>
      <c r="AC39" s="297"/>
      <c r="AD39" s="297"/>
      <c r="AE39" s="298"/>
    </row>
    <row r="40" spans="1:41" ht="15.75">
      <c r="A40" s="288"/>
      <c r="B40" s="551" t="s">
        <v>316</v>
      </c>
      <c r="C40" s="299"/>
      <c r="D40" s="479" t="str">
        <f>Translate!$A$206</f>
        <v>Road - Rigid &gt;17t</v>
      </c>
      <c r="E40" s="465"/>
      <c r="F40" s="383" t="str">
        <f>Translate!$A$99</f>
        <v>roundtrips</v>
      </c>
      <c r="G40" s="301"/>
      <c r="H40" s="300"/>
      <c r="I40" s="306">
        <f>E40*M40*(1+V40)</f>
        <v>0</v>
      </c>
      <c r="J40" s="307" t="s">
        <v>63</v>
      </c>
      <c r="K40" s="295">
        <f>VLOOKUP(D40,EFtable,3,0)</f>
        <v>0.98243999999999998</v>
      </c>
      <c r="L40" s="293" t="str">
        <f>Translate!$A$112</f>
        <v>Distance</v>
      </c>
      <c r="M40" s="470"/>
      <c r="N40" s="354" t="str">
        <f>Translate!$A$114</f>
        <v xml:space="preserve"> one way</v>
      </c>
      <c r="O40" s="353"/>
      <c r="P40" s="294"/>
      <c r="Q40" s="301"/>
      <c r="R40" s="308">
        <f>I40*K40</f>
        <v>0</v>
      </c>
      <c r="S40" s="307" t="str">
        <f>Translate!$A$102</f>
        <v>kgCO2e</v>
      </c>
      <c r="T40" s="301"/>
      <c r="U40" s="355" t="str">
        <f>Translate!$A$128</f>
        <v>empty-return rate</v>
      </c>
      <c r="V40" s="472">
        <v>0</v>
      </c>
      <c r="W40" s="301"/>
      <c r="X40" s="301"/>
      <c r="Y40" s="301"/>
      <c r="Z40" s="301"/>
      <c r="AA40" s="301"/>
      <c r="AB40" s="301"/>
      <c r="AC40" s="301"/>
      <c r="AD40" s="301"/>
      <c r="AE40" s="302"/>
      <c r="AH40">
        <f>HLOOKUP(AI40,$AP$1:$AV$2,2,0)</f>
        <v>1</v>
      </c>
      <c r="AI40" t="str">
        <f>Translate!$A$107</f>
        <v>Mob/demob</v>
      </c>
      <c r="AJ40" s="49">
        <f>R40</f>
        <v>0</v>
      </c>
      <c r="AL40" s="379">
        <f>VLOOKUP(D40,EFtable,8,0)*R40</f>
        <v>0</v>
      </c>
      <c r="AN40">
        <f>ROW(F41)-ROW(F39)</f>
        <v>2</v>
      </c>
      <c r="AO40" s="49">
        <f>AJ40</f>
        <v>0</v>
      </c>
    </row>
    <row r="41" spans="1:41" ht="5.0999999999999996" customHeight="1">
      <c r="A41" s="288"/>
      <c r="C41" s="303"/>
      <c r="D41" s="304"/>
      <c r="E41" s="304"/>
      <c r="F41" s="304"/>
      <c r="G41" s="304"/>
      <c r="H41" s="304"/>
      <c r="I41" s="304"/>
      <c r="J41" s="304"/>
      <c r="K41" s="304"/>
      <c r="L41" s="304"/>
      <c r="M41" s="304"/>
      <c r="N41" s="304"/>
      <c r="O41" s="304"/>
      <c r="P41" s="304"/>
      <c r="Q41" s="304"/>
      <c r="R41" s="304"/>
      <c r="S41" s="304"/>
      <c r="T41" s="304"/>
      <c r="U41" s="304"/>
      <c r="V41" s="304"/>
      <c r="W41" s="304"/>
      <c r="X41" s="304"/>
      <c r="Y41" s="304"/>
      <c r="Z41" s="304"/>
      <c r="AA41" s="304"/>
      <c r="AB41" s="304"/>
      <c r="AC41" s="304"/>
      <c r="AD41" s="304"/>
      <c r="AE41" s="305"/>
    </row>
    <row r="42" spans="1:41" ht="9.75" customHeight="1">
      <c r="A42" s="288"/>
    </row>
    <row r="43" spans="1:41" ht="6" customHeight="1">
      <c r="A43" s="288"/>
      <c r="C43" s="296"/>
      <c r="D43" s="297"/>
      <c r="E43" s="297"/>
      <c r="F43" s="297"/>
      <c r="G43" s="297"/>
      <c r="H43" s="297"/>
      <c r="I43" s="297"/>
      <c r="J43" s="297"/>
      <c r="K43" s="297"/>
      <c r="L43" s="297"/>
      <c r="M43" s="297"/>
      <c r="N43" s="297"/>
      <c r="O43" s="297"/>
      <c r="P43" s="297"/>
      <c r="Q43" s="297"/>
      <c r="R43" s="297"/>
      <c r="S43" s="297"/>
      <c r="T43" s="297"/>
      <c r="U43" s="297"/>
      <c r="V43" s="297"/>
      <c r="W43" s="297"/>
      <c r="X43" s="297"/>
      <c r="Y43" s="297"/>
      <c r="Z43" s="297"/>
      <c r="AA43" s="297"/>
      <c r="AB43" s="297"/>
      <c r="AC43" s="297"/>
      <c r="AD43" s="297"/>
      <c r="AE43" s="298"/>
    </row>
    <row r="44" spans="1:41" ht="15.75">
      <c r="A44" s="288"/>
      <c r="B44" s="551" t="s">
        <v>316</v>
      </c>
      <c r="C44" s="299"/>
      <c r="D44" s="479" t="str">
        <f>Translate!$A$208</f>
        <v>Road - Articulated &gt;33t</v>
      </c>
      <c r="E44" s="465"/>
      <c r="F44" s="383" t="str">
        <f>Translate!$A$99</f>
        <v>roundtrips</v>
      </c>
      <c r="G44" s="301"/>
      <c r="H44" s="300"/>
      <c r="I44" s="306">
        <f>E44*M44*(1+V44)</f>
        <v>0</v>
      </c>
      <c r="J44" s="307" t="s">
        <v>63</v>
      </c>
      <c r="K44" s="295">
        <f>VLOOKUP(D44,EFtable,3,0)</f>
        <v>0.93694</v>
      </c>
      <c r="L44" s="293" t="str">
        <f>Translate!$A$112</f>
        <v>Distance</v>
      </c>
      <c r="M44" s="470">
        <v>50</v>
      </c>
      <c r="N44" s="354" t="str">
        <f>Translate!$A$114</f>
        <v xml:space="preserve"> one way</v>
      </c>
      <c r="O44" s="353"/>
      <c r="P44" s="294"/>
      <c r="Q44" s="301"/>
      <c r="R44" s="308">
        <f>I44*K44</f>
        <v>0</v>
      </c>
      <c r="S44" s="307" t="str">
        <f>Translate!$A$102</f>
        <v>kgCO2e</v>
      </c>
      <c r="T44" s="301"/>
      <c r="U44" s="355" t="str">
        <f>Translate!$A$128</f>
        <v>empty-return rate</v>
      </c>
      <c r="V44" s="472">
        <v>0</v>
      </c>
      <c r="W44" s="301"/>
      <c r="X44" s="301"/>
      <c r="Y44" s="301"/>
      <c r="Z44" s="301"/>
      <c r="AA44" s="301"/>
      <c r="AB44" s="301"/>
      <c r="AC44" s="301"/>
      <c r="AD44" s="301"/>
      <c r="AE44" s="302"/>
      <c r="AH44">
        <f>HLOOKUP(AI44,$AP$1:$AV$2,2,0)</f>
        <v>1</v>
      </c>
      <c r="AI44" t="str">
        <f>Translate!$A$107</f>
        <v>Mob/demob</v>
      </c>
      <c r="AJ44" s="49">
        <f>R44</f>
        <v>0</v>
      </c>
      <c r="AL44" s="379">
        <f>VLOOKUP(D44,EFtable,8,0)*R44</f>
        <v>0</v>
      </c>
      <c r="AN44">
        <f>ROW(F45)-ROW(F43)</f>
        <v>2</v>
      </c>
      <c r="AO44" s="49">
        <f>AJ44</f>
        <v>0</v>
      </c>
    </row>
    <row r="45" spans="1:41" ht="5.0999999999999996" customHeight="1">
      <c r="A45" s="288"/>
      <c r="C45" s="303"/>
      <c r="D45" s="304"/>
      <c r="E45" s="304"/>
      <c r="F45" s="304"/>
      <c r="G45" s="304"/>
      <c r="H45" s="304"/>
      <c r="I45" s="304"/>
      <c r="J45" s="304"/>
      <c r="K45" s="304"/>
      <c r="L45" s="304"/>
      <c r="M45" s="304"/>
      <c r="N45" s="304"/>
      <c r="O45" s="304"/>
      <c r="P45" s="304"/>
      <c r="Q45" s="304"/>
      <c r="R45" s="304"/>
      <c r="S45" s="304"/>
      <c r="T45" s="304"/>
      <c r="U45" s="304"/>
      <c r="V45" s="304"/>
      <c r="W45" s="304"/>
      <c r="X45" s="304"/>
      <c r="Y45" s="304"/>
      <c r="Z45" s="304"/>
      <c r="AA45" s="304"/>
      <c r="AB45" s="304"/>
      <c r="AC45" s="304"/>
      <c r="AD45" s="304"/>
      <c r="AE45" s="305"/>
    </row>
    <row r="46" spans="1:41">
      <c r="A46" s="288"/>
    </row>
    <row r="47" spans="1:41" ht="20.25">
      <c r="A47" s="288"/>
      <c r="B47" s="288"/>
      <c r="C47" s="288"/>
      <c r="D47" s="289"/>
      <c r="E47" s="288"/>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row>
    <row r="49" spans="1:41" ht="20.25">
      <c r="A49" s="17"/>
      <c r="B49" s="17"/>
      <c r="C49" s="17"/>
      <c r="D49" s="18" t="str">
        <f>AT11</f>
        <v>People's transportation    (Primary source)</v>
      </c>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row>
    <row r="50" spans="1:41" ht="9.75" customHeight="1">
      <c r="A50" s="17"/>
    </row>
    <row r="51" spans="1:41" ht="6" customHeight="1">
      <c r="A51" s="17"/>
      <c r="C51" s="63"/>
      <c r="D51" s="64"/>
      <c r="E51" s="65"/>
      <c r="F51" s="65"/>
      <c r="G51" s="65"/>
      <c r="H51" s="65"/>
      <c r="I51" s="65"/>
      <c r="J51" s="65"/>
      <c r="K51" s="65"/>
      <c r="L51" s="65"/>
      <c r="M51" s="65"/>
      <c r="N51" s="65"/>
      <c r="O51" s="65"/>
      <c r="P51" s="65"/>
      <c r="Q51" s="65"/>
      <c r="R51" s="65"/>
      <c r="S51" s="65"/>
      <c r="T51" s="65"/>
      <c r="U51" s="65"/>
      <c r="V51" s="65"/>
      <c r="W51" s="65"/>
      <c r="X51" s="65"/>
      <c r="Y51" s="65"/>
      <c r="Z51" s="65"/>
      <c r="AA51" s="65"/>
      <c r="AB51" s="65"/>
      <c r="AC51" s="65"/>
      <c r="AD51" s="65"/>
      <c r="AE51" s="66"/>
    </row>
    <row r="52" spans="1:41" ht="47.1" customHeight="1">
      <c r="A52" s="17"/>
      <c r="C52" s="45"/>
      <c r="D52" s="698" t="str">
        <f>Translate!$A$82</f>
        <v>Coming by</v>
      </c>
      <c r="E52" s="697" t="str">
        <f>Translate!$A$93</f>
        <v>Number of roundtrips</v>
      </c>
      <c r="F52" s="787" t="str">
        <f>Translate!$A$100</f>
        <v>every X day(s)</v>
      </c>
      <c r="G52" s="787"/>
      <c r="H52" s="787"/>
      <c r="I52" s="67"/>
      <c r="J52" s="67"/>
      <c r="K52" s="67"/>
      <c r="L52" s="696" t="str">
        <f>Translate!$A$113&amp;"
("&amp;'Emission factors'!$F$410&amp;Translate!$A$114&amp;")"</f>
        <v>Average distance
(km one way)</v>
      </c>
      <c r="M52" s="67"/>
      <c r="N52" s="67"/>
      <c r="O52" s="67"/>
      <c r="P52" s="67"/>
      <c r="Q52" s="67"/>
      <c r="R52" s="67"/>
      <c r="S52" s="67"/>
      <c r="T52" s="67"/>
      <c r="U52" s="67"/>
      <c r="V52" s="67"/>
      <c r="W52" s="67"/>
      <c r="X52" s="67"/>
      <c r="Y52" s="67"/>
      <c r="Z52" s="67"/>
      <c r="AA52" s="67"/>
      <c r="AB52" s="67"/>
      <c r="AC52" s="67"/>
      <c r="AD52" s="67"/>
      <c r="AE52" s="68"/>
    </row>
    <row r="53" spans="1:41" ht="3.75" customHeight="1">
      <c r="A53" s="17"/>
      <c r="C53" s="45"/>
      <c r="D53" s="64"/>
      <c r="E53" s="65"/>
      <c r="F53" s="65"/>
      <c r="G53" s="65"/>
      <c r="H53" s="65"/>
      <c r="I53" s="65"/>
      <c r="J53" s="65"/>
      <c r="K53" s="65"/>
      <c r="L53" s="65"/>
      <c r="M53" s="67"/>
      <c r="N53" s="67"/>
      <c r="O53" s="67"/>
      <c r="P53" s="67"/>
      <c r="Q53" s="67"/>
      <c r="R53" s="67"/>
      <c r="S53" s="67"/>
      <c r="T53" s="67"/>
      <c r="U53" s="67"/>
      <c r="V53" s="67"/>
      <c r="W53" s="67"/>
      <c r="X53" s="67"/>
      <c r="Y53" s="67"/>
      <c r="Z53" s="67"/>
      <c r="AA53" s="67"/>
      <c r="AB53" s="67"/>
      <c r="AC53" s="67"/>
      <c r="AD53" s="67"/>
      <c r="AE53" s="68"/>
    </row>
    <row r="54" spans="1:41" ht="15.75">
      <c r="A54" s="17"/>
      <c r="C54" s="551" t="s">
        <v>316</v>
      </c>
      <c r="D54" s="468" t="str">
        <f>Translate!$A$217</f>
        <v>Car</v>
      </c>
      <c r="E54" s="480">
        <f>$E$10</f>
        <v>0</v>
      </c>
      <c r="F54" s="788">
        <v>1</v>
      </c>
      <c r="G54" s="789"/>
      <c r="H54" s="790"/>
      <c r="I54" s="44">
        <f>L54*E54*$E$9*2/F54</f>
        <v>0</v>
      </c>
      <c r="J54" s="43" t="str">
        <f>VLOOKUP(D54,EFtable,2,0)</f>
        <v>vkm</v>
      </c>
      <c r="K54" s="50">
        <f>VLOOKUP(D54,EFtable,3,0)</f>
        <v>0.21470999999999998</v>
      </c>
      <c r="L54" s="547">
        <v>50</v>
      </c>
      <c r="M54" s="67"/>
      <c r="N54" s="67"/>
      <c r="O54" s="67"/>
      <c r="P54" s="42">
        <f>I54*K54</f>
        <v>0</v>
      </c>
      <c r="Q54" s="43" t="str">
        <f>Translate!$A$102</f>
        <v>kgCO2e</v>
      </c>
      <c r="R54" s="67"/>
      <c r="S54" s="67"/>
      <c r="T54" s="67"/>
      <c r="U54" s="67"/>
      <c r="V54" s="67"/>
      <c r="W54" s="67"/>
      <c r="X54" s="67"/>
      <c r="Y54" s="67"/>
      <c r="Z54" s="67"/>
      <c r="AA54" s="67"/>
      <c r="AB54" s="67"/>
      <c r="AC54" s="67"/>
      <c r="AD54" s="67"/>
      <c r="AE54" s="68"/>
      <c r="AH54">
        <f>HLOOKUP(AI54,$AP$1:$AV$2,2,0)</f>
        <v>1</v>
      </c>
      <c r="AI54" t="str">
        <f>Translate!$A$108</f>
        <v>People's transportation</v>
      </c>
      <c r="AJ54" s="49">
        <f>P54</f>
        <v>0</v>
      </c>
      <c r="AL54" s="379">
        <f>VLOOKUP(D54,EFtable,8,0)*P54</f>
        <v>0</v>
      </c>
      <c r="AN54">
        <v>2</v>
      </c>
      <c r="AO54" s="49">
        <f>AJ54</f>
        <v>0</v>
      </c>
    </row>
    <row r="55" spans="1:41" ht="3.75" hidden="1" customHeight="1">
      <c r="A55" s="17"/>
      <c r="C55" s="63"/>
      <c r="D55" s="64"/>
      <c r="E55" s="65"/>
      <c r="F55" s="65"/>
      <c r="G55" s="65"/>
      <c r="H55" s="65"/>
      <c r="I55" s="65"/>
      <c r="J55" s="65"/>
      <c r="K55" s="65"/>
      <c r="L55" s="65"/>
      <c r="M55" s="67"/>
      <c r="N55" s="67"/>
      <c r="O55" s="67"/>
      <c r="P55" s="67"/>
      <c r="Q55" s="67"/>
      <c r="R55" s="67"/>
      <c r="S55" s="67"/>
      <c r="T55" s="67"/>
      <c r="U55" s="67"/>
      <c r="V55" s="67"/>
      <c r="W55" s="67"/>
      <c r="X55" s="67"/>
      <c r="Y55" s="67"/>
      <c r="Z55" s="67"/>
      <c r="AA55" s="67"/>
      <c r="AB55" s="67"/>
      <c r="AC55" s="67"/>
      <c r="AD55" s="67"/>
      <c r="AE55" s="68"/>
    </row>
    <row r="56" spans="1:41" ht="3.75" hidden="1" customHeight="1"/>
    <row r="57" spans="1:41" ht="3.75" customHeight="1">
      <c r="A57" s="17"/>
      <c r="C57" s="45"/>
      <c r="D57" s="559"/>
      <c r="E57" s="67"/>
      <c r="F57" s="67"/>
      <c r="G57" s="67"/>
      <c r="H57" s="67"/>
      <c r="I57" s="67"/>
      <c r="J57" s="67"/>
      <c r="K57" s="67"/>
      <c r="L57" s="67"/>
      <c r="M57" s="67"/>
      <c r="N57" s="67"/>
      <c r="O57" s="67"/>
      <c r="P57" s="67"/>
      <c r="Q57" s="67"/>
      <c r="R57" s="67"/>
      <c r="S57" s="67"/>
      <c r="T57" s="67"/>
      <c r="U57" s="67"/>
      <c r="V57" s="67"/>
      <c r="W57" s="67"/>
      <c r="X57" s="67"/>
      <c r="Y57" s="67"/>
      <c r="Z57" s="67"/>
      <c r="AA57" s="67"/>
      <c r="AB57" s="67"/>
      <c r="AC57" s="67"/>
      <c r="AD57" s="67"/>
      <c r="AE57" s="68"/>
    </row>
    <row r="58" spans="1:41" ht="15.75">
      <c r="A58" s="17"/>
      <c r="C58" s="551" t="s">
        <v>316</v>
      </c>
      <c r="D58" s="468" t="str">
        <f>Translate!$A$216</f>
        <v>Bus</v>
      </c>
      <c r="E58" s="481"/>
      <c r="F58" s="771">
        <v>1</v>
      </c>
      <c r="G58" s="771"/>
      <c r="H58" s="771"/>
      <c r="I58" s="44">
        <f>L58*E58*$E$9*2/F58</f>
        <v>0</v>
      </c>
      <c r="J58" s="43" t="str">
        <f>VLOOKUP(D58,EFtable,2,0)</f>
        <v>pkm</v>
      </c>
      <c r="K58" s="50">
        <f>VLOOKUP(D58,EFtable,3,0)</f>
        <v>0.12970999999999999</v>
      </c>
      <c r="L58" s="654">
        <v>50</v>
      </c>
      <c r="M58" s="67"/>
      <c r="N58" s="67"/>
      <c r="O58" s="67"/>
      <c r="P58" s="42">
        <f>I58*K58</f>
        <v>0</v>
      </c>
      <c r="Q58" s="43" t="str">
        <f>Translate!$A$102</f>
        <v>kgCO2e</v>
      </c>
      <c r="R58" s="67"/>
      <c r="S58" s="67"/>
      <c r="T58" s="67"/>
      <c r="U58" s="67"/>
      <c r="V58" s="67"/>
      <c r="W58" s="67"/>
      <c r="X58" s="67"/>
      <c r="Y58" s="67"/>
      <c r="Z58" s="67"/>
      <c r="AA58" s="67"/>
      <c r="AB58" s="67"/>
      <c r="AC58" s="67"/>
      <c r="AD58" s="67"/>
      <c r="AE58" s="68"/>
      <c r="AH58">
        <f>HLOOKUP(AI58,$AP$1:$AV$2,2,0)</f>
        <v>1</v>
      </c>
      <c r="AI58" t="str">
        <f>Translate!$A$108</f>
        <v>People's transportation</v>
      </c>
      <c r="AJ58" s="49">
        <f>P58</f>
        <v>0</v>
      </c>
      <c r="AL58" s="379">
        <f>VLOOKUP(D58,EFtable,8,0)*P58</f>
        <v>0</v>
      </c>
      <c r="AN58">
        <v>2</v>
      </c>
      <c r="AO58" s="49">
        <f>AJ58</f>
        <v>0</v>
      </c>
    </row>
    <row r="59" spans="1:41" ht="3.75" hidden="1" customHeight="1">
      <c r="A59" s="17"/>
      <c r="C59" s="63"/>
      <c r="D59" s="64"/>
      <c r="E59" s="65"/>
      <c r="F59" s="65"/>
      <c r="G59" s="65"/>
      <c r="H59" s="65"/>
      <c r="I59" s="65"/>
      <c r="J59" s="65"/>
      <c r="K59" s="65"/>
      <c r="L59" s="65"/>
      <c r="M59" s="67"/>
      <c r="N59" s="67"/>
      <c r="O59" s="67"/>
      <c r="P59" s="67"/>
      <c r="Q59" s="67"/>
      <c r="R59" s="67"/>
      <c r="S59" s="67"/>
      <c r="T59" s="67"/>
      <c r="U59" s="67"/>
      <c r="V59" s="67"/>
      <c r="W59" s="67"/>
      <c r="X59" s="67"/>
      <c r="Y59" s="67"/>
      <c r="Z59" s="67"/>
      <c r="AA59" s="67"/>
      <c r="AB59" s="67"/>
      <c r="AC59" s="67"/>
      <c r="AD59" s="67"/>
      <c r="AE59" s="68"/>
    </row>
    <row r="60" spans="1:41" ht="3.75" hidden="1" customHeight="1"/>
    <row r="61" spans="1:41" ht="3.75" customHeight="1">
      <c r="A61" s="17"/>
      <c r="C61" s="45"/>
      <c r="D61" s="559"/>
      <c r="E61" s="67"/>
      <c r="F61" s="67"/>
      <c r="G61" s="67"/>
      <c r="H61" s="67"/>
      <c r="I61" s="67"/>
      <c r="J61" s="67"/>
      <c r="K61" s="67"/>
      <c r="L61" s="67"/>
      <c r="M61" s="67"/>
      <c r="N61" s="67"/>
      <c r="O61" s="67"/>
      <c r="P61" s="67"/>
      <c r="Q61" s="67"/>
      <c r="R61" s="67"/>
      <c r="S61" s="67"/>
      <c r="T61" s="67"/>
      <c r="U61" s="67"/>
      <c r="V61" s="67"/>
      <c r="W61" s="67"/>
      <c r="X61" s="67"/>
      <c r="Y61" s="67"/>
      <c r="Z61" s="67"/>
      <c r="AA61" s="67"/>
      <c r="AB61" s="67"/>
      <c r="AC61" s="67"/>
      <c r="AD61" s="67"/>
      <c r="AE61" s="68"/>
    </row>
    <row r="62" spans="1:41" ht="15.75">
      <c r="A62" s="17"/>
      <c r="C62" s="551" t="s">
        <v>316</v>
      </c>
      <c r="D62" s="468" t="str">
        <f>Translate!$A$218</f>
        <v>Train</v>
      </c>
      <c r="E62" s="481"/>
      <c r="F62" s="771">
        <v>5</v>
      </c>
      <c r="G62" s="771"/>
      <c r="H62" s="771"/>
      <c r="I62" s="44">
        <f>L62*E62*$E$9*2/F62</f>
        <v>0</v>
      </c>
      <c r="J62" s="43" t="str">
        <f>VLOOKUP(D62,EFtable,2,0)</f>
        <v>pkm</v>
      </c>
      <c r="K62" s="50">
        <f>VLOOKUP(D62,EFtable,3,0)</f>
        <v>4.9049999999999996E-2</v>
      </c>
      <c r="L62" s="654">
        <v>300</v>
      </c>
      <c r="M62" s="67"/>
      <c r="N62" s="67"/>
      <c r="O62" s="67"/>
      <c r="P62" s="42">
        <f>I62*K62</f>
        <v>0</v>
      </c>
      <c r="Q62" s="43" t="str">
        <f>Translate!$A$102</f>
        <v>kgCO2e</v>
      </c>
      <c r="R62" s="67"/>
      <c r="S62" s="67"/>
      <c r="T62" s="67"/>
      <c r="U62" s="67"/>
      <c r="V62" s="67"/>
      <c r="W62" s="67"/>
      <c r="X62" s="67"/>
      <c r="Y62" s="67"/>
      <c r="Z62" s="67"/>
      <c r="AA62" s="67"/>
      <c r="AB62" s="67"/>
      <c r="AC62" s="67"/>
      <c r="AD62" s="67"/>
      <c r="AE62" s="68"/>
      <c r="AH62">
        <f>HLOOKUP(AI62,$AP$1:$AV$2,2,0)</f>
        <v>1</v>
      </c>
      <c r="AI62" t="str">
        <f>Translate!$A$108</f>
        <v>People's transportation</v>
      </c>
      <c r="AJ62" s="49">
        <f>P62</f>
        <v>0</v>
      </c>
      <c r="AL62" s="379">
        <f>VLOOKUP(D62,EFtable,8,0)*P62</f>
        <v>0</v>
      </c>
      <c r="AN62">
        <v>2</v>
      </c>
      <c r="AO62" s="49">
        <f>AJ62</f>
        <v>0</v>
      </c>
    </row>
    <row r="63" spans="1:41" ht="3.75" hidden="1" customHeight="1">
      <c r="A63" s="17"/>
      <c r="C63" s="69"/>
      <c r="D63" s="70"/>
      <c r="E63" s="71"/>
      <c r="F63" s="71"/>
      <c r="G63" s="71"/>
      <c r="H63" s="71"/>
      <c r="I63" s="71"/>
      <c r="J63" s="71"/>
      <c r="K63" s="71"/>
      <c r="L63" s="71"/>
      <c r="M63" s="71"/>
      <c r="N63" s="71"/>
      <c r="O63" s="71"/>
      <c r="P63" s="71"/>
      <c r="Q63" s="71"/>
      <c r="R63" s="71"/>
      <c r="S63" s="71"/>
      <c r="T63" s="71"/>
      <c r="U63" s="71"/>
      <c r="V63" s="71"/>
      <c r="W63" s="71"/>
      <c r="X63" s="71"/>
      <c r="Y63" s="71"/>
      <c r="Z63" s="71"/>
      <c r="AA63" s="71"/>
      <c r="AB63" s="71"/>
      <c r="AC63" s="71"/>
      <c r="AD63" s="71"/>
      <c r="AE63" s="72"/>
    </row>
    <row r="64" spans="1:41" ht="3.75" hidden="1" customHeight="1"/>
    <row r="65" spans="1:41" ht="3.75" customHeight="1">
      <c r="A65" s="17"/>
      <c r="C65" s="69"/>
      <c r="D65" s="70"/>
      <c r="E65" s="71"/>
      <c r="F65" s="71"/>
      <c r="G65" s="71"/>
      <c r="H65" s="71"/>
      <c r="I65" s="71"/>
      <c r="J65" s="71"/>
      <c r="K65" s="71"/>
      <c r="L65" s="71"/>
      <c r="M65" s="71"/>
      <c r="N65" s="71"/>
      <c r="O65" s="71"/>
      <c r="P65" s="71"/>
      <c r="Q65" s="71"/>
      <c r="R65" s="71"/>
      <c r="S65" s="71"/>
      <c r="T65" s="71"/>
      <c r="U65" s="71"/>
      <c r="V65" s="71"/>
      <c r="W65" s="71"/>
      <c r="X65" s="71"/>
      <c r="Y65" s="71"/>
      <c r="Z65" s="71"/>
      <c r="AA65" s="71"/>
      <c r="AB65" s="71"/>
      <c r="AC65" s="71"/>
      <c r="AD65" s="71"/>
      <c r="AE65" s="72"/>
    </row>
    <row r="66" spans="1:41">
      <c r="A66" s="17"/>
    </row>
    <row r="67" spans="1:41" ht="6" customHeight="1">
      <c r="A67" s="17"/>
      <c r="C67" s="63"/>
      <c r="D67" s="64"/>
      <c r="E67" s="65"/>
      <c r="F67" s="65"/>
      <c r="G67" s="65"/>
      <c r="H67" s="65"/>
      <c r="I67" s="65"/>
      <c r="J67" s="65"/>
      <c r="K67" s="65"/>
      <c r="L67" s="65"/>
      <c r="M67" s="65"/>
      <c r="N67" s="65"/>
      <c r="O67" s="65"/>
      <c r="P67" s="65"/>
      <c r="Q67" s="65"/>
      <c r="R67" s="65"/>
      <c r="S67" s="65"/>
      <c r="T67" s="65"/>
      <c r="U67" s="65"/>
      <c r="V67" s="65"/>
      <c r="W67" s="65"/>
      <c r="X67" s="65"/>
      <c r="Y67" s="65"/>
      <c r="Z67" s="65"/>
      <c r="AA67" s="65"/>
      <c r="AB67" s="65"/>
      <c r="AC67" s="65"/>
      <c r="AD67" s="65"/>
      <c r="AE67" s="66"/>
    </row>
    <row r="68" spans="1:41" ht="15.75">
      <c r="A68" s="17"/>
      <c r="B68" s="551" t="s">
        <v>316</v>
      </c>
      <c r="C68" s="45"/>
      <c r="D68" s="468" t="str">
        <f>Translate!$A$218</f>
        <v>Train</v>
      </c>
      <c r="E68" s="465"/>
      <c r="F68" s="386" t="str">
        <f>VLOOKUP(D68,EFtable,2,0)</f>
        <v>pkm</v>
      </c>
      <c r="G68" s="67"/>
      <c r="H68" s="67"/>
      <c r="I68" s="67"/>
      <c r="J68" s="67"/>
      <c r="K68" s="51">
        <f>VLOOKUP(D68,EFtable,3,0)</f>
        <v>4.9049999999999996E-2</v>
      </c>
      <c r="L68" s="42">
        <f>E68*K68</f>
        <v>0</v>
      </c>
      <c r="M68" s="43" t="str">
        <f>Translate!$A$102</f>
        <v>kgCO2e</v>
      </c>
      <c r="N68" s="67"/>
      <c r="O68" s="67"/>
      <c r="P68" s="67"/>
      <c r="Q68" s="67"/>
      <c r="R68" s="67"/>
      <c r="S68" s="67"/>
      <c r="T68" s="67"/>
      <c r="U68" s="67"/>
      <c r="V68" s="67"/>
      <c r="W68" s="67"/>
      <c r="X68" s="67"/>
      <c r="Y68" s="67"/>
      <c r="Z68" s="67"/>
      <c r="AA68" s="67"/>
      <c r="AB68" s="67"/>
      <c r="AC68" s="67"/>
      <c r="AD68" s="67"/>
      <c r="AE68" s="68"/>
      <c r="AH68">
        <f>HLOOKUP(AI68,$AP$1:$AV$2,2,0)</f>
        <v>1</v>
      </c>
      <c r="AI68" t="str">
        <f>Translate!$A$108</f>
        <v>People's transportation</v>
      </c>
      <c r="AJ68" s="49">
        <f>L68</f>
        <v>0</v>
      </c>
      <c r="AL68" s="379">
        <f>VLOOKUP(D68,EFtable,8,0)*L68</f>
        <v>0</v>
      </c>
      <c r="AN68">
        <f>ROW(F69)-ROW(F67)</f>
        <v>2</v>
      </c>
      <c r="AO68" s="49">
        <f>AJ68</f>
        <v>0</v>
      </c>
    </row>
    <row r="69" spans="1:41" ht="5.0999999999999996" customHeight="1">
      <c r="A69" s="17"/>
      <c r="C69" s="69"/>
      <c r="D69" s="70"/>
      <c r="E69" s="71"/>
      <c r="F69" s="71"/>
      <c r="G69" s="71"/>
      <c r="H69" s="71"/>
      <c r="I69" s="71"/>
      <c r="J69" s="71"/>
      <c r="K69" s="71"/>
      <c r="L69" s="71"/>
      <c r="M69" s="71"/>
      <c r="N69" s="71"/>
      <c r="O69" s="71"/>
      <c r="P69" s="71"/>
      <c r="Q69" s="71"/>
      <c r="R69" s="71"/>
      <c r="S69" s="71"/>
      <c r="T69" s="71"/>
      <c r="U69" s="71"/>
      <c r="V69" s="71"/>
      <c r="W69" s="71"/>
      <c r="X69" s="71"/>
      <c r="Y69" s="71"/>
      <c r="Z69" s="71"/>
      <c r="AA69" s="71"/>
      <c r="AB69" s="71"/>
      <c r="AC69" s="71"/>
      <c r="AD69" s="71"/>
      <c r="AE69" s="72"/>
    </row>
    <row r="70" spans="1:41">
      <c r="A70" s="17"/>
    </row>
    <row r="71" spans="1:41" ht="20.25">
      <c r="A71" s="17"/>
      <c r="B71" s="17"/>
      <c r="C71" s="17"/>
      <c r="D71" s="18"/>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row>
    <row r="73" spans="1:41" ht="20.25">
      <c r="A73" s="73"/>
      <c r="B73" s="73"/>
      <c r="C73" s="73"/>
      <c r="D73" s="74" t="str">
        <f>AU11</f>
        <v>Assets    (Primary source)</v>
      </c>
      <c r="E73" s="73"/>
      <c r="F73" s="73"/>
      <c r="G73" s="73"/>
      <c r="H73" s="73"/>
      <c r="I73" s="73"/>
      <c r="J73" s="73"/>
      <c r="K73" s="73"/>
      <c r="L73" s="73"/>
      <c r="M73" s="73"/>
      <c r="N73" s="73"/>
      <c r="O73" s="73"/>
      <c r="P73" s="73"/>
      <c r="Q73" s="73"/>
      <c r="R73" s="73"/>
      <c r="S73" s="73"/>
      <c r="T73" s="73"/>
      <c r="U73" s="73"/>
      <c r="V73" s="73"/>
      <c r="W73" s="73"/>
      <c r="X73" s="73"/>
      <c r="Y73" s="73"/>
      <c r="Z73" s="73"/>
      <c r="AA73" s="73"/>
      <c r="AB73" s="73"/>
      <c r="AC73" s="73"/>
      <c r="AD73" s="73"/>
      <c r="AE73" s="73"/>
    </row>
    <row r="74" spans="1:41">
      <c r="A74" s="73"/>
    </row>
    <row r="75" spans="1:41" ht="6" customHeight="1">
      <c r="A75" s="73"/>
      <c r="C75" s="85"/>
      <c r="D75" s="76"/>
      <c r="E75" s="76"/>
      <c r="F75" s="76"/>
      <c r="G75" s="76"/>
      <c r="H75" s="76"/>
      <c r="I75" s="76"/>
      <c r="J75" s="76"/>
      <c r="K75" s="76"/>
      <c r="L75" s="76"/>
      <c r="M75" s="76"/>
      <c r="N75" s="76"/>
      <c r="O75" s="76"/>
      <c r="P75" s="76"/>
      <c r="Q75" s="76"/>
      <c r="R75" s="76"/>
      <c r="S75" s="76"/>
      <c r="T75" s="76"/>
      <c r="U75" s="76"/>
      <c r="V75" s="76"/>
      <c r="W75" s="76"/>
      <c r="X75" s="76"/>
      <c r="Y75" s="76"/>
      <c r="Z75" s="76"/>
      <c r="AA75" s="76"/>
      <c r="AB75" s="76"/>
      <c r="AC75" s="76"/>
      <c r="AD75" s="76"/>
      <c r="AE75" s="77"/>
    </row>
    <row r="76" spans="1:41" ht="15.75">
      <c r="A76" s="73"/>
      <c r="C76" s="86"/>
      <c r="D76" s="75" t="str">
        <f>Translate!$A$80</f>
        <v>Simplified ratio</v>
      </c>
      <c r="E76" s="490" t="str">
        <f>IF(AND(AU5,F76=Translate!$A$91),AU4,Translate!$A$92)</f>
        <v>OFF</v>
      </c>
      <c r="F76" s="545" t="str">
        <f>Translate!$A$91</f>
        <v>Default</v>
      </c>
      <c r="G76" s="78"/>
      <c r="H76" s="78"/>
      <c r="I76" s="78"/>
      <c r="J76" s="78"/>
      <c r="K76" s="79">
        <f ca="1">$P$1</f>
        <v>0</v>
      </c>
      <c r="L76" s="79">
        <f>IF(E76=Translate!$A$92,0,E76*K76)</f>
        <v>0</v>
      </c>
      <c r="M76" s="80" t="str">
        <f>Translate!$A$102</f>
        <v>kgCO2e</v>
      </c>
      <c r="N76" s="78"/>
      <c r="O76" s="78"/>
      <c r="P76" s="78"/>
      <c r="Q76" s="78"/>
      <c r="R76" s="78"/>
      <c r="S76" s="78"/>
      <c r="T76" s="78"/>
      <c r="U76" s="78"/>
      <c r="V76" s="78"/>
      <c r="W76" s="78"/>
      <c r="X76" s="78"/>
      <c r="Y76" s="78"/>
      <c r="Z76" s="78"/>
      <c r="AA76" s="78"/>
      <c r="AB76" s="78"/>
      <c r="AC76" s="78"/>
      <c r="AD76" s="78"/>
      <c r="AE76" s="81"/>
      <c r="AG76" t="s">
        <v>70</v>
      </c>
      <c r="AH76">
        <f>HLOOKUP(AI76,$AP$1:$AV$2,2,0)</f>
        <v>1</v>
      </c>
      <c r="AI76" t="str">
        <f>Translate!$A$109</f>
        <v>Assets</v>
      </c>
      <c r="AJ76" s="49">
        <f>L76</f>
        <v>0</v>
      </c>
      <c r="AL76" s="379">
        <f>100%*L76</f>
        <v>0</v>
      </c>
      <c r="AO76" s="49"/>
    </row>
    <row r="77" spans="1:41" ht="5.0999999999999996" customHeight="1">
      <c r="A77" s="73"/>
      <c r="C77" s="84"/>
      <c r="D77" s="82"/>
      <c r="E77" s="82"/>
      <c r="F77" s="8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3"/>
    </row>
    <row r="78" spans="1:41" ht="9.75" customHeight="1">
      <c r="A78" s="73"/>
    </row>
    <row r="79" spans="1:41" ht="6" customHeight="1">
      <c r="A79" s="73"/>
      <c r="C79" s="85"/>
      <c r="D79" s="76"/>
      <c r="E79" s="76"/>
      <c r="F79" s="76"/>
      <c r="G79" s="76"/>
      <c r="H79" s="76"/>
      <c r="I79" s="76"/>
      <c r="J79" s="76"/>
      <c r="K79" s="76"/>
      <c r="L79" s="76"/>
      <c r="M79" s="76"/>
      <c r="N79" s="76"/>
      <c r="O79" s="76"/>
      <c r="P79" s="76"/>
      <c r="Q79" s="76"/>
      <c r="R79" s="76"/>
      <c r="S79" s="76"/>
      <c r="T79" s="76"/>
      <c r="U79" s="76"/>
      <c r="V79" s="76"/>
      <c r="W79" s="76"/>
      <c r="X79" s="76"/>
      <c r="Y79" s="76"/>
      <c r="Z79" s="76"/>
      <c r="AA79" s="76"/>
      <c r="AB79" s="76"/>
      <c r="AC79" s="76"/>
      <c r="AD79" s="76"/>
      <c r="AE79" s="77"/>
    </row>
    <row r="80" spans="1:41" ht="15.75">
      <c r="A80" s="73"/>
      <c r="B80" s="551" t="s">
        <v>316</v>
      </c>
      <c r="C80" s="86"/>
      <c r="D80" s="468" t="str">
        <f>Translate!$A$222</f>
        <v>Machines</v>
      </c>
      <c r="E80" s="465"/>
      <c r="F80" s="87" t="str">
        <f>Translate!$A$101</f>
        <v>t</v>
      </c>
      <c r="G80" s="78"/>
      <c r="H80" s="78"/>
      <c r="I80" s="149">
        <f>E80*U80/(Z80*R80)</f>
        <v>0</v>
      </c>
      <c r="J80" s="80" t="s">
        <v>19</v>
      </c>
      <c r="K80" s="149">
        <f>VLOOKUP(Translate!$A$222,EFtable,3,0)</f>
        <v>3666.6666666666665</v>
      </c>
      <c r="L80" s="79">
        <f>I80*K80</f>
        <v>0</v>
      </c>
      <c r="M80" s="80" t="str">
        <f>Translate!$A$102</f>
        <v>kgCO2e</v>
      </c>
      <c r="N80" s="78"/>
      <c r="O80" s="78"/>
      <c r="P80" s="658" t="str">
        <f>Translate!$A$116</f>
        <v>Lifetime</v>
      </c>
      <c r="Q80" s="384"/>
      <c r="R80" s="482">
        <v>10</v>
      </c>
      <c r="S80" s="385" t="str">
        <f>Translate!$A$121</f>
        <v>years</v>
      </c>
      <c r="T80" s="75" t="str">
        <f>Translate!$A$126</f>
        <v>Use time</v>
      </c>
      <c r="U80" s="483">
        <f>$E$9</f>
        <v>0</v>
      </c>
      <c r="V80" s="75" t="str">
        <f>Translate!$A$129</f>
        <v>days</v>
      </c>
      <c r="W80" s="384"/>
      <c r="X80" s="659" t="str">
        <f>Translate!$A$67</f>
        <v>Working days</v>
      </c>
      <c r="Y80" s="660"/>
      <c r="Z80" s="661">
        <v>150</v>
      </c>
      <c r="AA80" s="662" t="str">
        <f>Translate!$A$129&amp;" / "&amp;Translate!$A$122</f>
        <v>days / year</v>
      </c>
      <c r="AB80" s="78"/>
      <c r="AC80" s="78"/>
      <c r="AD80" s="78"/>
      <c r="AE80" s="81"/>
      <c r="AH80">
        <f>HLOOKUP(AI80,$AP$1:$AV$2,2,0)</f>
        <v>1</v>
      </c>
      <c r="AI80" t="str">
        <f>Translate!$A$109</f>
        <v>Assets</v>
      </c>
      <c r="AJ80" s="49">
        <f>L80</f>
        <v>0</v>
      </c>
      <c r="AL80" s="379">
        <f>VLOOKUP("Machines",EFtable,8,0)*L80</f>
        <v>0</v>
      </c>
      <c r="AN80">
        <f>ROW(F81)-ROW(F79)</f>
        <v>2</v>
      </c>
      <c r="AO80" s="49">
        <f>AJ80</f>
        <v>0</v>
      </c>
    </row>
    <row r="81" spans="1:41" ht="5.0999999999999996" customHeight="1">
      <c r="A81" s="73"/>
      <c r="C81" s="84"/>
      <c r="D81" s="82"/>
      <c r="E81" s="82"/>
      <c r="F81" s="8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3"/>
    </row>
    <row r="82" spans="1:41">
      <c r="A82" s="73"/>
    </row>
    <row r="83" spans="1:41" ht="20.25">
      <c r="A83" s="73"/>
      <c r="B83" s="73"/>
      <c r="C83" s="73"/>
      <c r="D83" s="74"/>
      <c r="E83" s="73"/>
      <c r="F83" s="73"/>
      <c r="G83" s="73"/>
      <c r="H83" s="73"/>
      <c r="I83" s="73"/>
      <c r="J83" s="73"/>
      <c r="K83" s="73"/>
      <c r="L83" s="73"/>
      <c r="M83" s="73"/>
      <c r="N83" s="73"/>
      <c r="O83" s="73"/>
      <c r="P83" s="73"/>
      <c r="Q83" s="73"/>
      <c r="R83" s="73"/>
      <c r="S83" s="73"/>
      <c r="T83" s="73"/>
      <c r="U83" s="73"/>
      <c r="V83" s="73"/>
      <c r="W83" s="73"/>
      <c r="X83" s="73"/>
      <c r="Y83" s="73"/>
      <c r="Z83" s="73"/>
      <c r="AA83" s="73"/>
      <c r="AB83" s="73"/>
      <c r="AC83" s="73"/>
      <c r="AD83" s="73"/>
      <c r="AE83" s="73"/>
    </row>
    <row r="85" spans="1:41" ht="21" customHeight="1">
      <c r="A85" s="1"/>
      <c r="B85" s="1"/>
      <c r="C85" s="1"/>
      <c r="D85" s="8" t="str">
        <f>AQ11</f>
        <v>Materials    (Secondary source)</v>
      </c>
      <c r="E85" s="1"/>
      <c r="F85" s="1"/>
      <c r="G85" s="1"/>
      <c r="H85" s="1"/>
      <c r="I85" s="1"/>
      <c r="J85" s="1"/>
      <c r="K85" s="1"/>
      <c r="L85" s="1"/>
      <c r="M85" s="1"/>
      <c r="N85" s="1"/>
      <c r="O85" s="16"/>
      <c r="P85" s="16"/>
      <c r="Q85" s="16" t="str">
        <f>AR11</f>
        <v>Freight    (Secondary source)</v>
      </c>
      <c r="R85" s="15"/>
      <c r="S85" s="16"/>
      <c r="T85" s="16"/>
      <c r="U85" s="15"/>
      <c r="V85" s="15"/>
      <c r="W85" s="15"/>
      <c r="X85" s="15"/>
      <c r="Y85" s="15"/>
      <c r="Z85" s="15"/>
      <c r="AA85" s="15"/>
      <c r="AB85" s="15"/>
      <c r="AC85" s="15"/>
      <c r="AD85" s="15"/>
      <c r="AE85" s="15"/>
      <c r="AH85" s="357" t="s">
        <v>323</v>
      </c>
      <c r="AI85" s="357" t="s">
        <v>319</v>
      </c>
      <c r="AJ85" s="357" t="s">
        <v>320</v>
      </c>
      <c r="AK85" s="357" t="s">
        <v>314</v>
      </c>
      <c r="AL85" s="357" t="s">
        <v>321</v>
      </c>
      <c r="AM85" s="357"/>
      <c r="AN85" s="357" t="s">
        <v>322</v>
      </c>
    </row>
    <row r="86" spans="1:41" ht="12.75" customHeight="1">
      <c r="A86" s="1"/>
      <c r="D86" s="3"/>
    </row>
    <row r="87" spans="1:41" ht="8.1" customHeight="1">
      <c r="A87" s="1"/>
      <c r="C87" s="27"/>
      <c r="D87" s="29"/>
      <c r="E87" s="29"/>
      <c r="F87" s="29"/>
      <c r="G87" s="29"/>
      <c r="H87" s="29"/>
      <c r="I87" s="29"/>
      <c r="J87" s="29"/>
      <c r="K87" s="29"/>
      <c r="L87" s="29"/>
      <c r="M87" s="29"/>
      <c r="N87" s="29"/>
      <c r="O87" s="30"/>
      <c r="P87" s="30"/>
      <c r="Q87" s="30"/>
      <c r="R87" s="30"/>
      <c r="S87" s="30"/>
      <c r="T87" s="30"/>
      <c r="U87" s="30"/>
      <c r="V87" s="30"/>
      <c r="W87" s="30"/>
      <c r="X87" s="30"/>
      <c r="Y87" s="30"/>
      <c r="Z87" s="30"/>
      <c r="AA87" s="30"/>
      <c r="AB87" s="30"/>
      <c r="AC87" s="30"/>
      <c r="AD87" s="30"/>
      <c r="AE87" s="31"/>
      <c r="AL87" s="49"/>
    </row>
    <row r="88" spans="1:41" ht="15.75">
      <c r="A88" s="1"/>
      <c r="B88" s="551" t="s">
        <v>316</v>
      </c>
      <c r="C88" s="32"/>
      <c r="D88" s="468" t="str">
        <f>Translate!$A$177</f>
        <v>Aggregate</v>
      </c>
      <c r="E88" s="477"/>
      <c r="F88" s="7" t="str">
        <f>VLOOKUP(D88,EFtable,2,0)</f>
        <v>t</v>
      </c>
      <c r="G88" s="23"/>
      <c r="H88" s="23"/>
      <c r="I88" s="25">
        <f>E88</f>
        <v>0</v>
      </c>
      <c r="J88" s="21" t="str">
        <f>F88</f>
        <v>t</v>
      </c>
      <c r="K88" s="38">
        <f>IF(ISERROR(E89*1),VLOOKUP(D88,EFtable,3,0),VLOOKUP(D88,EFtable,3,0)*(1-E89)+VLOOKUP(D88&amp;Translate!$A$199,EFtable,3,0)*E89)</f>
        <v>4</v>
      </c>
      <c r="L88" s="25">
        <f>IF(F89=Translate!$A$111,0,I88*K88)</f>
        <v>0</v>
      </c>
      <c r="M88" s="21" t="str">
        <f>Translate!$A$102</f>
        <v>kgCO2e</v>
      </c>
      <c r="N88" s="23"/>
      <c r="O88" s="24"/>
      <c r="P88" s="19" t="str">
        <f>Translate!$A$112</f>
        <v>Distance</v>
      </c>
      <c r="Q88" s="470"/>
      <c r="R88" s="20" t="str">
        <f>'Emission factors'!$F$410</f>
        <v>km</v>
      </c>
      <c r="S88" s="19" t="str">
        <f>Translate!$A$120</f>
        <v>Type</v>
      </c>
      <c r="T88" s="657" t="str">
        <f>IF(ISERROR(VLOOKUP(D87,StandardFreight,2,0)),VLOOKUP(Translate!$A$118,StandardFreight,2,0),VLOOKUP(D87,StandardFreight,2,0))</f>
        <v>Road - Articulated &gt;33t</v>
      </c>
      <c r="U88" s="19" t="str">
        <f>Translate!$A$127</f>
        <v>Load</v>
      </c>
      <c r="V88" s="478">
        <f>VLOOKUP(T88,FreightLoadFactors,2,0)</f>
        <v>15</v>
      </c>
      <c r="W88" s="20" t="str">
        <f>J88</f>
        <v>t</v>
      </c>
      <c r="X88" s="471">
        <f>IF(V88=0,0,ROUNDUP(I88/V88,0))</f>
        <v>0</v>
      </c>
      <c r="Y88" s="20" t="str">
        <f>Translate!$A$130</f>
        <v>travels</v>
      </c>
      <c r="Z88" s="39" t="str">
        <f>Translate!$A$128</f>
        <v>empty-return rate</v>
      </c>
      <c r="AA88" s="472">
        <v>0.5</v>
      </c>
      <c r="AB88" s="48">
        <f>VLOOKUP(T88,EFtable,3,0)</f>
        <v>0.93694</v>
      </c>
      <c r="AC88" s="46">
        <f>Q88*X88*(1+AA88)*AB88</f>
        <v>0</v>
      </c>
      <c r="AD88" s="47" t="str">
        <f>Translate!$A$102</f>
        <v>kgCO2e</v>
      </c>
      <c r="AE88" s="33"/>
      <c r="AH88">
        <f>HLOOKUP(AI88,$AP$1:$AV$2,2,0)</f>
        <v>2</v>
      </c>
      <c r="AI88" t="str">
        <f>Translate!$A$104</f>
        <v>Materials</v>
      </c>
      <c r="AJ88" s="49">
        <f>L88</f>
        <v>0</v>
      </c>
      <c r="AK88" s="372" t="str">
        <f>VLOOKUP(D88,EFtable,7,0)</f>
        <v>Concrete / Slurry / Grout mix</v>
      </c>
      <c r="AL88" s="379">
        <f>VLOOKUP(D88,EFtable,8,0)*L88</f>
        <v>0</v>
      </c>
      <c r="AN88">
        <f>ROW(F90)-ROW(F87)</f>
        <v>3</v>
      </c>
      <c r="AO88" s="49">
        <f>AJ88</f>
        <v>0</v>
      </c>
    </row>
    <row r="89" spans="1:41">
      <c r="A89" s="1"/>
      <c r="C89" s="32"/>
      <c r="D89" s="336" t="str">
        <f>Translate!$A$79</f>
        <v>Recycled content</v>
      </c>
      <c r="E89" s="476" t="str">
        <f>IF(ISERROR(VLOOKUP(D88,RecycledContent,2,0)),Translate!$A$90,VLOOKUP(D88,RecycledContent,2,0))</f>
        <v>do not apply</v>
      </c>
      <c r="F89" s="469" t="str">
        <f>Translate!$A$478</f>
        <v>-new or recycled-</v>
      </c>
      <c r="G89" s="23"/>
      <c r="H89" s="23"/>
      <c r="I89" s="23"/>
      <c r="J89" s="23"/>
      <c r="K89" s="23"/>
      <c r="L89" s="23"/>
      <c r="M89" s="23"/>
      <c r="N89" s="23"/>
      <c r="O89" s="24"/>
      <c r="P89" s="24"/>
      <c r="Q89" s="24"/>
      <c r="R89" s="24"/>
      <c r="S89" s="24"/>
      <c r="T89" s="24"/>
      <c r="U89" s="24"/>
      <c r="V89" s="24"/>
      <c r="W89" s="24"/>
      <c r="X89" s="24"/>
      <c r="Y89" s="24"/>
      <c r="Z89" s="24"/>
      <c r="AA89" s="24"/>
      <c r="AB89" s="24"/>
      <c r="AC89" s="24"/>
      <c r="AD89" s="24"/>
      <c r="AE89" s="33"/>
      <c r="AH89">
        <f>HLOOKUP(AI89,$AP$1:$AV$2,2,0)</f>
        <v>2</v>
      </c>
      <c r="AI89" t="str">
        <f>Translate!$A$106</f>
        <v>Freight</v>
      </c>
      <c r="AJ89" s="49">
        <f>AC88</f>
        <v>0</v>
      </c>
      <c r="AL89" s="379">
        <f>VLOOKUP(T88,EFtable,8,0)*AC88</f>
        <v>0</v>
      </c>
      <c r="AO89" s="49">
        <f>AJ89</f>
        <v>0</v>
      </c>
    </row>
    <row r="90" spans="1:41" ht="8.1" customHeight="1">
      <c r="A90" s="1"/>
      <c r="C90" s="34"/>
      <c r="D90" s="35"/>
      <c r="E90" s="35"/>
      <c r="F90" s="35"/>
      <c r="G90" s="35"/>
      <c r="H90" s="35"/>
      <c r="I90" s="35"/>
      <c r="J90" s="35"/>
      <c r="K90" s="35"/>
      <c r="L90" s="35"/>
      <c r="M90" s="35"/>
      <c r="N90" s="35"/>
      <c r="O90" s="36"/>
      <c r="P90" s="36"/>
      <c r="Q90" s="36"/>
      <c r="R90" s="36"/>
      <c r="S90" s="36"/>
      <c r="T90" s="36"/>
      <c r="U90" s="36"/>
      <c r="V90" s="36"/>
      <c r="W90" s="36"/>
      <c r="X90" s="36"/>
      <c r="Y90" s="36"/>
      <c r="Z90" s="36"/>
      <c r="AA90" s="36"/>
      <c r="AB90" s="36"/>
      <c r="AC90" s="36"/>
      <c r="AD90" s="36"/>
      <c r="AE90" s="37"/>
      <c r="AL90" s="49"/>
    </row>
    <row r="91" spans="1:41">
      <c r="A91" s="1"/>
      <c r="AL91" s="49"/>
    </row>
    <row r="92" spans="1:41" ht="8.1" customHeight="1">
      <c r="A92" s="1"/>
      <c r="C92" s="27"/>
      <c r="D92" s="29"/>
      <c r="E92" s="29"/>
      <c r="F92" s="29"/>
      <c r="G92" s="29"/>
      <c r="H92" s="29"/>
      <c r="I92" s="29"/>
      <c r="J92" s="29"/>
      <c r="K92" s="29"/>
      <c r="L92" s="29"/>
      <c r="M92" s="29"/>
      <c r="N92" s="29"/>
      <c r="O92" s="30"/>
      <c r="P92" s="30"/>
      <c r="Q92" s="30"/>
      <c r="R92" s="30"/>
      <c r="S92" s="30"/>
      <c r="T92" s="30"/>
      <c r="U92" s="30"/>
      <c r="V92" s="30"/>
      <c r="W92" s="30"/>
      <c r="X92" s="30"/>
      <c r="Y92" s="30"/>
      <c r="Z92" s="30"/>
      <c r="AA92" s="30"/>
      <c r="AB92" s="30"/>
      <c r="AC92" s="30"/>
      <c r="AD92" s="30"/>
      <c r="AE92" s="31"/>
      <c r="AL92" s="49"/>
    </row>
    <row r="93" spans="1:41" ht="15.75">
      <c r="A93" s="1"/>
      <c r="B93" s="551" t="s">
        <v>316</v>
      </c>
      <c r="C93" s="32"/>
      <c r="D93" s="468" t="str">
        <f>Translate!$A$194</f>
        <v>Steel tubes</v>
      </c>
      <c r="E93" s="477"/>
      <c r="F93" s="7" t="str">
        <f>VLOOKUP(D93,EFtable,2,0)</f>
        <v>t</v>
      </c>
      <c r="G93" s="23"/>
      <c r="H93" s="23"/>
      <c r="I93" s="25">
        <f>E93</f>
        <v>0</v>
      </c>
      <c r="J93" s="21" t="str">
        <f>F93</f>
        <v>t</v>
      </c>
      <c r="K93" s="38">
        <f>IF(ISERROR(E94*1),VLOOKUP(D93,EFtable,3,0),VLOOKUP(D93,EFtable,3,0)*(1-E94)+VLOOKUP(D93&amp;Translate!$A$199,EFtable,3,0)*E94)</f>
        <v>1923.1000000000001</v>
      </c>
      <c r="L93" s="25">
        <f>IF(F94=Translate!$A$111,0,I93*K93)</f>
        <v>0</v>
      </c>
      <c r="M93" s="21" t="str">
        <f>Translate!$A$102</f>
        <v>kgCO2e</v>
      </c>
      <c r="N93" s="23"/>
      <c r="O93" s="24"/>
      <c r="P93" s="19" t="str">
        <f>Translate!$A$112</f>
        <v>Distance</v>
      </c>
      <c r="Q93" s="470"/>
      <c r="R93" s="20" t="str">
        <f>'Emission factors'!$F$410</f>
        <v>km</v>
      </c>
      <c r="S93" s="19" t="str">
        <f>Translate!$A$120</f>
        <v>Type</v>
      </c>
      <c r="T93" s="657" t="str">
        <f>IF(ISERROR(VLOOKUP(D92,StandardFreight,2,0)),VLOOKUP(Translate!$A$118,StandardFreight,2,0),VLOOKUP(D92,StandardFreight,2,0))</f>
        <v>Road - Articulated &gt;33t</v>
      </c>
      <c r="U93" s="19" t="str">
        <f>Translate!$A$127</f>
        <v>Load</v>
      </c>
      <c r="V93" s="478">
        <f>VLOOKUP(T93,FreightLoadFactors,2,0)</f>
        <v>15</v>
      </c>
      <c r="W93" s="20" t="str">
        <f>J93</f>
        <v>t</v>
      </c>
      <c r="X93" s="471">
        <f>IF(V93=0,0,ROUNDUP(I93/V93,0))</f>
        <v>0</v>
      </c>
      <c r="Y93" s="20" t="str">
        <f>Translate!$A$130</f>
        <v>travels</v>
      </c>
      <c r="Z93" s="39" t="str">
        <f>Translate!$A$128</f>
        <v>empty-return rate</v>
      </c>
      <c r="AA93" s="472">
        <v>0.5</v>
      </c>
      <c r="AB93" s="48">
        <f>VLOOKUP(T93,EFtable,3,0)</f>
        <v>0.93694</v>
      </c>
      <c r="AC93" s="46">
        <f>Q93*X93*(1+AA93)*AB93</f>
        <v>0</v>
      </c>
      <c r="AD93" s="47" t="str">
        <f>Translate!$A$102</f>
        <v>kgCO2e</v>
      </c>
      <c r="AE93" s="33"/>
      <c r="AH93">
        <f>HLOOKUP(AI93,$AP$1:$AV$2,2,0)</f>
        <v>2</v>
      </c>
      <c r="AI93" t="str">
        <f>Translate!$A$104</f>
        <v>Materials</v>
      </c>
      <c r="AJ93" s="49">
        <f>L93</f>
        <v>0</v>
      </c>
      <c r="AK93" s="372" t="str">
        <f>VLOOKUP(D93,EFtable,7,0)</f>
        <v>Steel</v>
      </c>
      <c r="AL93" s="379">
        <f>VLOOKUP(D93,EFtable,8,0)*L93</f>
        <v>0</v>
      </c>
      <c r="AN93">
        <f>ROW(F95)-ROW(F92)</f>
        <v>3</v>
      </c>
      <c r="AO93" s="49">
        <f>AJ93</f>
        <v>0</v>
      </c>
    </row>
    <row r="94" spans="1:41">
      <c r="A94" s="1"/>
      <c r="C94" s="32"/>
      <c r="D94" s="336" t="str">
        <f>Translate!$A$79</f>
        <v>Recycled content</v>
      </c>
      <c r="E94" s="476">
        <f>IF(ISERROR(VLOOKUP(D93,RecycledContent,2,0)),Translate!$A$90,VLOOKUP(D93,RecycledContent,2,0))</f>
        <v>0.41</v>
      </c>
      <c r="F94" s="469" t="str">
        <f>Translate!$A$478</f>
        <v>-new or recycled-</v>
      </c>
      <c r="G94" s="23"/>
      <c r="H94" s="23"/>
      <c r="I94" s="23"/>
      <c r="J94" s="23"/>
      <c r="K94" s="23"/>
      <c r="L94" s="23"/>
      <c r="M94" s="23"/>
      <c r="N94" s="23"/>
      <c r="O94" s="24"/>
      <c r="P94" s="24"/>
      <c r="Q94" s="24"/>
      <c r="R94" s="24"/>
      <c r="S94" s="24"/>
      <c r="T94" s="24"/>
      <c r="U94" s="24"/>
      <c r="V94" s="24"/>
      <c r="W94" s="24"/>
      <c r="X94" s="24"/>
      <c r="Y94" s="24"/>
      <c r="Z94" s="24"/>
      <c r="AA94" s="24"/>
      <c r="AB94" s="24"/>
      <c r="AC94" s="24"/>
      <c r="AD94" s="24"/>
      <c r="AE94" s="33"/>
      <c r="AH94">
        <f>HLOOKUP(AI94,$AP$1:$AV$2,2,0)</f>
        <v>2</v>
      </c>
      <c r="AI94" t="str">
        <f>Translate!$A$106</f>
        <v>Freight</v>
      </c>
      <c r="AJ94" s="49">
        <f>AC93</f>
        <v>0</v>
      </c>
      <c r="AL94" s="379">
        <f>VLOOKUP(T93,EFtable,8,0)*AC93</f>
        <v>0</v>
      </c>
      <c r="AO94" s="49">
        <f>AJ94</f>
        <v>0</v>
      </c>
    </row>
    <row r="95" spans="1:41" ht="8.1" customHeight="1">
      <c r="A95" s="1"/>
      <c r="C95" s="34"/>
      <c r="D95" s="35"/>
      <c r="E95" s="35"/>
      <c r="F95" s="35"/>
      <c r="G95" s="35"/>
      <c r="H95" s="35"/>
      <c r="I95" s="35"/>
      <c r="J95" s="35"/>
      <c r="K95" s="35"/>
      <c r="L95" s="35"/>
      <c r="M95" s="35"/>
      <c r="N95" s="35"/>
      <c r="O95" s="36"/>
      <c r="P95" s="36"/>
      <c r="Q95" s="36"/>
      <c r="R95" s="36"/>
      <c r="S95" s="36"/>
      <c r="T95" s="36"/>
      <c r="U95" s="36"/>
      <c r="V95" s="36"/>
      <c r="W95" s="36"/>
      <c r="X95" s="36"/>
      <c r="Y95" s="36"/>
      <c r="Z95" s="36"/>
      <c r="AA95" s="36"/>
      <c r="AB95" s="36"/>
      <c r="AC95" s="36"/>
      <c r="AD95" s="36"/>
      <c r="AE95" s="37"/>
      <c r="AL95" s="49"/>
    </row>
    <row r="96" spans="1:41">
      <c r="A96" s="1"/>
      <c r="AL96" s="49"/>
    </row>
    <row r="97" spans="1:45" ht="8.1" customHeight="1">
      <c r="A97" s="1"/>
      <c r="C97" s="27"/>
      <c r="D97" s="29"/>
      <c r="E97" s="29"/>
      <c r="F97" s="29"/>
      <c r="G97" s="29"/>
      <c r="H97" s="29"/>
      <c r="I97" s="29"/>
      <c r="J97" s="29"/>
      <c r="K97" s="29"/>
      <c r="L97" s="29"/>
      <c r="M97" s="29"/>
      <c r="N97" s="29"/>
      <c r="O97" s="30"/>
      <c r="P97" s="30"/>
      <c r="Q97" s="30"/>
      <c r="R97" s="30"/>
      <c r="S97" s="30"/>
      <c r="T97" s="30"/>
      <c r="U97" s="30"/>
      <c r="V97" s="30"/>
      <c r="W97" s="30"/>
      <c r="X97" s="30"/>
      <c r="Y97" s="30"/>
      <c r="Z97" s="30"/>
      <c r="AA97" s="30"/>
      <c r="AB97" s="30"/>
      <c r="AC97" s="30"/>
      <c r="AD97" s="30"/>
      <c r="AE97" s="31"/>
      <c r="AL97" s="49"/>
    </row>
    <row r="98" spans="1:45" ht="15.75">
      <c r="A98" s="1"/>
      <c r="B98" s="551" t="s">
        <v>316</v>
      </c>
      <c r="C98" s="32"/>
      <c r="D98" s="468" t="str">
        <f>Translate!$A$179</f>
        <v>Calcium chloride</v>
      </c>
      <c r="E98" s="477"/>
      <c r="F98" s="7" t="str">
        <f>VLOOKUP(D98,EFtable,2,0)</f>
        <v>t</v>
      </c>
      <c r="G98" s="23"/>
      <c r="H98" s="23"/>
      <c r="I98" s="25">
        <f>E98</f>
        <v>0</v>
      </c>
      <c r="J98" s="21" t="str">
        <f>F98</f>
        <v>t</v>
      </c>
      <c r="K98" s="38">
        <f>IF(ISERROR(E99*1),VLOOKUP(D98,EFtable,3,0),VLOOKUP(D98,EFtable,3,0)*(1-E99)+VLOOKUP(D98&amp;Translate!$A$199,EFtable,3,0)*E99)</f>
        <v>493.43257</v>
      </c>
      <c r="L98" s="25">
        <f>IF(F99=Translate!$A$111,0,I98*K98)</f>
        <v>0</v>
      </c>
      <c r="M98" s="21" t="str">
        <f>Translate!$A$102</f>
        <v>kgCO2e</v>
      </c>
      <c r="N98" s="23"/>
      <c r="O98" s="24"/>
      <c r="P98" s="19" t="str">
        <f>Translate!$A$112</f>
        <v>Distance</v>
      </c>
      <c r="Q98" s="470"/>
      <c r="R98" s="20" t="str">
        <f>'Emission factors'!$F$410</f>
        <v>km</v>
      </c>
      <c r="S98" s="19" t="str">
        <f>Translate!$A$120</f>
        <v>Type</v>
      </c>
      <c r="T98" s="657" t="str">
        <f>IF(ISERROR(VLOOKUP(D97,StandardFreight,2,0)),VLOOKUP(Translate!$A$118,StandardFreight,2,0),VLOOKUP(D97,StandardFreight,2,0))</f>
        <v>Road - Articulated &gt;33t</v>
      </c>
      <c r="U98" s="19" t="str">
        <f>Translate!$A$127</f>
        <v>Load</v>
      </c>
      <c r="V98" s="478">
        <f>VLOOKUP(T98,FreightLoadFactors,2,0)</f>
        <v>15</v>
      </c>
      <c r="W98" s="20" t="str">
        <f>J98</f>
        <v>t</v>
      </c>
      <c r="X98" s="471">
        <f>IF(V98=0,0,ROUNDUP(I98/V98,0))</f>
        <v>0</v>
      </c>
      <c r="Y98" s="20" t="str">
        <f>Translate!$A$130</f>
        <v>travels</v>
      </c>
      <c r="Z98" s="39" t="str">
        <f>Translate!$A$128</f>
        <v>empty-return rate</v>
      </c>
      <c r="AA98" s="472">
        <v>0.5</v>
      </c>
      <c r="AB98" s="48">
        <f>VLOOKUP(T98,EFtable,3,0)</f>
        <v>0.93694</v>
      </c>
      <c r="AC98" s="46">
        <f>Q98*X98*(1+AA98)*AB98</f>
        <v>0</v>
      </c>
      <c r="AD98" s="47" t="str">
        <f>Translate!$A$102</f>
        <v>kgCO2e</v>
      </c>
      <c r="AE98" s="33"/>
      <c r="AH98">
        <f>HLOOKUP(AI98,$AP$1:$AV$2,2,0)</f>
        <v>2</v>
      </c>
      <c r="AI98" t="str">
        <f>Translate!$A$104</f>
        <v>Materials</v>
      </c>
      <c r="AJ98" s="49">
        <f>L98</f>
        <v>0</v>
      </c>
      <c r="AK98" s="372" t="str">
        <f>VLOOKUP(D98,EFtable,7,0)</f>
        <v>Other</v>
      </c>
      <c r="AL98" s="379">
        <f>VLOOKUP(D98,EFtable,8,0)*L98</f>
        <v>0</v>
      </c>
      <c r="AN98">
        <f>ROW(F100)-ROW(F97)</f>
        <v>3</v>
      </c>
      <c r="AO98" s="49">
        <f>AJ98</f>
        <v>0</v>
      </c>
    </row>
    <row r="99" spans="1:45">
      <c r="A99" s="1"/>
      <c r="C99" s="32"/>
      <c r="D99" s="336" t="str">
        <f>Translate!$A$79</f>
        <v>Recycled content</v>
      </c>
      <c r="E99" s="476" t="str">
        <f>IF(ISERROR(VLOOKUP(D98,RecycledContent,2,0)),Translate!$A$90,VLOOKUP(D98,RecycledContent,2,0))</f>
        <v>do not apply</v>
      </c>
      <c r="F99" s="469" t="str">
        <f>Translate!$A$478</f>
        <v>-new or recycled-</v>
      </c>
      <c r="G99" s="23"/>
      <c r="H99" s="23"/>
      <c r="I99" s="23"/>
      <c r="J99" s="23"/>
      <c r="K99" s="23"/>
      <c r="L99" s="23"/>
      <c r="M99" s="23"/>
      <c r="N99" s="23"/>
      <c r="O99" s="24"/>
      <c r="P99" s="24"/>
      <c r="Q99" s="24"/>
      <c r="R99" s="24"/>
      <c r="S99" s="24"/>
      <c r="T99" s="24"/>
      <c r="U99" s="24"/>
      <c r="V99" s="24"/>
      <c r="W99" s="24"/>
      <c r="X99" s="24"/>
      <c r="Y99" s="24"/>
      <c r="Z99" s="24"/>
      <c r="AA99" s="24"/>
      <c r="AB99" s="24"/>
      <c r="AC99" s="24"/>
      <c r="AD99" s="24"/>
      <c r="AE99" s="33"/>
      <c r="AH99">
        <f>HLOOKUP(AI99,$AP$1:$AV$2,2,0)</f>
        <v>2</v>
      </c>
      <c r="AI99" t="str">
        <f>Translate!$A$106</f>
        <v>Freight</v>
      </c>
      <c r="AJ99" s="49">
        <f>AC98</f>
        <v>0</v>
      </c>
      <c r="AL99" s="379">
        <f>VLOOKUP(T98,EFtable,8,0)*AC98</f>
        <v>0</v>
      </c>
      <c r="AO99" s="49">
        <f>AJ99</f>
        <v>0</v>
      </c>
    </row>
    <row r="100" spans="1:45" ht="8.1" customHeight="1">
      <c r="A100" s="1"/>
      <c r="C100" s="34"/>
      <c r="D100" s="35"/>
      <c r="E100" s="35"/>
      <c r="F100" s="35"/>
      <c r="G100" s="35"/>
      <c r="H100" s="35"/>
      <c r="I100" s="35"/>
      <c r="J100" s="35"/>
      <c r="K100" s="35"/>
      <c r="L100" s="35"/>
      <c r="M100" s="35"/>
      <c r="N100" s="35"/>
      <c r="O100" s="36"/>
      <c r="P100" s="36"/>
      <c r="Q100" s="36"/>
      <c r="R100" s="36"/>
      <c r="S100" s="36"/>
      <c r="T100" s="36"/>
      <c r="U100" s="36"/>
      <c r="V100" s="36"/>
      <c r="W100" s="36"/>
      <c r="X100" s="36"/>
      <c r="Y100" s="36"/>
      <c r="Z100" s="36"/>
      <c r="AA100" s="36"/>
      <c r="AB100" s="36"/>
      <c r="AC100" s="36"/>
      <c r="AD100" s="36"/>
      <c r="AE100" s="37"/>
    </row>
    <row r="101" spans="1:45">
      <c r="A101" s="1"/>
    </row>
    <row r="102" spans="1:45">
      <c r="A102" s="1"/>
      <c r="C102" s="669"/>
      <c r="D102" s="670" t="str">
        <f>Translate!$A$73</f>
        <v>Concrete / Slurry / Grout mix</v>
      </c>
      <c r="E102" s="670"/>
      <c r="F102" s="670"/>
      <c r="G102" s="670"/>
      <c r="H102" s="670"/>
      <c r="I102" s="670"/>
      <c r="J102" s="670"/>
      <c r="K102" s="670"/>
      <c r="L102" s="670"/>
      <c r="M102" s="670"/>
      <c r="N102" s="670"/>
      <c r="O102" s="30"/>
      <c r="P102" s="30"/>
      <c r="Q102" s="30"/>
      <c r="R102" s="30"/>
      <c r="S102" s="30"/>
      <c r="T102" s="30"/>
      <c r="U102" s="30"/>
      <c r="V102" s="30"/>
      <c r="W102" s="30"/>
      <c r="X102" s="30"/>
      <c r="Y102" s="30"/>
      <c r="Z102" s="30"/>
      <c r="AA102" s="30"/>
      <c r="AB102" s="30"/>
      <c r="AC102" s="30"/>
      <c r="AD102" s="30"/>
      <c r="AE102" s="31"/>
    </row>
    <row r="103" spans="1:45">
      <c r="A103" s="1"/>
      <c r="B103" s="551" t="s">
        <v>316</v>
      </c>
      <c r="C103" s="463"/>
      <c r="D103" s="23"/>
      <c r="E103" s="23"/>
      <c r="F103" s="23"/>
      <c r="G103" s="23"/>
      <c r="H103" s="23"/>
      <c r="I103" s="23"/>
      <c r="J103" s="23"/>
      <c r="K103" s="23"/>
      <c r="L103" s="23"/>
      <c r="M103" s="23"/>
      <c r="N103" s="23"/>
      <c r="O103" s="24"/>
      <c r="P103" s="24"/>
      <c r="Q103" s="24"/>
      <c r="R103" s="24"/>
      <c r="S103" s="24"/>
      <c r="T103" s="24"/>
      <c r="U103" s="24"/>
      <c r="V103" s="24"/>
      <c r="W103" s="24"/>
      <c r="X103" s="24"/>
      <c r="Y103" s="24"/>
      <c r="Z103" s="24"/>
      <c r="AA103" s="24"/>
      <c r="AB103" s="24"/>
      <c r="AC103" s="24"/>
      <c r="AD103" s="24"/>
      <c r="AE103" s="33"/>
      <c r="AN103">
        <f>ROW(F126)-ROW(F102)</f>
        <v>24</v>
      </c>
    </row>
    <row r="104" spans="1:45" ht="15.75">
      <c r="A104" s="1"/>
      <c r="C104" s="463"/>
      <c r="D104" s="10" t="str">
        <f>Translate!$A$47</f>
        <v>Name</v>
      </c>
      <c r="E104" s="465" t="str">
        <f>Translate!$A$88</f>
        <v>Default concrete</v>
      </c>
      <c r="F104" s="23"/>
      <c r="G104" s="23"/>
      <c r="H104" s="23"/>
      <c r="I104" s="23"/>
      <c r="J104" s="23"/>
      <c r="K104" s="23"/>
      <c r="L104" s="613" t="str">
        <f>Translate!$A$475</f>
        <v>made at plant</v>
      </c>
      <c r="M104" s="23">
        <f>IF(L104=Translate!$A$475,1,0)</f>
        <v>1</v>
      </c>
      <c r="N104" s="23"/>
      <c r="O104" s="24"/>
      <c r="P104" s="24"/>
      <c r="Q104" s="24"/>
      <c r="R104" s="24"/>
      <c r="S104" s="24"/>
      <c r="T104" s="24"/>
      <c r="U104" s="24"/>
      <c r="V104" s="24"/>
      <c r="W104" s="24"/>
      <c r="X104" s="24"/>
      <c r="Y104" s="24"/>
      <c r="Z104" s="24"/>
      <c r="AA104" s="24"/>
      <c r="AB104" s="24"/>
      <c r="AC104" s="24"/>
      <c r="AD104" s="24"/>
      <c r="AE104" s="33"/>
    </row>
    <row r="105" spans="1:45" ht="15.75">
      <c r="A105" s="1"/>
      <c r="C105" s="463"/>
      <c r="D105" s="10" t="str">
        <f>Translate!$A$74</f>
        <v>Quantity</v>
      </c>
      <c r="E105" s="465"/>
      <c r="F105" s="220" t="str">
        <f>'Emission factors'!$F$414</f>
        <v>m3</v>
      </c>
      <c r="G105" s="23"/>
      <c r="H105" s="23"/>
      <c r="I105" s="25">
        <f>E105</f>
        <v>0</v>
      </c>
      <c r="J105" s="21" t="str">
        <f>F105</f>
        <v>m3</v>
      </c>
      <c r="K105" s="23"/>
      <c r="L105" s="23"/>
      <c r="M105" s="23"/>
      <c r="N105" s="23"/>
      <c r="O105" s="24"/>
      <c r="P105" s="19" t="str">
        <f>Translate!$A$112</f>
        <v>Distance</v>
      </c>
      <c r="Q105" s="470">
        <f>IF(L104="made on site",0,20)</f>
        <v>20</v>
      </c>
      <c r="R105" s="20" t="str">
        <f>'Emission factors'!$F$410</f>
        <v>km</v>
      </c>
      <c r="S105" s="19" t="str">
        <f>Translate!$A$120</f>
        <v>Type</v>
      </c>
      <c r="T105" s="471" t="str">
        <f>Translate!$A$206</f>
        <v>Road - Rigid &gt;17t</v>
      </c>
      <c r="U105" s="19" t="str">
        <f>Translate!$A$127</f>
        <v>Load</v>
      </c>
      <c r="V105" s="471">
        <f>'Emission factors'!$D$311</f>
        <v>8</v>
      </c>
      <c r="W105" s="20" t="str">
        <f>J105</f>
        <v>m3</v>
      </c>
      <c r="X105" s="471">
        <f>IF(V105=0,0,ROUNDUP(I105/V105,0))</f>
        <v>0</v>
      </c>
      <c r="Y105" s="20" t="str">
        <f>Translate!$A$130</f>
        <v>travels</v>
      </c>
      <c r="Z105" s="39" t="str">
        <f>Translate!$A$128</f>
        <v>empty-return rate</v>
      </c>
      <c r="AA105" s="472">
        <v>1</v>
      </c>
      <c r="AB105" s="48">
        <f>VLOOKUP(T105,EFtable,3,0)</f>
        <v>0.98243999999999998</v>
      </c>
      <c r="AC105" s="46">
        <f>Q105*X105*(1+AA105)*AB105</f>
        <v>0</v>
      </c>
      <c r="AD105" s="47" t="str">
        <f>Translate!$A$102</f>
        <v>kgCO2e</v>
      </c>
      <c r="AE105" s="33"/>
      <c r="AJ105" s="49"/>
      <c r="AM105" s="463">
        <v>0</v>
      </c>
    </row>
    <row r="106" spans="1:45">
      <c r="A106" s="1"/>
      <c r="C106" s="463"/>
      <c r="D106" s="23"/>
      <c r="E106" s="23"/>
      <c r="F106" s="23"/>
      <c r="G106" s="23"/>
      <c r="H106" s="23"/>
      <c r="I106" s="23"/>
      <c r="J106" s="23"/>
      <c r="K106" s="23"/>
      <c r="L106" s="23"/>
      <c r="M106" s="23"/>
      <c r="N106" s="23"/>
      <c r="O106" s="24"/>
      <c r="P106" s="24"/>
      <c r="Q106" s="24"/>
      <c r="R106" s="24"/>
      <c r="S106" s="24"/>
      <c r="T106" s="24"/>
      <c r="U106" s="24"/>
      <c r="V106" s="24"/>
      <c r="W106" s="24"/>
      <c r="X106" s="24"/>
      <c r="Y106" s="24"/>
      <c r="Z106" s="24"/>
      <c r="AA106" s="24"/>
      <c r="AB106" s="24"/>
      <c r="AC106" s="24"/>
      <c r="AD106" s="24"/>
      <c r="AE106" s="33"/>
      <c r="AH106">
        <f>HLOOKUP(AI106,$AP$1:$AV$2,2,0)</f>
        <v>2</v>
      </c>
      <c r="AI106" t="str">
        <f>Translate!$A$106</f>
        <v>Freight</v>
      </c>
      <c r="AJ106" s="49">
        <f>AC105</f>
        <v>0</v>
      </c>
      <c r="AL106" s="379">
        <f>VLOOKUP(T105,EFtable,8,0)*AC105</f>
        <v>0</v>
      </c>
      <c r="AM106" s="463">
        <f ca="1">1+OFFSET(AM106,-1,0)</f>
        <v>1</v>
      </c>
      <c r="AO106" s="49">
        <f>AJ106</f>
        <v>0</v>
      </c>
    </row>
    <row r="107" spans="1:45" ht="15.75">
      <c r="A107" s="1"/>
      <c r="C107" s="552" t="s">
        <v>316</v>
      </c>
      <c r="D107" s="10" t="str">
        <f>Translate!$A$75</f>
        <v>Cement</v>
      </c>
      <c r="E107" s="466" t="str">
        <f>Translate!$A$181</f>
        <v>CEM I</v>
      </c>
      <c r="F107" s="23"/>
      <c r="G107" s="23"/>
      <c r="H107" s="23"/>
      <c r="I107" s="23"/>
      <c r="J107" s="23"/>
      <c r="K107" s="23"/>
      <c r="L107" s="23"/>
      <c r="M107" s="23"/>
      <c r="N107" s="23"/>
      <c r="O107" s="24"/>
      <c r="P107" s="24"/>
      <c r="Q107" s="24"/>
      <c r="R107" s="24"/>
      <c r="S107" s="24"/>
      <c r="T107" s="24"/>
      <c r="U107" s="24"/>
      <c r="V107" s="24"/>
      <c r="W107" s="24"/>
      <c r="X107" s="24"/>
      <c r="Y107" s="24"/>
      <c r="Z107" s="24"/>
      <c r="AA107" s="24"/>
      <c r="AB107" s="24"/>
      <c r="AC107" s="24"/>
      <c r="AD107" s="24"/>
      <c r="AE107" s="33"/>
      <c r="AL107" s="49"/>
      <c r="AM107" s="463">
        <f t="shared" ref="AM107:AM126" ca="1" si="10">1+OFFSET(AM107,-1,0)</f>
        <v>2</v>
      </c>
      <c r="AN107">
        <f>ROW(F111)-ROW(F107)</f>
        <v>4</v>
      </c>
    </row>
    <row r="108" spans="1:45">
      <c r="A108" s="1"/>
      <c r="C108" s="463"/>
      <c r="D108" s="9" t="str">
        <f>Translate!$A$76</f>
        <v>Total cementitious content</v>
      </c>
      <c r="E108" s="466">
        <f>VLOOKUP($E$6,DefaultConcrete,3,0)</f>
        <v>400</v>
      </c>
      <c r="F108" s="220" t="str">
        <f ca="1">OFFSET(AS108,-AM108+6,0)</f>
        <v>kg/m3</v>
      </c>
      <c r="G108" s="23"/>
      <c r="H108" s="23"/>
      <c r="I108" s="23"/>
      <c r="J108" s="23"/>
      <c r="K108" s="23"/>
      <c r="L108" s="23"/>
      <c r="M108" s="23"/>
      <c r="N108" s="23"/>
      <c r="O108" s="24"/>
      <c r="P108" s="19" t="str">
        <f>Translate!$A$112</f>
        <v>Distance</v>
      </c>
      <c r="Q108" s="470">
        <f>IF(ISERROR(VLOOKUP(D107,StandardFreight,3,0)),VLOOKUP(Translate!$A$118,StandardFreight,3,0),VLOOKUP(D107,StandardFreight,3,0))</f>
        <v>20</v>
      </c>
      <c r="R108" s="20" t="str">
        <f>'Emission factors'!$F$410</f>
        <v>km</v>
      </c>
      <c r="S108" s="19" t="str">
        <f>Translate!$A$120</f>
        <v>Type</v>
      </c>
      <c r="T108" s="473" t="str">
        <f>IF(ISERROR(VLOOKUP(D107,StandardFreight,2,0)),VLOOKUP("Other",StandardFreight,2,0),VLOOKUP(D107,StandardFreight,2,0))</f>
        <v>Road - Rigid &gt;17t</v>
      </c>
      <c r="U108" s="19" t="str">
        <f>Translate!$A$127</f>
        <v>Load</v>
      </c>
      <c r="V108" s="471">
        <f>VLOOKUP(T108,FreightLoadFactors,2,0)</f>
        <v>7.5</v>
      </c>
      <c r="W108" s="20" t="str">
        <f>J111</f>
        <v>t</v>
      </c>
      <c r="X108" s="471">
        <f ca="1">IF(V108=0,0,ROUNDUP(I111/V108,0))</f>
        <v>0</v>
      </c>
      <c r="Y108" s="20" t="str">
        <f>Translate!$A$130</f>
        <v>travels</v>
      </c>
      <c r="Z108" s="39" t="str">
        <f>Translate!$A$128</f>
        <v>empty-return rate</v>
      </c>
      <c r="AA108" s="472">
        <v>1</v>
      </c>
      <c r="AB108" s="474">
        <f>VLOOKUP(T108,EFtable,3,0)</f>
        <v>0.98243999999999998</v>
      </c>
      <c r="AC108" s="475">
        <f ca="1">Q108*X108*(1+AA108)*AB108</f>
        <v>0</v>
      </c>
      <c r="AD108" s="47" t="str">
        <f>Translate!$A$102</f>
        <v>kgCO2e</v>
      </c>
      <c r="AE108" s="33"/>
      <c r="AH108">
        <f>HLOOKUP(AI108,$AP$1:$AV$2,2,0)</f>
        <v>2</v>
      </c>
      <c r="AI108" t="str">
        <f>Translate!$A$104</f>
        <v>Materials</v>
      </c>
      <c r="AJ108" s="49">
        <f ca="1">L111</f>
        <v>0</v>
      </c>
      <c r="AK108" s="372" t="str">
        <f>Translate!$A$73</f>
        <v>Concrete / Slurry / Grout mix</v>
      </c>
      <c r="AL108" s="379">
        <f ca="1">VLOOKUP("CEM I",EFtable,8,0)*L111</f>
        <v>0</v>
      </c>
      <c r="AM108" s="463">
        <f t="shared" ca="1" si="10"/>
        <v>3</v>
      </c>
      <c r="AO108" s="49">
        <f ca="1">AJ108</f>
        <v>0</v>
      </c>
    </row>
    <row r="109" spans="1:45">
      <c r="A109" s="1"/>
      <c r="C109" s="463"/>
      <c r="D109" s="4" t="str">
        <f>Translate!$A$77</f>
        <v>Secondary constituent</v>
      </c>
      <c r="E109" s="5" t="str">
        <f>VLOOKUP(E107,'Emission factors'!$C$286:$M$294,2,0)</f>
        <v>-</v>
      </c>
      <c r="F109" s="23"/>
      <c r="G109" s="23"/>
      <c r="H109" s="23"/>
      <c r="I109" s="23"/>
      <c r="J109" s="23"/>
      <c r="K109" s="23"/>
      <c r="L109" s="23"/>
      <c r="M109" s="23"/>
      <c r="N109" s="23"/>
      <c r="O109" s="24"/>
      <c r="P109" s="24"/>
      <c r="Q109" s="24"/>
      <c r="R109" s="24"/>
      <c r="S109" s="24"/>
      <c r="T109" s="456"/>
      <c r="U109" s="24"/>
      <c r="V109" s="24"/>
      <c r="W109" s="24"/>
      <c r="X109" s="24"/>
      <c r="Y109" s="24"/>
      <c r="Z109" s="24"/>
      <c r="AA109" s="24"/>
      <c r="AB109" s="24"/>
      <c r="AC109" s="24"/>
      <c r="AD109" s="24"/>
      <c r="AE109" s="33"/>
      <c r="AH109">
        <f>HLOOKUP(AI109,$AP$1:$AV$2,2,0)</f>
        <v>2</v>
      </c>
      <c r="AI109" t="str">
        <f>Translate!$A$106</f>
        <v>Freight</v>
      </c>
      <c r="AJ109" s="49">
        <f ca="1">AC108</f>
        <v>0</v>
      </c>
      <c r="AL109" s="379">
        <f ca="1">VLOOKUP(T108,EFtable,8,0)*AC108</f>
        <v>0</v>
      </c>
      <c r="AM109" s="463">
        <f t="shared" ca="1" si="10"/>
        <v>4</v>
      </c>
      <c r="AO109" s="49">
        <f ca="1">AJ109</f>
        <v>0</v>
      </c>
    </row>
    <row r="110" spans="1:45" ht="15" customHeight="1">
      <c r="A110" s="1"/>
      <c r="C110" s="463"/>
      <c r="D110" s="785" t="str">
        <f>Translate!$A$78</f>
        <v>Secondary constituent content</v>
      </c>
      <c r="E110" s="4" t="str">
        <f>Translate!$A$89</f>
        <v>Default value</v>
      </c>
      <c r="F110" s="4" t="str">
        <f>Translate!$A$97</f>
        <v>Real Value</v>
      </c>
      <c r="G110" s="23"/>
      <c r="H110" s="23"/>
      <c r="I110" s="23"/>
      <c r="J110" s="23"/>
      <c r="K110" s="23"/>
      <c r="L110" s="23"/>
      <c r="M110" s="23"/>
      <c r="N110" s="23"/>
      <c r="O110" s="24"/>
      <c r="P110" s="24"/>
      <c r="Q110" s="24"/>
      <c r="R110" s="24"/>
      <c r="S110" s="24"/>
      <c r="T110" s="456"/>
      <c r="U110" s="24"/>
      <c r="V110" s="24"/>
      <c r="W110" s="24"/>
      <c r="X110" s="24"/>
      <c r="Y110" s="24"/>
      <c r="Z110" s="24"/>
      <c r="AA110" s="24"/>
      <c r="AB110" s="24"/>
      <c r="AC110" s="24"/>
      <c r="AD110" s="24"/>
      <c r="AE110" s="33"/>
      <c r="AL110" s="49"/>
      <c r="AM110" s="463">
        <f t="shared" ca="1" si="10"/>
        <v>5</v>
      </c>
      <c r="AS110" s="95" t="str">
        <f>'Emission factors'!$F$411</f>
        <v>t</v>
      </c>
    </row>
    <row r="111" spans="1:45">
      <c r="A111" s="1"/>
      <c r="C111" s="463"/>
      <c r="D111" s="786"/>
      <c r="E111" s="6">
        <f>IF(F111="",VLOOKUP(E107,CementTypes,5,0),"")</f>
        <v>0</v>
      </c>
      <c r="F111" s="467"/>
      <c r="G111" s="23"/>
      <c r="H111" s="23"/>
      <c r="I111" s="25">
        <f ca="1">IF(F108=OFFSET(AS111,-AM111+6,0),E108*OFFSET(E111,-AM111,0)/IF(J111='Emission factors'!$E$411,1,1000),E108)</f>
        <v>0</v>
      </c>
      <c r="J111" s="21" t="str">
        <f>'Emission factors'!$F$411</f>
        <v>t</v>
      </c>
      <c r="K111" s="7">
        <f>IF(E107="CEM I",VLOOKUP(E107,EFtable,3,0),(IF(F111="",E111,F111)*VLOOKUP(E109,EFtable,3,0)+(1-IF(F111="",E111,F111))*VLOOKUP("CEM I",EFtable,3,0)))</f>
        <v>860</v>
      </c>
      <c r="L111" s="25">
        <f ca="1">I111*K111</f>
        <v>0</v>
      </c>
      <c r="M111" s="21" t="str">
        <f>Translate!$A$102</f>
        <v>kgCO2e</v>
      </c>
      <c r="N111" s="23"/>
      <c r="O111" s="24"/>
      <c r="P111" s="24"/>
      <c r="Q111" s="24"/>
      <c r="R111" s="24"/>
      <c r="S111" s="24"/>
      <c r="T111" s="456"/>
      <c r="U111" s="24"/>
      <c r="V111" s="24"/>
      <c r="W111" s="24"/>
      <c r="X111" s="24"/>
      <c r="Y111" s="24"/>
      <c r="Z111" s="24"/>
      <c r="AA111" s="24"/>
      <c r="AB111" s="24"/>
      <c r="AC111" s="24"/>
      <c r="AD111" s="24"/>
      <c r="AE111" s="33"/>
      <c r="AL111" s="49"/>
      <c r="AM111" s="463">
        <f t="shared" ca="1" si="10"/>
        <v>6</v>
      </c>
      <c r="AS111" s="95" t="str">
        <f>'Emission factors'!$F$413&amp;"/"&amp;F105</f>
        <v>kg/m3</v>
      </c>
    </row>
    <row r="112" spans="1:45" ht="15.75">
      <c r="A112" s="1"/>
      <c r="C112" s="463"/>
      <c r="D112" s="22"/>
      <c r="E112" s="23"/>
      <c r="F112" s="23"/>
      <c r="G112" s="23"/>
      <c r="H112" s="23"/>
      <c r="I112" s="23"/>
      <c r="J112" s="23"/>
      <c r="K112" s="23"/>
      <c r="L112" s="23"/>
      <c r="M112" s="23"/>
      <c r="N112" s="23"/>
      <c r="O112" s="24"/>
      <c r="P112" s="24"/>
      <c r="Q112" s="24"/>
      <c r="R112" s="24"/>
      <c r="S112" s="24"/>
      <c r="T112" s="456"/>
      <c r="U112" s="24"/>
      <c r="V112" s="24"/>
      <c r="W112" s="24"/>
      <c r="X112" s="24"/>
      <c r="Y112" s="24"/>
      <c r="Z112" s="24"/>
      <c r="AA112" s="24"/>
      <c r="AB112" s="24"/>
      <c r="AC112" s="24"/>
      <c r="AD112" s="24"/>
      <c r="AE112" s="33"/>
      <c r="AL112" s="49"/>
      <c r="AM112" s="463">
        <f t="shared" ca="1" si="10"/>
        <v>7</v>
      </c>
    </row>
    <row r="113" spans="1:41" ht="15.75">
      <c r="A113" s="1"/>
      <c r="C113" s="552" t="s">
        <v>316</v>
      </c>
      <c r="D113" s="468" t="str">
        <f>Translate!$A$177</f>
        <v>Aggregate</v>
      </c>
      <c r="E113" s="515">
        <f>IF(ISERROR(VLOOKUP($E$6,DefaultConcrete,HLOOKUP(D113,DefaultConcrete,2,0),0)),0,VLOOKUP($E$6,DefaultConcrete,HLOOKUP(D113,DefaultConcrete,2,0),0))</f>
        <v>900</v>
      </c>
      <c r="F113" s="220" t="str">
        <f ca="1">OFFSET(AS113,-AM113+6,0)</f>
        <v>kg/m3</v>
      </c>
      <c r="G113" s="23"/>
      <c r="H113" s="23"/>
      <c r="I113" s="25">
        <f ca="1">IF(F113=OFFSET(AS113,-AM113+6,0),E113*OFFSET(E113,-AM113,0)/IF(J113='Emission factors'!$E$411,1,1000),E113)</f>
        <v>0</v>
      </c>
      <c r="J113" s="21" t="str">
        <f>'Emission factors'!$F$411</f>
        <v>t</v>
      </c>
      <c r="K113" s="38">
        <f>IF(ISERROR(E114*1),VLOOKUP(D113,EFtable,3,0),VLOOKUP(D113,EFtable,3,0)*(1-E114)+VLOOKUP(D113&amp;Translate!$A$199,EFtable,3,0)*E114)</f>
        <v>4</v>
      </c>
      <c r="L113" s="25">
        <f ca="1">IF(F114=Translate!$A$111,0,I113*K113)</f>
        <v>0</v>
      </c>
      <c r="M113" s="21" t="str">
        <f>Translate!$A$102</f>
        <v>kgCO2e</v>
      </c>
      <c r="N113" s="23"/>
      <c r="O113" s="24"/>
      <c r="P113" s="19" t="str">
        <f>Translate!$A$112</f>
        <v>Distance</v>
      </c>
      <c r="Q113" s="470">
        <f>IF(ISERROR(VLOOKUP(D113,StandardFreight,3,0)),VLOOKUP(Translate!$A$118,StandardFreight,3,0),VLOOKUP(D113,StandardFreight,3,0))</f>
        <v>20</v>
      </c>
      <c r="R113" s="20" t="str">
        <f>'Emission factors'!$F$410</f>
        <v>km</v>
      </c>
      <c r="S113" s="19" t="str">
        <f>Translate!$A$120</f>
        <v>Type</v>
      </c>
      <c r="T113" s="473" t="str">
        <f>IF(ISERROR(VLOOKUP(D113,StandardFreight,2,0)),VLOOKUP("Other",StandardFreight,2,0),VLOOKUP(D113,StandardFreight,2,0))</f>
        <v>Road - Articulated &gt;33t</v>
      </c>
      <c r="U113" s="19" t="str">
        <f>Translate!$A$127</f>
        <v>Load</v>
      </c>
      <c r="V113" s="471">
        <f>VLOOKUP(T113,FreightLoadFactors,2,0)</f>
        <v>15</v>
      </c>
      <c r="W113" s="20" t="str">
        <f>J113</f>
        <v>t</v>
      </c>
      <c r="X113" s="471">
        <f ca="1">IF(V113=0,0,ROUNDUP(I113/V113,0))</f>
        <v>0</v>
      </c>
      <c r="Y113" s="20" t="str">
        <f>Translate!$A$130</f>
        <v>travels</v>
      </c>
      <c r="Z113" s="39" t="str">
        <f>Translate!$A$128</f>
        <v>empty-return rate</v>
      </c>
      <c r="AA113" s="472">
        <v>1</v>
      </c>
      <c r="AB113" s="474">
        <f>VLOOKUP(T113,EFtable,3,0)</f>
        <v>0.93694</v>
      </c>
      <c r="AC113" s="475">
        <f ca="1">Q113*X113*(1+AA113)*AB113</f>
        <v>0</v>
      </c>
      <c r="AD113" s="47" t="str">
        <f>Translate!$A$102</f>
        <v>kgCO2e</v>
      </c>
      <c r="AE113" s="33"/>
      <c r="AH113">
        <f>HLOOKUP(AI113,$AP$1:$AV$2,2,0)</f>
        <v>2</v>
      </c>
      <c r="AI113" t="str">
        <f>Translate!$A$104</f>
        <v>Materials</v>
      </c>
      <c r="AJ113" s="49">
        <f ca="1">L113</f>
        <v>0</v>
      </c>
      <c r="AK113" s="372" t="str">
        <f>VLOOKUP(D113,EFtable,7,0)</f>
        <v>Concrete / Slurry / Grout mix</v>
      </c>
      <c r="AL113" s="379">
        <f ca="1">VLOOKUP(D113,EFtable,8,0)*L113</f>
        <v>0</v>
      </c>
      <c r="AM113" s="463">
        <f t="shared" ca="1" si="10"/>
        <v>8</v>
      </c>
      <c r="AN113">
        <f>ROW(F114)-ROW(F113)</f>
        <v>1</v>
      </c>
      <c r="AO113" s="49">
        <f t="shared" ref="AO113:AO123" ca="1" si="11">AJ113</f>
        <v>0</v>
      </c>
    </row>
    <row r="114" spans="1:41">
      <c r="A114" s="1"/>
      <c r="C114" s="463"/>
      <c r="D114" s="336" t="str">
        <f>Translate!$A$79</f>
        <v>Recycled content</v>
      </c>
      <c r="E114" s="476" t="str">
        <f>IF(ISERROR(VLOOKUP(D113,RecycledContent,2,0)),Translate!$A$90,VLOOKUP(D113,RecycledContent,2,0))</f>
        <v>do not apply</v>
      </c>
      <c r="F114" s="469" t="str">
        <f>Translate!$A$478</f>
        <v>-new or recycled-</v>
      </c>
      <c r="G114" s="23"/>
      <c r="H114" s="23"/>
      <c r="I114" s="23"/>
      <c r="J114" s="23"/>
      <c r="K114" s="23"/>
      <c r="L114" s="23"/>
      <c r="M114" s="23"/>
      <c r="N114" s="23"/>
      <c r="O114" s="24"/>
      <c r="P114" s="24"/>
      <c r="Q114" s="24"/>
      <c r="R114" s="24"/>
      <c r="S114" s="24"/>
      <c r="T114" s="456"/>
      <c r="U114" s="24"/>
      <c r="V114" s="24"/>
      <c r="W114" s="24"/>
      <c r="X114" s="24"/>
      <c r="Y114" s="24"/>
      <c r="Z114" s="24"/>
      <c r="AA114" s="24"/>
      <c r="AB114" s="24"/>
      <c r="AC114" s="24"/>
      <c r="AD114" s="24"/>
      <c r="AE114" s="33"/>
      <c r="AH114">
        <f>HLOOKUP(AI114,$AP$1:$AV$2,2,0)</f>
        <v>2</v>
      </c>
      <c r="AI114" t="str">
        <f>Translate!$A$106</f>
        <v>Freight</v>
      </c>
      <c r="AJ114" s="49">
        <f ca="1">AC113</f>
        <v>0</v>
      </c>
      <c r="AL114" s="379">
        <f ca="1">VLOOKUP(T113,EFtable,8,0)*AC113</f>
        <v>0</v>
      </c>
      <c r="AM114" s="463">
        <f t="shared" ca="1" si="10"/>
        <v>9</v>
      </c>
      <c r="AO114" s="49">
        <f t="shared" ca="1" si="11"/>
        <v>0</v>
      </c>
    </row>
    <row r="115" spans="1:41" ht="9.75" customHeight="1">
      <c r="A115" s="1"/>
      <c r="C115" s="463"/>
      <c r="D115" s="22"/>
      <c r="E115" s="23"/>
      <c r="F115" s="23"/>
      <c r="G115" s="23"/>
      <c r="H115" s="23"/>
      <c r="I115" s="23"/>
      <c r="J115" s="23"/>
      <c r="K115" s="23"/>
      <c r="L115" s="23"/>
      <c r="M115" s="23"/>
      <c r="N115" s="23"/>
      <c r="O115" s="24"/>
      <c r="P115" s="24"/>
      <c r="Q115" s="24"/>
      <c r="R115" s="24"/>
      <c r="S115" s="24"/>
      <c r="T115" s="456"/>
      <c r="U115" s="24"/>
      <c r="V115" s="24"/>
      <c r="W115" s="24"/>
      <c r="X115" s="24"/>
      <c r="Y115" s="24"/>
      <c r="Z115" s="24"/>
      <c r="AA115" s="24"/>
      <c r="AB115" s="24"/>
      <c r="AC115" s="24"/>
      <c r="AD115" s="24"/>
      <c r="AE115" s="33"/>
      <c r="AL115" s="49"/>
      <c r="AM115" s="463">
        <f t="shared" ca="1" si="10"/>
        <v>10</v>
      </c>
    </row>
    <row r="116" spans="1:41" ht="15.75">
      <c r="A116" s="1"/>
      <c r="C116" s="552" t="s">
        <v>316</v>
      </c>
      <c r="D116" s="468" t="str">
        <f>Translate!$A$190</f>
        <v>Sand</v>
      </c>
      <c r="E116" s="515">
        <f>IF(ISERROR(VLOOKUP($E$6,DefaultConcrete,HLOOKUP(D116,DefaultConcrete,2,0),0)),0,VLOOKUP($E$6,DefaultConcrete,HLOOKUP(D116,DefaultConcrete,2,0),0))</f>
        <v>800</v>
      </c>
      <c r="F116" s="220" t="str">
        <f ca="1">OFFSET(AS116,-AM116+6,0)</f>
        <v>kg/m3</v>
      </c>
      <c r="G116" s="23"/>
      <c r="H116" s="23"/>
      <c r="I116" s="25">
        <f ca="1">IF(F116=OFFSET(AS116,-AM116+6,0),E116*OFFSET(E116,-AM116,0)/IF(J116='Emission factors'!$E$411,1,1000),E116)</f>
        <v>0</v>
      </c>
      <c r="J116" s="21" t="str">
        <f>'Emission factors'!$F$411</f>
        <v>t</v>
      </c>
      <c r="K116" s="38">
        <f>IF(ISERROR(E117*1),VLOOKUP(D116,EFtable,3,0),VLOOKUP(D116,EFtable,3,0)*(1-E117)+VLOOKUP(D116&amp;Translate!$A$199,EFtable,3,0)*E117)</f>
        <v>6</v>
      </c>
      <c r="L116" s="25">
        <f ca="1">IF(F117=Translate!$A$111,0,I116*K116)</f>
        <v>0</v>
      </c>
      <c r="M116" s="21" t="str">
        <f>Translate!$A$102</f>
        <v>kgCO2e</v>
      </c>
      <c r="N116" s="23"/>
      <c r="O116" s="24"/>
      <c r="P116" s="19" t="str">
        <f>Translate!$A$112</f>
        <v>Distance</v>
      </c>
      <c r="Q116" s="470">
        <f>IF(ISERROR(VLOOKUP(D116,StandardFreight,3,0)),VLOOKUP(Translate!$A$118,StandardFreight,3,0),VLOOKUP(D116,StandardFreight,3,0))</f>
        <v>20</v>
      </c>
      <c r="R116" s="20" t="str">
        <f>'Emission factors'!$F$410</f>
        <v>km</v>
      </c>
      <c r="S116" s="19" t="str">
        <f>Translate!$A$120</f>
        <v>Type</v>
      </c>
      <c r="T116" s="473" t="str">
        <f>IF(ISERROR(VLOOKUP(D116,StandardFreight,2,0)),VLOOKUP("Other",StandardFreight,2,0),VLOOKUP(D116,StandardFreight,2,0))</f>
        <v>Road - Articulated &gt;33t</v>
      </c>
      <c r="U116" s="19" t="str">
        <f>Translate!$A$127</f>
        <v>Load</v>
      </c>
      <c r="V116" s="471">
        <f>VLOOKUP(T116,FreightLoadFactors,2,0)</f>
        <v>15</v>
      </c>
      <c r="W116" s="20" t="str">
        <f>J116</f>
        <v>t</v>
      </c>
      <c r="X116" s="471">
        <f ca="1">IF(V116=0,0,ROUNDUP(I116/V116,0))</f>
        <v>0</v>
      </c>
      <c r="Y116" s="20" t="str">
        <f>Translate!$A$130</f>
        <v>travels</v>
      </c>
      <c r="Z116" s="39" t="str">
        <f>Translate!$A$128</f>
        <v>empty-return rate</v>
      </c>
      <c r="AA116" s="472">
        <v>1</v>
      </c>
      <c r="AB116" s="474">
        <f>VLOOKUP(T116,EFtable,3,0)</f>
        <v>0.93694</v>
      </c>
      <c r="AC116" s="475">
        <f ca="1">Q116*X116*(1+AA116)*AB116</f>
        <v>0</v>
      </c>
      <c r="AD116" s="47" t="str">
        <f>Translate!$A$102</f>
        <v>kgCO2e</v>
      </c>
      <c r="AE116" s="33"/>
      <c r="AH116">
        <f>HLOOKUP(AI116,$AP$1:$AV$2,2,0)</f>
        <v>2</v>
      </c>
      <c r="AI116" t="str">
        <f>Translate!$A$104</f>
        <v>Materials</v>
      </c>
      <c r="AJ116" s="49">
        <f ca="1">L116</f>
        <v>0</v>
      </c>
      <c r="AK116" s="372" t="str">
        <f>VLOOKUP(D116,EFtable,7,0)</f>
        <v>Concrete / Slurry / Grout mix</v>
      </c>
      <c r="AL116" s="379">
        <f ca="1">VLOOKUP(D116,EFtable,8,0)*L116</f>
        <v>0</v>
      </c>
      <c r="AM116" s="463">
        <f t="shared" ca="1" si="10"/>
        <v>11</v>
      </c>
      <c r="AN116">
        <f>ROW(F117)-ROW(F116)</f>
        <v>1</v>
      </c>
      <c r="AO116" s="49">
        <f t="shared" ca="1" si="11"/>
        <v>0</v>
      </c>
    </row>
    <row r="117" spans="1:41">
      <c r="A117" s="1"/>
      <c r="C117" s="463"/>
      <c r="D117" s="336" t="str">
        <f>Translate!$A$79</f>
        <v>Recycled content</v>
      </c>
      <c r="E117" s="476" t="str">
        <f>IF(ISERROR(VLOOKUP(D116,RecycledContent,2,0)),Translate!$A$90,VLOOKUP(D116,RecycledContent,2,0))</f>
        <v>do not apply</v>
      </c>
      <c r="F117" s="469" t="str">
        <f>Translate!$A$478</f>
        <v>-new or recycled-</v>
      </c>
      <c r="G117" s="23"/>
      <c r="H117" s="23"/>
      <c r="I117" s="23"/>
      <c r="J117" s="23"/>
      <c r="K117" s="23"/>
      <c r="L117" s="23"/>
      <c r="M117" s="23"/>
      <c r="N117" s="23"/>
      <c r="O117" s="24"/>
      <c r="P117" s="24"/>
      <c r="Q117" s="24"/>
      <c r="R117" s="24"/>
      <c r="S117" s="24"/>
      <c r="T117" s="456"/>
      <c r="U117" s="24"/>
      <c r="V117" s="24"/>
      <c r="W117" s="24"/>
      <c r="X117" s="24"/>
      <c r="Y117" s="24"/>
      <c r="Z117" s="24"/>
      <c r="AA117" s="24"/>
      <c r="AB117" s="24"/>
      <c r="AC117" s="24"/>
      <c r="AD117" s="24"/>
      <c r="AE117" s="33"/>
      <c r="AH117">
        <f>HLOOKUP(AI117,$AP$1:$AV$2,2,0)</f>
        <v>2</v>
      </c>
      <c r="AI117" t="str">
        <f>Translate!$A$106</f>
        <v>Freight</v>
      </c>
      <c r="AJ117" s="49">
        <f ca="1">AC116</f>
        <v>0</v>
      </c>
      <c r="AL117" s="379">
        <f ca="1">VLOOKUP(T116,EFtable,8,0)*AC116</f>
        <v>0</v>
      </c>
      <c r="AM117" s="463">
        <f t="shared" ca="1" si="10"/>
        <v>12</v>
      </c>
      <c r="AO117" s="49">
        <f t="shared" ca="1" si="11"/>
        <v>0</v>
      </c>
    </row>
    <row r="118" spans="1:41" ht="9.75" customHeight="1">
      <c r="A118" s="1"/>
      <c r="C118" s="463"/>
      <c r="D118" s="22"/>
      <c r="E118" s="23"/>
      <c r="F118" s="23"/>
      <c r="G118" s="23"/>
      <c r="H118" s="23"/>
      <c r="I118" s="23"/>
      <c r="J118" s="23"/>
      <c r="K118" s="23"/>
      <c r="L118" s="23"/>
      <c r="M118" s="23"/>
      <c r="N118" s="23"/>
      <c r="O118" s="24"/>
      <c r="P118" s="24"/>
      <c r="Q118" s="24"/>
      <c r="R118" s="24"/>
      <c r="S118" s="24"/>
      <c r="T118" s="456"/>
      <c r="U118" s="24"/>
      <c r="V118" s="24"/>
      <c r="W118" s="24"/>
      <c r="X118" s="24"/>
      <c r="Y118" s="24"/>
      <c r="Z118" s="24"/>
      <c r="AA118" s="24"/>
      <c r="AB118" s="24"/>
      <c r="AC118" s="24"/>
      <c r="AD118" s="24"/>
      <c r="AE118" s="33"/>
      <c r="AL118" s="49"/>
      <c r="AM118" s="463">
        <f t="shared" ca="1" si="10"/>
        <v>13</v>
      </c>
    </row>
    <row r="119" spans="1:41" ht="15.75">
      <c r="A119" s="1"/>
      <c r="C119" s="552" t="s">
        <v>316</v>
      </c>
      <c r="D119" s="468" t="str">
        <f>Translate!$A$198</f>
        <v>Water</v>
      </c>
      <c r="E119" s="515">
        <f>IF(ISERROR(VLOOKUP($E$6,DefaultConcrete,HLOOKUP(D119,DefaultConcrete,2,0),0)),0,VLOOKUP($E$6,DefaultConcrete,HLOOKUP(D119,DefaultConcrete,2,0),0))</f>
        <v>200</v>
      </c>
      <c r="F119" s="220" t="str">
        <f ca="1">OFFSET(AS119,-AM119+6,0)</f>
        <v>kg/m3</v>
      </c>
      <c r="G119" s="23"/>
      <c r="H119" s="23"/>
      <c r="I119" s="25">
        <f ca="1">IF(F119=OFFSET(AS119,-AM119+6,0),E119*OFFSET(E119,-AM119,0)/IF(J119='Emission factors'!$E$411,1,1000),E119)</f>
        <v>0</v>
      </c>
      <c r="J119" s="21" t="str">
        <f>'Emission factors'!$F$411</f>
        <v>t</v>
      </c>
      <c r="K119" s="38">
        <f>IF(ISERROR(E120*1),VLOOKUP(D119,EFtable,3,0),VLOOKUP(D119,EFtable,3,0)*(1-E120)+VLOOKUP(D119&amp;Translate!$A$199,EFtable,3,0)*E120)</f>
        <v>0.34399999999999997</v>
      </c>
      <c r="L119" s="25">
        <f ca="1">IF(F120=Translate!$A$111,0,I119*K119)</f>
        <v>0</v>
      </c>
      <c r="M119" s="21" t="str">
        <f>Translate!$A$102</f>
        <v>kgCO2e</v>
      </c>
      <c r="N119" s="23"/>
      <c r="O119" s="24"/>
      <c r="P119" s="19" t="str">
        <f>Translate!$A$112</f>
        <v>Distance</v>
      </c>
      <c r="Q119" s="470">
        <f>IF(ISERROR(VLOOKUP(D119,StandardFreight,3,0)),VLOOKUP(Translate!$A$118,StandardFreight,3,0),VLOOKUP(D119,StandardFreight,3,0))</f>
        <v>0</v>
      </c>
      <c r="R119" s="20" t="str">
        <f>'Emission factors'!$F$410</f>
        <v>km</v>
      </c>
      <c r="S119" s="19" t="str">
        <f>Translate!$A$120</f>
        <v>Type</v>
      </c>
      <c r="T119" s="473" t="str">
        <f>IF(ISERROR(VLOOKUP(D119,StandardFreight,2,0)),VLOOKUP("Other",StandardFreight,2,0),VLOOKUP(D119,StandardFreight,2,0))</f>
        <v>Road - Rigid &gt;3.5-7.5t</v>
      </c>
      <c r="U119" s="19" t="str">
        <f>Translate!$A$127</f>
        <v>Load</v>
      </c>
      <c r="V119" s="471">
        <f>VLOOKUP(T119,FreightLoadFactors,2,0)</f>
        <v>1.0123216601815823</v>
      </c>
      <c r="W119" s="20" t="str">
        <f>J119</f>
        <v>t</v>
      </c>
      <c r="X119" s="471">
        <f ca="1">IF(V119=0,0,ROUNDUP(I119/V119,0))</f>
        <v>0</v>
      </c>
      <c r="Y119" s="20" t="str">
        <f>Translate!$A$130</f>
        <v>travels</v>
      </c>
      <c r="Z119" s="39" t="str">
        <f>Translate!$A$128</f>
        <v>empty-return rate</v>
      </c>
      <c r="AA119" s="472">
        <v>1</v>
      </c>
      <c r="AB119" s="474">
        <f>VLOOKUP(T119,EFtable,3,0)</f>
        <v>0.49041000000000001</v>
      </c>
      <c r="AC119" s="475">
        <f ca="1">Q119*X119*(1+AA119)*AB119</f>
        <v>0</v>
      </c>
      <c r="AD119" s="47" t="str">
        <f>Translate!$A$102</f>
        <v>kgCO2e</v>
      </c>
      <c r="AE119" s="33"/>
      <c r="AH119">
        <f>HLOOKUP(AI119,$AP$1:$AV$2,2,0)</f>
        <v>2</v>
      </c>
      <c r="AI119" t="str">
        <f>Translate!$A$104</f>
        <v>Materials</v>
      </c>
      <c r="AJ119" s="49">
        <f ca="1">L119</f>
        <v>0</v>
      </c>
      <c r="AK119" s="372" t="str">
        <f>VLOOKUP(D119,EFtable,7,0)</f>
        <v>Concrete / Slurry / Grout mix</v>
      </c>
      <c r="AL119" s="379">
        <f ca="1">VLOOKUP(D119,EFtable,8,0)*L119</f>
        <v>0</v>
      </c>
      <c r="AM119" s="463">
        <f t="shared" ca="1" si="10"/>
        <v>14</v>
      </c>
      <c r="AN119">
        <f>ROW(F120)-ROW(F119)</f>
        <v>1</v>
      </c>
      <c r="AO119" s="49">
        <f t="shared" ca="1" si="11"/>
        <v>0</v>
      </c>
    </row>
    <row r="120" spans="1:41">
      <c r="A120" s="1"/>
      <c r="C120" s="463"/>
      <c r="D120" s="336" t="str">
        <f>Translate!$A$79</f>
        <v>Recycled content</v>
      </c>
      <c r="E120" s="476" t="str">
        <f>IF(ISERROR(VLOOKUP(D119,RecycledContent,2,0)),Translate!$A$90,VLOOKUP(D119,RecycledContent,2,0))</f>
        <v>do not apply</v>
      </c>
      <c r="F120" s="469" t="str">
        <f>Translate!$A$478</f>
        <v>-new or recycled-</v>
      </c>
      <c r="G120" s="23"/>
      <c r="H120" s="23"/>
      <c r="I120" s="23"/>
      <c r="J120" s="23"/>
      <c r="K120" s="23"/>
      <c r="L120" s="23"/>
      <c r="M120" s="23"/>
      <c r="N120" s="23"/>
      <c r="O120" s="24"/>
      <c r="P120" s="24"/>
      <c r="Q120" s="24"/>
      <c r="R120" s="24"/>
      <c r="S120" s="24"/>
      <c r="T120" s="24"/>
      <c r="U120" s="24"/>
      <c r="V120" s="24"/>
      <c r="W120" s="24"/>
      <c r="X120" s="24"/>
      <c r="Y120" s="24"/>
      <c r="Z120" s="24"/>
      <c r="AA120" s="24"/>
      <c r="AB120" s="24"/>
      <c r="AC120" s="24"/>
      <c r="AD120" s="24"/>
      <c r="AE120" s="33"/>
      <c r="AH120">
        <f>HLOOKUP(AI120,$AP$1:$AV$2,2,0)</f>
        <v>2</v>
      </c>
      <c r="AI120" t="str">
        <f>Translate!$A$106</f>
        <v>Freight</v>
      </c>
      <c r="AJ120" s="49">
        <f ca="1">AC119</f>
        <v>0</v>
      </c>
      <c r="AL120" s="379">
        <f ca="1">VLOOKUP(T119,EFtable,8,0)*AC119</f>
        <v>0</v>
      </c>
      <c r="AM120" s="463">
        <f t="shared" ca="1" si="10"/>
        <v>15</v>
      </c>
      <c r="AO120" s="49">
        <f t="shared" ca="1" si="11"/>
        <v>0</v>
      </c>
    </row>
    <row r="121" spans="1:41" ht="9.75" customHeight="1">
      <c r="A121" s="1"/>
      <c r="C121" s="463"/>
      <c r="D121" s="23"/>
      <c r="E121" s="23"/>
      <c r="F121" s="23"/>
      <c r="G121" s="23"/>
      <c r="H121" s="23"/>
      <c r="I121" s="23"/>
      <c r="J121" s="23"/>
      <c r="K121" s="23"/>
      <c r="L121" s="23"/>
      <c r="M121" s="23"/>
      <c r="N121" s="23"/>
      <c r="O121" s="24"/>
      <c r="P121" s="24"/>
      <c r="Q121" s="24"/>
      <c r="R121" s="24"/>
      <c r="S121" s="24"/>
      <c r="T121" s="24"/>
      <c r="U121" s="24"/>
      <c r="V121" s="24"/>
      <c r="W121" s="24"/>
      <c r="X121" s="24"/>
      <c r="Y121" s="24"/>
      <c r="Z121" s="24"/>
      <c r="AA121" s="24"/>
      <c r="AB121" s="24"/>
      <c r="AC121" s="24"/>
      <c r="AD121" s="24"/>
      <c r="AE121" s="33"/>
      <c r="AL121" s="49"/>
      <c r="AM121" s="463">
        <f t="shared" ca="1" si="10"/>
        <v>16</v>
      </c>
    </row>
    <row r="122" spans="1:41" ht="15.75">
      <c r="A122" s="1"/>
      <c r="C122" s="552" t="s">
        <v>316</v>
      </c>
      <c r="D122" s="468" t="str">
        <f>Translate!$A$178</f>
        <v>Bentonite</v>
      </c>
      <c r="E122" s="466">
        <f>IF(ISERROR(VLOOKUP($E$6,DefaultConcrete,HLOOKUP(D122,DefaultConcrete,2,0),0)),0,VLOOKUP($E$6,DefaultConcrete,HLOOKUP(D122,DefaultConcrete,2,0),0))</f>
        <v>0</v>
      </c>
      <c r="F122" s="220" t="str">
        <f ca="1">OFFSET(AS122,-AM122+6,0)</f>
        <v>kg/m3</v>
      </c>
      <c r="G122" s="23"/>
      <c r="H122" s="23"/>
      <c r="I122" s="25">
        <f ca="1">IF(F122=OFFSET(AS122,-AM122+6,0),E122*OFFSET(E122,-AM122,0)/IF(J122='Emission factors'!$E$411,1,1000),E122)</f>
        <v>0</v>
      </c>
      <c r="J122" s="21" t="str">
        <f>'Emission factors'!$F$411</f>
        <v>t</v>
      </c>
      <c r="K122" s="38">
        <f>IF(ISERROR(E123*1),VLOOKUP(D122,EFtable,3,0),VLOOKUP(D122,EFtable,3,0)*(1-E123)+VLOOKUP(D122&amp;Translate!$A$199,EFtable,3,0)*E123)</f>
        <v>474.97791999999998</v>
      </c>
      <c r="L122" s="25">
        <f ca="1">IF(F123=Translate!$A$111,0,I122*K122)</f>
        <v>0</v>
      </c>
      <c r="M122" s="21" t="str">
        <f>Translate!$A$102</f>
        <v>kgCO2e</v>
      </c>
      <c r="N122" s="23"/>
      <c r="O122" s="24"/>
      <c r="P122" s="19" t="str">
        <f>Translate!$A$112</f>
        <v>Distance</v>
      </c>
      <c r="Q122" s="470">
        <f>IF(ISERROR(VLOOKUP(D122,StandardFreight,3,0)),VLOOKUP(Translate!$A$118,StandardFreight,3,0),VLOOKUP(D122,StandardFreight,3,0))</f>
        <v>300</v>
      </c>
      <c r="R122" s="20" t="str">
        <f>'Emission factors'!$F$410</f>
        <v>km</v>
      </c>
      <c r="S122" s="19" t="str">
        <f>Translate!$A$120</f>
        <v>Type</v>
      </c>
      <c r="T122" s="473" t="str">
        <f>IF(ISERROR(VLOOKUP(D122,StandardFreight,2,0)),VLOOKUP(Translate!$A$118,StandardFreight,2,0),VLOOKUP(D122,StandardFreight,2,0))</f>
        <v>Road - Articulated &gt;33t</v>
      </c>
      <c r="U122" s="19" t="str">
        <f>Translate!$A$127</f>
        <v>Load</v>
      </c>
      <c r="V122" s="471">
        <f>VLOOKUP(T122,FreightLoadFactors,2,0)</f>
        <v>15</v>
      </c>
      <c r="W122" s="20" t="str">
        <f>J122</f>
        <v>t</v>
      </c>
      <c r="X122" s="471">
        <f ca="1">IF(V122=0,0,ROUNDUP(I122/V122,0))</f>
        <v>0</v>
      </c>
      <c r="Y122" s="20" t="str">
        <f>Translate!$A$130</f>
        <v>travels</v>
      </c>
      <c r="Z122" s="39" t="str">
        <f>Translate!$A$128</f>
        <v>empty-return rate</v>
      </c>
      <c r="AA122" s="472">
        <v>1</v>
      </c>
      <c r="AB122" s="474">
        <f>VLOOKUP(T122,EFtable,3,0)</f>
        <v>0.93694</v>
      </c>
      <c r="AC122" s="475">
        <f ca="1">Q122*X122*(1+AA122)*AB122</f>
        <v>0</v>
      </c>
      <c r="AD122" s="47" t="str">
        <f>Translate!$A$102</f>
        <v>kgCO2e</v>
      </c>
      <c r="AE122" s="33"/>
      <c r="AH122">
        <f>HLOOKUP(AI122,$AP$1:$AV$2,2,0)</f>
        <v>2</v>
      </c>
      <c r="AI122" t="str">
        <f>Translate!$A$104</f>
        <v>Materials</v>
      </c>
      <c r="AJ122" s="49">
        <f ca="1">L122</f>
        <v>0</v>
      </c>
      <c r="AK122" s="372" t="str">
        <f>VLOOKUP(D122,EFtable,7,0)</f>
        <v>Concrete / Slurry / Grout mix</v>
      </c>
      <c r="AL122" s="379">
        <f ca="1">VLOOKUP(D122,EFtable,8,0)*L122</f>
        <v>0</v>
      </c>
      <c r="AM122" s="463">
        <f t="shared" ca="1" si="10"/>
        <v>17</v>
      </c>
      <c r="AN122">
        <f>ROW(F123)-ROW(F122)</f>
        <v>1</v>
      </c>
      <c r="AO122" s="49">
        <f t="shared" ca="1" si="11"/>
        <v>0</v>
      </c>
    </row>
    <row r="123" spans="1:41">
      <c r="A123" s="1"/>
      <c r="C123" s="463"/>
      <c r="D123" s="336" t="str">
        <f>Translate!$A$79</f>
        <v>Recycled content</v>
      </c>
      <c r="E123" s="476" t="str">
        <f>IF(ISERROR(VLOOKUP(D122,RecycledContent,2,0)),Translate!$A$90,VLOOKUP(D122,RecycledContent,2,0))</f>
        <v>do not apply</v>
      </c>
      <c r="F123" s="469" t="str">
        <f>Translate!$A$478</f>
        <v>-new or recycled-</v>
      </c>
      <c r="G123" s="23"/>
      <c r="H123" s="23"/>
      <c r="I123" s="23"/>
      <c r="J123" s="23"/>
      <c r="K123" s="23"/>
      <c r="L123" s="23"/>
      <c r="M123" s="23"/>
      <c r="N123" s="23"/>
      <c r="O123" s="24"/>
      <c r="P123" s="24"/>
      <c r="Q123" s="24"/>
      <c r="R123" s="24"/>
      <c r="S123" s="24"/>
      <c r="T123" s="24"/>
      <c r="U123" s="24"/>
      <c r="V123" s="24"/>
      <c r="W123" s="24"/>
      <c r="X123" s="24"/>
      <c r="Y123" s="24"/>
      <c r="Z123" s="24"/>
      <c r="AA123" s="24"/>
      <c r="AB123" s="24"/>
      <c r="AC123" s="24"/>
      <c r="AD123" s="24"/>
      <c r="AE123" s="33"/>
      <c r="AH123">
        <f>HLOOKUP(AI123,$AP$1:$AV$2,2,0)</f>
        <v>2</v>
      </c>
      <c r="AI123" t="str">
        <f>Translate!$A$106</f>
        <v>Freight</v>
      </c>
      <c r="AJ123" s="49">
        <f ca="1">AC122</f>
        <v>0</v>
      </c>
      <c r="AL123" s="379">
        <f ca="1">VLOOKUP(T122,EFtable,8,0)*AC122</f>
        <v>0</v>
      </c>
      <c r="AM123" s="463">
        <f t="shared" ca="1" si="10"/>
        <v>18</v>
      </c>
      <c r="AO123" s="49">
        <f t="shared" ca="1" si="11"/>
        <v>0</v>
      </c>
    </row>
    <row r="124" spans="1:41">
      <c r="A124" s="1"/>
      <c r="C124" s="463"/>
      <c r="D124" s="23"/>
      <c r="E124" s="23"/>
      <c r="F124" s="23"/>
      <c r="G124" s="23"/>
      <c r="H124" s="23"/>
      <c r="I124" s="23"/>
      <c r="J124" s="23"/>
      <c r="K124" s="23"/>
      <c r="L124" s="23"/>
      <c r="M124" s="23"/>
      <c r="N124" s="23"/>
      <c r="O124" s="24"/>
      <c r="P124" s="24"/>
      <c r="Q124" s="24"/>
      <c r="R124" s="24"/>
      <c r="S124" s="24"/>
      <c r="T124" s="24"/>
      <c r="U124" s="24"/>
      <c r="V124" s="24"/>
      <c r="W124" s="24"/>
      <c r="X124" s="24"/>
      <c r="Y124" s="24"/>
      <c r="Z124" s="24"/>
      <c r="AA124" s="24"/>
      <c r="AB124" s="24"/>
      <c r="AC124" s="24"/>
      <c r="AD124" s="24"/>
      <c r="AE124" s="33"/>
      <c r="AJ124" s="49"/>
      <c r="AL124" s="379"/>
      <c r="AM124" s="463">
        <f ca="1">1+OFFSET(AM124,-1,0)</f>
        <v>19</v>
      </c>
      <c r="AO124" s="49">
        <f>AJ124</f>
        <v>0</v>
      </c>
    </row>
    <row r="125" spans="1:41" ht="15.75">
      <c r="A125" s="1"/>
      <c r="C125" s="463"/>
      <c r="D125" s="23"/>
      <c r="E125" s="684">
        <f>IF(E105=0,0,SUM(I110:I124)/E105)</f>
        <v>0</v>
      </c>
      <c r="F125" s="650" t="str">
        <f>'Emission factors'!$F$411&amp;"/"&amp;F105</f>
        <v>t/m3</v>
      </c>
      <c r="G125" s="23"/>
      <c r="H125" s="23"/>
      <c r="I125" s="23"/>
      <c r="J125" s="23"/>
      <c r="K125" s="23"/>
      <c r="L125" s="23"/>
      <c r="M125" s="23"/>
      <c r="N125" s="23"/>
      <c r="O125" s="24"/>
      <c r="P125" s="24"/>
      <c r="Q125" s="24"/>
      <c r="R125" s="24"/>
      <c r="S125" s="24"/>
      <c r="T125" s="24"/>
      <c r="U125" s="24"/>
      <c r="V125" s="24"/>
      <c r="W125" s="24"/>
      <c r="X125" s="24"/>
      <c r="Y125" s="24"/>
      <c r="Z125" s="24"/>
      <c r="AA125" s="24"/>
      <c r="AB125" s="24"/>
      <c r="AC125" s="24"/>
      <c r="AD125" s="24"/>
      <c r="AE125" s="33"/>
      <c r="AJ125" s="49"/>
      <c r="AL125" s="379"/>
      <c r="AM125" s="463">
        <f ca="1">1+OFFSET(AM125,-1,0)</f>
        <v>20</v>
      </c>
      <c r="AO125" s="49">
        <f>AJ125</f>
        <v>0</v>
      </c>
    </row>
    <row r="126" spans="1:41">
      <c r="A126" s="1"/>
      <c r="C126" s="464"/>
      <c r="D126" s="671"/>
      <c r="E126" s="671"/>
      <c r="F126" s="671"/>
      <c r="G126" s="671"/>
      <c r="H126" s="671"/>
      <c r="I126" s="671"/>
      <c r="J126" s="671"/>
      <c r="K126" s="671"/>
      <c r="L126" s="671"/>
      <c r="M126" s="671"/>
      <c r="N126" s="671"/>
      <c r="O126" s="36"/>
      <c r="P126" s="36"/>
      <c r="Q126" s="36"/>
      <c r="R126" s="36"/>
      <c r="S126" s="36"/>
      <c r="T126" s="36"/>
      <c r="U126" s="36"/>
      <c r="V126" s="36"/>
      <c r="W126" s="36"/>
      <c r="X126" s="36"/>
      <c r="Y126" s="36"/>
      <c r="Z126" s="36"/>
      <c r="AA126" s="36"/>
      <c r="AB126" s="36"/>
      <c r="AC126" s="36"/>
      <c r="AD126" s="36"/>
      <c r="AE126" s="37"/>
      <c r="AL126" s="49"/>
      <c r="AM126" s="464">
        <f t="shared" ca="1" si="10"/>
        <v>21</v>
      </c>
    </row>
    <row r="127" spans="1:41">
      <c r="A127" s="1"/>
      <c r="AL127" s="49"/>
    </row>
    <row r="128" spans="1:41" ht="20.25">
      <c r="A128" s="1"/>
      <c r="B128" s="1"/>
      <c r="C128" s="1"/>
      <c r="D128" s="8"/>
      <c r="E128" s="1"/>
      <c r="F128" s="1"/>
      <c r="G128" s="1"/>
      <c r="H128" s="1"/>
      <c r="I128" s="1"/>
      <c r="J128" s="1"/>
      <c r="K128" s="1"/>
      <c r="L128" s="1"/>
      <c r="M128" s="1"/>
      <c r="N128" s="1"/>
      <c r="O128" s="15"/>
      <c r="P128" s="15"/>
      <c r="Q128" s="15"/>
      <c r="R128" s="15"/>
      <c r="S128" s="15"/>
      <c r="T128" s="15"/>
      <c r="U128" s="15"/>
      <c r="V128" s="15"/>
      <c r="W128" s="15"/>
      <c r="X128" s="15"/>
      <c r="Y128" s="15"/>
      <c r="Z128" s="15"/>
      <c r="AA128" s="15"/>
      <c r="AB128" s="15"/>
      <c r="AC128" s="15"/>
      <c r="AD128" s="15"/>
      <c r="AE128" s="15"/>
    </row>
    <row r="130" spans="1:41" ht="20.25">
      <c r="A130" s="249"/>
      <c r="B130" s="249"/>
      <c r="C130" s="249"/>
      <c r="D130" s="250" t="str">
        <f>AV11</f>
        <v>Waste    (Secondary source)</v>
      </c>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c r="AA130" s="249"/>
      <c r="AB130" s="249"/>
      <c r="AC130" s="249"/>
      <c r="AD130" s="249"/>
      <c r="AE130" s="249"/>
    </row>
    <row r="131" spans="1:41">
      <c r="A131" s="249"/>
    </row>
    <row r="132" spans="1:41" ht="6" customHeight="1">
      <c r="A132" s="249"/>
      <c r="C132" s="252"/>
      <c r="D132" s="253"/>
      <c r="E132" s="253"/>
      <c r="F132" s="253"/>
      <c r="G132" s="253"/>
      <c r="H132" s="253"/>
      <c r="I132" s="253"/>
      <c r="J132" s="253"/>
      <c r="K132" s="253"/>
      <c r="L132" s="253"/>
      <c r="M132" s="253"/>
      <c r="N132" s="253"/>
      <c r="O132" s="253"/>
      <c r="P132" s="253"/>
      <c r="Q132" s="253"/>
      <c r="R132" s="253"/>
      <c r="S132" s="253"/>
      <c r="T132" s="253"/>
      <c r="U132" s="253"/>
      <c r="V132" s="253"/>
      <c r="W132" s="253"/>
      <c r="X132" s="253"/>
      <c r="Y132" s="253"/>
      <c r="Z132" s="253"/>
      <c r="AA132" s="253"/>
      <c r="AB132" s="253"/>
      <c r="AC132" s="253"/>
      <c r="AD132" s="253"/>
      <c r="AE132" s="254"/>
    </row>
    <row r="133" spans="1:41" ht="15.75">
      <c r="A133" s="249"/>
      <c r="C133" s="255"/>
      <c r="D133" s="251" t="str">
        <f>Translate!$A$80</f>
        <v>Simplified ratio</v>
      </c>
      <c r="E133" s="491">
        <f ca="1">IF(AND(AV5,F133=Translate!$A$91),AV4,Translate!$A$92)</f>
        <v>2.6591687681000226E-8</v>
      </c>
      <c r="F133" s="544" t="str">
        <f>Translate!$A$91</f>
        <v>Default</v>
      </c>
      <c r="G133" s="259"/>
      <c r="H133" s="259"/>
      <c r="I133" s="259"/>
      <c r="J133" s="259"/>
      <c r="K133" s="261">
        <f ca="1">$P$1</f>
        <v>0</v>
      </c>
      <c r="L133" s="261">
        <f ca="1">IF(E133=Translate!$A$92,0,E133*K133)</f>
        <v>0</v>
      </c>
      <c r="M133" s="262" t="str">
        <f>Translate!$A$102</f>
        <v>kgCO2e</v>
      </c>
      <c r="N133" s="259"/>
      <c r="O133" s="259"/>
      <c r="P133" s="259"/>
      <c r="Q133" s="259"/>
      <c r="R133" s="259"/>
      <c r="S133" s="259"/>
      <c r="T133" s="259"/>
      <c r="U133" s="259"/>
      <c r="V133" s="259"/>
      <c r="W133" s="259"/>
      <c r="X133" s="259"/>
      <c r="Y133" s="259"/>
      <c r="Z133" s="259"/>
      <c r="AA133" s="259"/>
      <c r="AB133" s="259"/>
      <c r="AC133" s="259"/>
      <c r="AD133" s="259"/>
      <c r="AE133" s="260"/>
      <c r="AG133" t="s">
        <v>70</v>
      </c>
      <c r="AH133">
        <f>HLOOKUP(AI133,$AP$1:$AV$2,2,0)</f>
        <v>2</v>
      </c>
      <c r="AI133" t="str">
        <f>Translate!$A$110</f>
        <v>Waste</v>
      </c>
      <c r="AJ133" s="49">
        <f ca="1">L133</f>
        <v>0</v>
      </c>
      <c r="AL133" s="379">
        <f ca="1">100%*L133</f>
        <v>0</v>
      </c>
      <c r="AO133" s="49"/>
    </row>
    <row r="134" spans="1:41" ht="5.0999999999999996" customHeight="1">
      <c r="A134" s="249"/>
      <c r="C134" s="256"/>
      <c r="D134" s="257"/>
      <c r="E134" s="257"/>
      <c r="F134" s="257"/>
      <c r="G134" s="257"/>
      <c r="H134" s="257"/>
      <c r="I134" s="257"/>
      <c r="J134" s="257"/>
      <c r="K134" s="257"/>
      <c r="L134" s="257"/>
      <c r="M134" s="257"/>
      <c r="N134" s="257"/>
      <c r="O134" s="257"/>
      <c r="P134" s="257"/>
      <c r="Q134" s="257"/>
      <c r="R134" s="257"/>
      <c r="S134" s="257"/>
      <c r="T134" s="257"/>
      <c r="U134" s="257"/>
      <c r="V134" s="257"/>
      <c r="W134" s="257"/>
      <c r="X134" s="257"/>
      <c r="Y134" s="257"/>
      <c r="Z134" s="257"/>
      <c r="AA134" s="257"/>
      <c r="AB134" s="257"/>
      <c r="AC134" s="257"/>
      <c r="AD134" s="257"/>
      <c r="AE134" s="258"/>
    </row>
    <row r="135" spans="1:41" ht="9.75" customHeight="1">
      <c r="A135" s="249"/>
    </row>
    <row r="136" spans="1:41" ht="6" customHeight="1">
      <c r="A136" s="249"/>
      <c r="C136" s="252"/>
      <c r="D136" s="253"/>
      <c r="E136" s="253"/>
      <c r="F136" s="253"/>
      <c r="G136" s="253"/>
      <c r="H136" s="253"/>
      <c r="I136" s="253"/>
      <c r="J136" s="253"/>
      <c r="K136" s="253"/>
      <c r="L136" s="253"/>
      <c r="M136" s="253"/>
      <c r="N136" s="253"/>
      <c r="O136" s="253"/>
      <c r="P136" s="253"/>
      <c r="Q136" s="253"/>
      <c r="R136" s="253"/>
      <c r="S136" s="253"/>
      <c r="T136" s="253"/>
      <c r="U136" s="253"/>
      <c r="V136" s="253"/>
      <c r="W136" s="253"/>
      <c r="X136" s="253"/>
      <c r="Y136" s="253"/>
      <c r="Z136" s="253"/>
      <c r="AA136" s="253"/>
      <c r="AB136" s="253"/>
      <c r="AC136" s="253"/>
      <c r="AD136" s="253"/>
      <c r="AE136" s="254"/>
    </row>
    <row r="137" spans="1:41" ht="15.75">
      <c r="A137" s="249"/>
      <c r="B137" s="551" t="s">
        <v>316</v>
      </c>
      <c r="C137" s="255"/>
      <c r="D137" s="468" t="str">
        <f>Translate!$A$84</f>
        <v>Waste 1</v>
      </c>
      <c r="E137" s="465"/>
      <c r="F137" s="264" t="str">
        <f>'Emission factors'!$F$411</f>
        <v>t</v>
      </c>
      <c r="G137" s="259"/>
      <c r="H137" s="259"/>
      <c r="I137" s="263">
        <f>Q137*X137*(1+AA137)</f>
        <v>0</v>
      </c>
      <c r="J137" s="262" t="str">
        <f>'Emission factors'!$F$410</f>
        <v>km</v>
      </c>
      <c r="K137" s="274">
        <f>VLOOKUP(T137,EFtable,3,0)</f>
        <v>0.98243999999999998</v>
      </c>
      <c r="L137" s="275">
        <f>I137*K137</f>
        <v>0</v>
      </c>
      <c r="M137" s="262" t="str">
        <f>Translate!$A$102</f>
        <v>kgCO2e</v>
      </c>
      <c r="N137" s="259"/>
      <c r="O137" s="259"/>
      <c r="P137" s="271" t="str">
        <f>Translate!$A$112</f>
        <v>Distance</v>
      </c>
      <c r="Q137" s="470">
        <v>10</v>
      </c>
      <c r="R137" s="272" t="str">
        <f>'Emission factors'!$F$410</f>
        <v>km</v>
      </c>
      <c r="S137" s="271" t="str">
        <f>Translate!$A$120</f>
        <v>Type</v>
      </c>
      <c r="T137" s="471" t="str">
        <f>Translate!$A$206</f>
        <v>Road - Rigid &gt;17t</v>
      </c>
      <c r="U137" s="271" t="str">
        <f>Translate!$A$127</f>
        <v>Load</v>
      </c>
      <c r="V137" s="484">
        <f>VLOOKUP(T137,'Emission factors'!$C$313:$E$329,2,0)</f>
        <v>7.5</v>
      </c>
      <c r="W137" s="672" t="str">
        <f>F137</f>
        <v>t</v>
      </c>
      <c r="X137" s="471">
        <f>IF(V137=0,0,ROUNDUP(E137/V137,0))</f>
        <v>0</v>
      </c>
      <c r="Y137" s="272" t="str">
        <f>Translate!$A$130</f>
        <v>travels</v>
      </c>
      <c r="Z137" s="273" t="str">
        <f>Translate!$A$128</f>
        <v>empty-return rate</v>
      </c>
      <c r="AA137" s="472">
        <v>0.5</v>
      </c>
      <c r="AB137" s="259"/>
      <c r="AC137" s="259"/>
      <c r="AD137" s="259"/>
      <c r="AE137" s="260"/>
      <c r="AH137">
        <f>HLOOKUP(AI137,$AP$1:$AV$2,2,0)</f>
        <v>2</v>
      </c>
      <c r="AI137" t="str">
        <f>Translate!$A$110</f>
        <v>Waste</v>
      </c>
      <c r="AJ137" s="49">
        <f>L137</f>
        <v>0</v>
      </c>
      <c r="AL137" s="379">
        <f>VLOOKUP(T137,EFtable,8,0)*L137</f>
        <v>0</v>
      </c>
      <c r="AN137">
        <f>ROW(F138)-ROW(F136)</f>
        <v>2</v>
      </c>
      <c r="AO137" s="49">
        <f>AJ137</f>
        <v>0</v>
      </c>
    </row>
    <row r="138" spans="1:41" ht="5.0999999999999996" customHeight="1">
      <c r="A138" s="249"/>
      <c r="C138" s="256"/>
      <c r="D138" s="257"/>
      <c r="E138" s="257"/>
      <c r="F138" s="257"/>
      <c r="G138" s="257"/>
      <c r="H138" s="257"/>
      <c r="I138" s="257"/>
      <c r="J138" s="257"/>
      <c r="K138" s="257"/>
      <c r="L138" s="257"/>
      <c r="M138" s="257"/>
      <c r="N138" s="257"/>
      <c r="O138" s="257"/>
      <c r="P138" s="257"/>
      <c r="Q138" s="257"/>
      <c r="R138" s="257"/>
      <c r="S138" s="257"/>
      <c r="T138" s="257"/>
      <c r="U138" s="257"/>
      <c r="V138" s="257"/>
      <c r="W138" s="257"/>
      <c r="X138" s="257"/>
      <c r="Y138" s="257"/>
      <c r="Z138" s="257"/>
      <c r="AA138" s="257"/>
      <c r="AB138" s="257"/>
      <c r="AC138" s="257"/>
      <c r="AD138" s="257"/>
      <c r="AE138" s="258"/>
    </row>
    <row r="139" spans="1:41">
      <c r="A139" s="249"/>
    </row>
    <row r="140" spans="1:41" ht="6" customHeight="1">
      <c r="A140" s="249"/>
      <c r="C140" s="252"/>
      <c r="D140" s="253"/>
      <c r="E140" s="253"/>
      <c r="F140" s="253"/>
      <c r="G140" s="253"/>
      <c r="H140" s="253"/>
      <c r="I140" s="253"/>
      <c r="J140" s="253"/>
      <c r="K140" s="253"/>
      <c r="L140" s="253"/>
      <c r="M140" s="253"/>
      <c r="N140" s="253"/>
      <c r="O140" s="253"/>
      <c r="P140" s="253"/>
      <c r="Q140" s="253"/>
      <c r="R140" s="253"/>
      <c r="S140" s="253"/>
      <c r="T140" s="253"/>
      <c r="U140" s="253"/>
      <c r="V140" s="253"/>
      <c r="W140" s="253"/>
      <c r="X140" s="253"/>
      <c r="Y140" s="253"/>
      <c r="Z140" s="253"/>
      <c r="AA140" s="253"/>
      <c r="AB140" s="253"/>
      <c r="AC140" s="253"/>
      <c r="AD140" s="253"/>
      <c r="AE140" s="254"/>
    </row>
    <row r="141" spans="1:41" ht="15.75">
      <c r="A141" s="249"/>
      <c r="B141" s="551" t="str">
        <f>Translate!$A$242</f>
        <v>-</v>
      </c>
      <c r="C141" s="255"/>
      <c r="D141" s="468" t="str">
        <f>Translate!$A$85</f>
        <v>Waste 2</v>
      </c>
      <c r="E141" s="465"/>
      <c r="F141" s="264" t="str">
        <f>'Emission factors'!$F$411</f>
        <v>t</v>
      </c>
      <c r="G141" s="259"/>
      <c r="H141" s="259"/>
      <c r="I141" s="263">
        <f>Q141*X141*(1+AA141)</f>
        <v>0</v>
      </c>
      <c r="J141" s="262" t="str">
        <f>'Emission factors'!$F$410</f>
        <v>km</v>
      </c>
      <c r="K141" s="274">
        <f>VLOOKUP(T141,EFtable,3,0)</f>
        <v>0.98243999999999998</v>
      </c>
      <c r="L141" s="275">
        <f>I141*K141</f>
        <v>0</v>
      </c>
      <c r="M141" s="262" t="str">
        <f>Translate!$A$102</f>
        <v>kgCO2e</v>
      </c>
      <c r="N141" s="259"/>
      <c r="O141" s="259"/>
      <c r="P141" s="271" t="str">
        <f>Translate!$A$112</f>
        <v>Distance</v>
      </c>
      <c r="Q141" s="470">
        <v>10</v>
      </c>
      <c r="R141" s="272" t="str">
        <f>'Emission factors'!$F$410</f>
        <v>km</v>
      </c>
      <c r="S141" s="271" t="str">
        <f>Translate!$A$120</f>
        <v>Type</v>
      </c>
      <c r="T141" s="471" t="str">
        <f>Translate!$A$206</f>
        <v>Road - Rigid &gt;17t</v>
      </c>
      <c r="U141" s="271" t="str">
        <f>Translate!$A$127</f>
        <v>Load</v>
      </c>
      <c r="V141" s="484">
        <f>VLOOKUP(T141,'Emission factors'!$C$313:$E$329,2,0)</f>
        <v>7.5</v>
      </c>
      <c r="W141" s="672" t="str">
        <f>F141</f>
        <v>t</v>
      </c>
      <c r="X141" s="471">
        <f>IF(V141=0,0,ROUNDUP(E141/V141,0))</f>
        <v>0</v>
      </c>
      <c r="Y141" s="272" t="str">
        <f>Translate!$A$130</f>
        <v>travels</v>
      </c>
      <c r="Z141" s="273" t="str">
        <f>Translate!$A$128</f>
        <v>empty-return rate</v>
      </c>
      <c r="AA141" s="472">
        <v>0.5</v>
      </c>
      <c r="AB141" s="259"/>
      <c r="AC141" s="259"/>
      <c r="AD141" s="259"/>
      <c r="AE141" s="260"/>
      <c r="AH141">
        <f>HLOOKUP(AI141,$AP$1:$AV$2,2,0)</f>
        <v>2</v>
      </c>
      <c r="AI141" t="str">
        <f>Translate!$A$110</f>
        <v>Waste</v>
      </c>
      <c r="AJ141" s="49">
        <f>L141</f>
        <v>0</v>
      </c>
      <c r="AL141" s="379">
        <f>VLOOKUP(T141,EFtable,8,0)*L141</f>
        <v>0</v>
      </c>
      <c r="AN141">
        <f>ROW(F142)-ROW(F140)</f>
        <v>2</v>
      </c>
      <c r="AO141" s="49">
        <f>AJ141</f>
        <v>0</v>
      </c>
    </row>
    <row r="142" spans="1:41" ht="5.0999999999999996" customHeight="1">
      <c r="A142" s="249"/>
      <c r="C142" s="256"/>
      <c r="D142" s="257"/>
      <c r="E142" s="257"/>
      <c r="F142" s="257"/>
      <c r="G142" s="257"/>
      <c r="H142" s="257"/>
      <c r="I142" s="257"/>
      <c r="J142" s="257"/>
      <c r="K142" s="257"/>
      <c r="L142" s="257"/>
      <c r="M142" s="257"/>
      <c r="N142" s="257"/>
      <c r="O142" s="257"/>
      <c r="P142" s="257"/>
      <c r="Q142" s="257"/>
      <c r="R142" s="257"/>
      <c r="S142" s="257"/>
      <c r="T142" s="257"/>
      <c r="U142" s="257"/>
      <c r="V142" s="257"/>
      <c r="W142" s="257"/>
      <c r="X142" s="257"/>
      <c r="Y142" s="257"/>
      <c r="Z142" s="257"/>
      <c r="AA142" s="257"/>
      <c r="AB142" s="257"/>
      <c r="AC142" s="257"/>
      <c r="AD142" s="257"/>
      <c r="AE142" s="258"/>
    </row>
    <row r="143" spans="1:41">
      <c r="A143" s="249"/>
    </row>
    <row r="144" spans="1:41" ht="20.25">
      <c r="A144" s="249"/>
      <c r="B144" s="249"/>
      <c r="C144" s="249"/>
      <c r="D144" s="250"/>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49"/>
      <c r="AB144" s="249"/>
      <c r="AC144" s="249"/>
      <c r="AD144" s="249"/>
      <c r="AE144" s="249"/>
    </row>
    <row r="146" spans="1:40" ht="20.25">
      <c r="A146" s="357"/>
      <c r="B146" s="357"/>
      <c r="C146" s="357"/>
      <c r="D146" s="358" t="str">
        <f>Translate!$A$86</f>
        <v>Externaly calculated emissions</v>
      </c>
      <c r="E146" s="357"/>
      <c r="F146" s="357"/>
      <c r="G146" s="357"/>
      <c r="H146" s="357"/>
      <c r="I146" s="357"/>
      <c r="J146" s="357"/>
      <c r="K146" s="357"/>
      <c r="L146" s="357"/>
      <c r="M146" s="357"/>
      <c r="N146" s="357"/>
      <c r="O146" s="357"/>
      <c r="P146" s="357"/>
      <c r="Q146" s="357"/>
      <c r="R146" s="357"/>
      <c r="S146" s="357"/>
      <c r="T146" s="357"/>
      <c r="U146" s="357"/>
      <c r="V146" s="357"/>
      <c r="W146" s="357"/>
      <c r="X146" s="357"/>
      <c r="Y146" s="357"/>
      <c r="Z146" s="357"/>
      <c r="AA146" s="357"/>
      <c r="AB146" s="357"/>
      <c r="AC146" s="357"/>
      <c r="AD146" s="357"/>
      <c r="AE146" s="357"/>
    </row>
    <row r="147" spans="1:40">
      <c r="A147" s="357"/>
    </row>
    <row r="148" spans="1:40" ht="6" customHeight="1">
      <c r="A148" s="357"/>
      <c r="C148" s="359"/>
      <c r="D148" s="362"/>
      <c r="E148" s="362"/>
      <c r="F148" s="362"/>
      <c r="G148" s="362"/>
      <c r="H148" s="362"/>
      <c r="I148" s="362"/>
      <c r="J148" s="362"/>
      <c r="K148" s="362"/>
      <c r="L148" s="362"/>
      <c r="M148" s="362"/>
      <c r="N148" s="362"/>
      <c r="O148" s="362"/>
      <c r="P148" s="362"/>
      <c r="Q148" s="362"/>
      <c r="R148" s="362"/>
      <c r="S148" s="362"/>
      <c r="T148" s="362"/>
      <c r="U148" s="362"/>
      <c r="V148" s="362"/>
      <c r="W148" s="362"/>
      <c r="X148" s="362"/>
      <c r="Y148" s="362"/>
      <c r="Z148" s="362"/>
      <c r="AA148" s="362"/>
      <c r="AB148" s="362"/>
      <c r="AC148" s="362"/>
      <c r="AD148" s="362"/>
      <c r="AE148" s="363"/>
    </row>
    <row r="149" spans="1:40" ht="15.75">
      <c r="A149" s="357"/>
      <c r="B149" s="551" t="s">
        <v>316</v>
      </c>
      <c r="C149" s="360"/>
      <c r="D149" s="652" t="str">
        <f>Translate!$A$47</f>
        <v>Name</v>
      </c>
      <c r="E149" s="470"/>
      <c r="F149" s="468" t="str">
        <f>Translate!$A$104</f>
        <v>Materials</v>
      </c>
      <c r="G149" s="368"/>
      <c r="H149" s="651"/>
      <c r="I149" s="366"/>
      <c r="J149" s="366"/>
      <c r="K149" s="366"/>
      <c r="L149" s="465"/>
      <c r="M149" s="369" t="str">
        <f>Translate!$A$102</f>
        <v>kgCO2e</v>
      </c>
      <c r="N149" s="366"/>
      <c r="O149" s="366"/>
      <c r="P149" s="366"/>
      <c r="Q149" s="366"/>
      <c r="R149" s="366"/>
      <c r="S149" s="366"/>
      <c r="T149" s="366"/>
      <c r="U149" s="366"/>
      <c r="V149" s="366"/>
      <c r="W149" s="366"/>
      <c r="X149" s="366"/>
      <c r="Y149" s="366"/>
      <c r="Z149" s="366"/>
      <c r="AA149" s="366"/>
      <c r="AB149" s="366"/>
      <c r="AC149" s="366"/>
      <c r="AD149" s="366"/>
      <c r="AE149" s="367"/>
      <c r="AG149" t="s">
        <v>346</v>
      </c>
      <c r="AH149">
        <f>HLOOKUP(AI149,$AP$1:$AV$2,2,0)</f>
        <v>2</v>
      </c>
      <c r="AI149" t="str">
        <f>F149</f>
        <v>Materials</v>
      </c>
      <c r="AJ149" s="49">
        <f>L149</f>
        <v>0</v>
      </c>
      <c r="AK149" t="str">
        <f>IF(F149=$AQ$1,Translate!$A$118,"")</f>
        <v>Other</v>
      </c>
      <c r="AN149">
        <f>ROW(F150)-ROW(F148)</f>
        <v>2</v>
      </c>
    </row>
    <row r="150" spans="1:40" ht="5.0999999999999996" customHeight="1">
      <c r="A150" s="357"/>
      <c r="C150" s="361"/>
      <c r="D150" s="364"/>
      <c r="E150" s="364"/>
      <c r="F150" s="364"/>
      <c r="G150" s="364"/>
      <c r="H150" s="364"/>
      <c r="I150" s="364"/>
      <c r="J150" s="364"/>
      <c r="K150" s="364"/>
      <c r="L150" s="364"/>
      <c r="M150" s="364"/>
      <c r="N150" s="364"/>
      <c r="O150" s="364"/>
      <c r="P150" s="364"/>
      <c r="Q150" s="364"/>
      <c r="R150" s="364"/>
      <c r="S150" s="364"/>
      <c r="T150" s="364"/>
      <c r="U150" s="364"/>
      <c r="V150" s="364"/>
      <c r="W150" s="364"/>
      <c r="X150" s="364"/>
      <c r="Y150" s="364"/>
      <c r="Z150" s="364"/>
      <c r="AA150" s="364"/>
      <c r="AB150" s="364"/>
      <c r="AC150" s="364"/>
      <c r="AD150" s="364"/>
      <c r="AE150" s="365"/>
    </row>
    <row r="151" spans="1:40">
      <c r="A151" s="357"/>
    </row>
    <row r="152" spans="1:40" ht="20.25">
      <c r="A152" s="357"/>
      <c r="B152" s="357"/>
      <c r="C152" s="357"/>
      <c r="D152" s="358"/>
      <c r="E152" s="357"/>
      <c r="F152" s="357"/>
      <c r="G152" s="357"/>
      <c r="H152" s="357"/>
      <c r="I152" s="357"/>
      <c r="J152" s="357"/>
      <c r="K152" s="357"/>
      <c r="L152" s="357"/>
      <c r="M152" s="357"/>
      <c r="N152" s="357"/>
      <c r="O152" s="357"/>
      <c r="P152" s="357"/>
      <c r="Q152" s="357"/>
      <c r="R152" s="357"/>
      <c r="S152" s="357"/>
      <c r="T152" s="357"/>
      <c r="U152" s="357"/>
      <c r="V152" s="357"/>
      <c r="W152" s="357"/>
      <c r="X152" s="357"/>
      <c r="Y152" s="357"/>
      <c r="Z152" s="357"/>
      <c r="AA152" s="357"/>
      <c r="AB152" s="357"/>
      <c r="AC152" s="357"/>
      <c r="AD152" s="357"/>
      <c r="AE152" s="357"/>
    </row>
  </sheetData>
  <sheetProtection password="C67E" sheet="1" objects="1" scenarios="1" formatColumns="0" formatRows="0"/>
  <mergeCells count="10">
    <mergeCell ref="D110:D111"/>
    <mergeCell ref="F52:H52"/>
    <mergeCell ref="F54:H54"/>
    <mergeCell ref="F58:H58"/>
    <mergeCell ref="F62:H62"/>
    <mergeCell ref="T3:Z4"/>
    <mergeCell ref="AB4:AF10"/>
    <mergeCell ref="B6:B10"/>
    <mergeCell ref="T6:Z10"/>
    <mergeCell ref="V12:X12"/>
  </mergeCells>
  <conditionalFormatting sqref="R7:S10 R6:T6">
    <cfRule type="expression" dxfId="334" priority="236">
      <formula>AND($AW$10,NOT($T$6=""))</formula>
    </cfRule>
  </conditionalFormatting>
  <conditionalFormatting sqref="O102:AE104 O105 AE105 O108 AE108 O115:AD115 O119:O120 O92:AD92 O93:O94 O106:AE106 O107:S107 U107:AE107">
    <cfRule type="expression" dxfId="333" priority="238">
      <formula>IF($AR$2=2,1,0)</formula>
    </cfRule>
  </conditionalFormatting>
  <conditionalFormatting sqref="C23:AE23 C25:AE25 C24 G24:J24 N24:AE24 C27:AE27 C28 C29:AE29 G28:J28">
    <cfRule type="expression" dxfId="332" priority="240">
      <formula>IF($AP$2=2,1,0)</formula>
    </cfRule>
  </conditionalFormatting>
  <conditionalFormatting sqref="C51:AE51 C65:AE65 C52 I52:K52 C67:AE67 C69:AE69 C68 G68:J68 N68:AE68 N52:AE52 N54:O54 R54:AE54 R58:AE58 N58:O58 N62:O62 R62:AE62">
    <cfRule type="expression" dxfId="331" priority="241">
      <formula>IF($AT$2=2,1,0)</formula>
    </cfRule>
  </conditionalFormatting>
  <conditionalFormatting sqref="C75:AE75 C77:AE77 C76 G76:J76 N76:AE76 C132:AE132 C134:AE134 C133 G133:J133 N133:AE133 G137:H137 N137:O137 C138:AE138 C136:AE136 C137 AC137:AE137">
    <cfRule type="expression" dxfId="330" priority="242">
      <formula>IF($AU$2=2,1,0)</formula>
    </cfRule>
  </conditionalFormatting>
  <conditionalFormatting sqref="C35:AE35 C39:AE39 C37:AE37 C36 G36:J36 N36:AE36 C41:AE41 C40 AC40:AE40">
    <cfRule type="expression" dxfId="329" priority="234">
      <formula>IF($AS$2=2,1,0)</formula>
    </cfRule>
  </conditionalFormatting>
  <conditionalFormatting sqref="AB137">
    <cfRule type="expression" dxfId="328" priority="233">
      <formula>IF($AU$2=2,1,0)</formula>
    </cfRule>
  </conditionalFormatting>
  <conditionalFormatting sqref="AB40">
    <cfRule type="expression" dxfId="327" priority="232">
      <formula>IF($AS$2=2,1,0)</formula>
    </cfRule>
  </conditionalFormatting>
  <conditionalFormatting sqref="P89:AD89">
    <cfRule type="expression" dxfId="326" priority="231">
      <formula>IF($AR$2=2,1,0)</formula>
    </cfRule>
  </conditionalFormatting>
  <conditionalFormatting sqref="O95:AE95">
    <cfRule type="expression" dxfId="325" priority="229">
      <formula>IF($AR$2=2,1,0)</formula>
    </cfRule>
  </conditionalFormatting>
  <conditionalFormatting sqref="C95:N95">
    <cfRule type="expression" dxfId="324" priority="230">
      <formula>IF($AQ$2=2,1,0)</formula>
    </cfRule>
  </conditionalFormatting>
  <conditionalFormatting sqref="P94:AD94">
    <cfRule type="expression" dxfId="323" priority="228">
      <formula>IF($AR$2=2,1,0)</formula>
    </cfRule>
  </conditionalFormatting>
  <conditionalFormatting sqref="O100:AE100">
    <cfRule type="expression" dxfId="322" priority="226">
      <formula>IF($AR$2=2,1,0)</formula>
    </cfRule>
  </conditionalFormatting>
  <conditionalFormatting sqref="C100:N100">
    <cfRule type="expression" dxfId="321" priority="227">
      <formula>IF($AQ$2=2,1,0)</formula>
    </cfRule>
  </conditionalFormatting>
  <conditionalFormatting sqref="P99:AD99">
    <cfRule type="expression" dxfId="320" priority="225">
      <formula>IF($AR$2=2,1,0)</formula>
    </cfRule>
  </conditionalFormatting>
  <conditionalFormatting sqref="E94">
    <cfRule type="expression" dxfId="319" priority="224">
      <formula>IF(E94="do not apply",1,0)</formula>
    </cfRule>
  </conditionalFormatting>
  <conditionalFormatting sqref="E99">
    <cfRule type="expression" dxfId="318" priority="223">
      <formula>IF(E99="do not apply",1,0)</formula>
    </cfRule>
  </conditionalFormatting>
  <conditionalFormatting sqref="O114">
    <cfRule type="expression" dxfId="317" priority="222">
      <formula>IF($AR$2=2,1,0)</formula>
    </cfRule>
  </conditionalFormatting>
  <conditionalFormatting sqref="P114:AD114">
    <cfRule type="expression" dxfId="316" priority="221">
      <formula>IF($AR$2=2,1,0)</formula>
    </cfRule>
  </conditionalFormatting>
  <conditionalFormatting sqref="O117">
    <cfRule type="expression" dxfId="315" priority="219">
      <formula>IF($AR$2=2,1,0)</formula>
    </cfRule>
  </conditionalFormatting>
  <conditionalFormatting sqref="P117:AD117">
    <cfRule type="expression" dxfId="314" priority="218">
      <formula>IF($AR$2=2,1,0)</formula>
    </cfRule>
  </conditionalFormatting>
  <conditionalFormatting sqref="O120">
    <cfRule type="expression" dxfId="313" priority="216">
      <formula>IF($AR$2=2,1,0)</formula>
    </cfRule>
  </conditionalFormatting>
  <conditionalFormatting sqref="P120:AD120">
    <cfRule type="expression" dxfId="312" priority="215">
      <formula>IF($AR$2=2,1,0)</formula>
    </cfRule>
  </conditionalFormatting>
  <conditionalFormatting sqref="O123">
    <cfRule type="expression" dxfId="311" priority="213">
      <formula>IF($AR$2=2,1,0)</formula>
    </cfRule>
  </conditionalFormatting>
  <conditionalFormatting sqref="P123:AD123">
    <cfRule type="expression" dxfId="310" priority="212">
      <formula>IF($AR$2=2,1,0)</formula>
    </cfRule>
  </conditionalFormatting>
  <conditionalFormatting sqref="H89:M89">
    <cfRule type="expression" dxfId="309" priority="207">
      <formula>IF($AQ$2=2,1,0)</formula>
    </cfRule>
  </conditionalFormatting>
  <conditionalFormatting sqref="I94:M94">
    <cfRule type="expression" dxfId="308" priority="206">
      <formula>IF($AQ$2=2,1,0)</formula>
    </cfRule>
  </conditionalFormatting>
  <conditionalFormatting sqref="I99:M99">
    <cfRule type="expression" dxfId="307" priority="205">
      <formula>IF($AQ$2=2,1,0)</formula>
    </cfRule>
  </conditionalFormatting>
  <conditionalFormatting sqref="Y40:Z40">
    <cfRule type="expression" dxfId="306" priority="203">
      <formula>IF($AS$2=2,1,0)</formula>
    </cfRule>
  </conditionalFormatting>
  <conditionalFormatting sqref="X40">
    <cfRule type="expression" dxfId="305" priority="199">
      <formula>IF($AS$2=2,1,0)</formula>
    </cfRule>
  </conditionalFormatting>
  <conditionalFormatting sqref="G40">
    <cfRule type="expression" dxfId="304" priority="201">
      <formula>IF($AS$2=2,1,0)</formula>
    </cfRule>
  </conditionalFormatting>
  <conditionalFormatting sqref="AA40">
    <cfRule type="expression" dxfId="303" priority="202">
      <formula>IF($AS$2=2,1,0)</formula>
    </cfRule>
  </conditionalFormatting>
  <conditionalFormatting sqref="H40">
    <cfRule type="expression" dxfId="302" priority="200">
      <formula>IF($AS$2=2,1,0)</formula>
    </cfRule>
  </conditionalFormatting>
  <conditionalFormatting sqref="W40">
    <cfRule type="expression" dxfId="301" priority="198">
      <formula>IF($AS$2=2,1,0)</formula>
    </cfRule>
  </conditionalFormatting>
  <conditionalFormatting sqref="Q40">
    <cfRule type="expression" dxfId="300" priority="197">
      <formula>IF($AS$2=2,1,0)</formula>
    </cfRule>
  </conditionalFormatting>
  <conditionalFormatting sqref="T40">
    <cfRule type="expression" dxfId="299" priority="196">
      <formula>IF($AS$2=2,1,0)</formula>
    </cfRule>
  </conditionalFormatting>
  <conditionalFormatting sqref="O109:AE112 AE113:AE123">
    <cfRule type="expression" dxfId="298" priority="185">
      <formula>IF($AR$2=2,1,0)</formula>
    </cfRule>
  </conditionalFormatting>
  <conditionalFormatting sqref="O121">
    <cfRule type="expression" dxfId="297" priority="184">
      <formula>IF($AR$2=2,1,0)</formula>
    </cfRule>
  </conditionalFormatting>
  <conditionalFormatting sqref="P121:AD121">
    <cfRule type="expression" dxfId="296" priority="183">
      <formula>IF($AR$2=2,1,0)</formula>
    </cfRule>
  </conditionalFormatting>
  <conditionalFormatting sqref="O122">
    <cfRule type="expression" dxfId="295" priority="182">
      <formula>IF($AR$2=2,1,0)</formula>
    </cfRule>
  </conditionalFormatting>
  <conditionalFormatting sqref="O90:AE90">
    <cfRule type="expression" dxfId="294" priority="177">
      <formula>IF($AR$2=2,1,0)</formula>
    </cfRule>
  </conditionalFormatting>
  <conditionalFormatting sqref="O126:AE126">
    <cfRule type="expression" dxfId="293" priority="181">
      <formula>IF($AR$2=2,1,0)</formula>
    </cfRule>
  </conditionalFormatting>
  <conditionalFormatting sqref="O87:AE87">
    <cfRule type="expression" dxfId="292" priority="180">
      <formula>IF($AR$2=2,1,0)</formula>
    </cfRule>
  </conditionalFormatting>
  <conditionalFormatting sqref="AE88:AE89">
    <cfRule type="expression" dxfId="291" priority="179">
      <formula>IF($AR$2=2,1,0)</formula>
    </cfRule>
  </conditionalFormatting>
  <conditionalFormatting sqref="O88:O89">
    <cfRule type="expression" dxfId="290" priority="178">
      <formula>IF($AR$2=2,1,0)</formula>
    </cfRule>
  </conditionalFormatting>
  <conditionalFormatting sqref="W108:AD108 P108:S108 U108 P113 U113 R113:S113 P116:S116 U116 P119 U119 R119:S119 P122 U122 R122:S122">
    <cfRule type="expression" dxfId="289" priority="175">
      <formula>IF($M$104,1,0)</formula>
    </cfRule>
  </conditionalFormatting>
  <conditionalFormatting sqref="P105 R105:U105 W105:AD105">
    <cfRule type="expression" dxfId="288" priority="174">
      <formula>IF($M$104,0,1)</formula>
    </cfRule>
  </conditionalFormatting>
  <conditionalFormatting sqref="O118:AD118">
    <cfRule type="expression" dxfId="287" priority="172">
      <formula>IF($AR$2=2,1,0)</formula>
    </cfRule>
  </conditionalFormatting>
  <conditionalFormatting sqref="O118">
    <cfRule type="expression" dxfId="286" priority="171">
      <formula>IF($AR$2=2,1,0)</formula>
    </cfRule>
  </conditionalFormatting>
  <conditionalFormatting sqref="M52 M54 M58 M62">
    <cfRule type="expression" dxfId="285" priority="170">
      <formula>IF($AT$2=2,1,0)</formula>
    </cfRule>
  </conditionalFormatting>
  <conditionalFormatting sqref="V108">
    <cfRule type="expression" dxfId="284" priority="169">
      <formula>IF($M$104,1,0)</formula>
    </cfRule>
  </conditionalFormatting>
  <conditionalFormatting sqref="F89">
    <cfRule type="expression" dxfId="283" priority="164">
      <formula>IF(F89="-reused-",1,0)</formula>
    </cfRule>
  </conditionalFormatting>
  <conditionalFormatting sqref="F99 F94">
    <cfRule type="expression" dxfId="282" priority="163">
      <formula>IF(F94="-reused-",1,0)</formula>
    </cfRule>
  </conditionalFormatting>
  <conditionalFormatting sqref="C19:AE19 C21:AE21 C20 G20:J20 N20:AE20">
    <cfRule type="expression" dxfId="281" priority="162">
      <formula>IF($AP$2=2,1,0)</formula>
    </cfRule>
  </conditionalFormatting>
  <conditionalFormatting sqref="G141:H141 N141:O141 C142:AE142 C140:AE140 C141 AC141:AE141">
    <cfRule type="expression" dxfId="280" priority="160">
      <formula>IF($AU$2=2,1,0)</formula>
    </cfRule>
  </conditionalFormatting>
  <conditionalFormatting sqref="AB141">
    <cfRule type="expression" dxfId="279" priority="159">
      <formula>IF($AU$2=2,1,0)</formula>
    </cfRule>
  </conditionalFormatting>
  <conditionalFormatting sqref="C53:AE53">
    <cfRule type="expression" dxfId="278" priority="158">
      <formula>IF($AT$2=2,1,0)</formula>
    </cfRule>
  </conditionalFormatting>
  <conditionalFormatting sqref="C55:L55">
    <cfRule type="expression" dxfId="277" priority="157">
      <formula>IF($AT$2=2,1,0)</formula>
    </cfRule>
  </conditionalFormatting>
  <conditionalFormatting sqref="C59:L59">
    <cfRule type="expression" dxfId="276" priority="156">
      <formula>IF($AT$2=2,1,0)</formula>
    </cfRule>
  </conditionalFormatting>
  <conditionalFormatting sqref="M55:AE55">
    <cfRule type="expression" dxfId="275" priority="155">
      <formula>IF($AT$2=2,1,0)</formula>
    </cfRule>
  </conditionalFormatting>
  <conditionalFormatting sqref="M59:AE59">
    <cfRule type="expression" dxfId="274" priority="154">
      <formula>IF($AT$2=2,1,0)</formula>
    </cfRule>
  </conditionalFormatting>
  <conditionalFormatting sqref="M57:AE57">
    <cfRule type="expression" dxfId="273" priority="152">
      <formula>IF($AT$2=2,1,0)</formula>
    </cfRule>
  </conditionalFormatting>
  <conditionalFormatting sqref="C57:L57">
    <cfRule type="expression" dxfId="272" priority="153">
      <formula>IF($AT$2=2,1,0)</formula>
    </cfRule>
  </conditionalFormatting>
  <conditionalFormatting sqref="M61:AE61">
    <cfRule type="expression" dxfId="271" priority="150">
      <formula>IF($AT$2=2,1,0)</formula>
    </cfRule>
  </conditionalFormatting>
  <conditionalFormatting sqref="C61:L61">
    <cfRule type="expression" dxfId="270" priority="151">
      <formula>IF($AT$2=2,1,0)</formula>
    </cfRule>
  </conditionalFormatting>
  <conditionalFormatting sqref="Q105">
    <cfRule type="expression" dxfId="269" priority="149">
      <formula>IF($M$104,0,1)</formula>
    </cfRule>
  </conditionalFormatting>
  <conditionalFormatting sqref="V122">
    <cfRule type="expression" dxfId="268" priority="138">
      <formula>IF($M$104,1,0)</formula>
    </cfRule>
  </conditionalFormatting>
  <conditionalFormatting sqref="O116">
    <cfRule type="expression" dxfId="267" priority="148">
      <formula>IF($AR$2=2,1,0)</formula>
    </cfRule>
  </conditionalFormatting>
  <conditionalFormatting sqref="T108">
    <cfRule type="expression" dxfId="266" priority="147">
      <formula>IF($M$104,1,0)</formula>
    </cfRule>
  </conditionalFormatting>
  <conditionalFormatting sqref="W113 Y113:AD113">
    <cfRule type="expression" dxfId="265" priority="146">
      <formula>IF($M$104,1,0)</formula>
    </cfRule>
  </conditionalFormatting>
  <conditionalFormatting sqref="V113">
    <cfRule type="expression" dxfId="264" priority="145">
      <formula>IF($M$104,1,0)</formula>
    </cfRule>
  </conditionalFormatting>
  <conditionalFormatting sqref="T113">
    <cfRule type="expression" dxfId="263" priority="144">
      <formula>IF($M$104,1,0)</formula>
    </cfRule>
  </conditionalFormatting>
  <conditionalFormatting sqref="Y116:AD116">
    <cfRule type="expression" dxfId="262" priority="143">
      <formula>IF($M$104,1,0)</formula>
    </cfRule>
  </conditionalFormatting>
  <conditionalFormatting sqref="V116">
    <cfRule type="expression" dxfId="261" priority="142">
      <formula>IF($M$104,1,0)</formula>
    </cfRule>
  </conditionalFormatting>
  <conditionalFormatting sqref="Y119:AD119">
    <cfRule type="expression" dxfId="260" priority="141">
      <formula>IF($M$104,1,0)</formula>
    </cfRule>
  </conditionalFormatting>
  <conditionalFormatting sqref="V119">
    <cfRule type="expression" dxfId="259" priority="140">
      <formula>IF($M$104,1,0)</formula>
    </cfRule>
  </conditionalFormatting>
  <conditionalFormatting sqref="X122:AD122">
    <cfRule type="expression" dxfId="258" priority="139">
      <formula>IF($M$104,1,0)</formula>
    </cfRule>
  </conditionalFormatting>
  <conditionalFormatting sqref="O113">
    <cfRule type="expression" dxfId="257" priority="137">
      <formula>IF($AR$2=2,1,0)</formula>
    </cfRule>
  </conditionalFormatting>
  <conditionalFormatting sqref="Q113">
    <cfRule type="expression" dxfId="256" priority="136">
      <formula>IF($M$104,1,0)</formula>
    </cfRule>
  </conditionalFormatting>
  <conditionalFormatting sqref="Q119">
    <cfRule type="expression" dxfId="255" priority="135">
      <formula>IF($M$104,1,0)</formula>
    </cfRule>
  </conditionalFormatting>
  <conditionalFormatting sqref="Q122">
    <cfRule type="expression" dxfId="254" priority="134">
      <formula>IF($M$104,1,0)</formula>
    </cfRule>
  </conditionalFormatting>
  <conditionalFormatting sqref="T116">
    <cfRule type="expression" dxfId="253" priority="133">
      <formula>IF($M$104,1,0)</formula>
    </cfRule>
  </conditionalFormatting>
  <conditionalFormatting sqref="T119">
    <cfRule type="expression" dxfId="252" priority="132">
      <formula>IF($M$104,1,0)</formula>
    </cfRule>
  </conditionalFormatting>
  <conditionalFormatting sqref="T122">
    <cfRule type="expression" dxfId="251" priority="131">
      <formula>IF($M$104,1,0)</formula>
    </cfRule>
  </conditionalFormatting>
  <conditionalFormatting sqref="O98:O99">
    <cfRule type="expression" dxfId="250" priority="130">
      <formula>IF($AR$2=2,1,0)</formula>
    </cfRule>
  </conditionalFormatting>
  <conditionalFormatting sqref="O97:AD97">
    <cfRule type="expression" dxfId="249" priority="129">
      <formula>IF($AR$2=2,1,0)</formula>
    </cfRule>
  </conditionalFormatting>
  <conditionalFormatting sqref="AE92">
    <cfRule type="expression" dxfId="248" priority="128">
      <formula>IF($AR$2=2,1,0)</formula>
    </cfRule>
  </conditionalFormatting>
  <conditionalFormatting sqref="AE93:AE94">
    <cfRule type="expression" dxfId="247" priority="127">
      <formula>IF($AR$2=2,1,0)</formula>
    </cfRule>
  </conditionalFormatting>
  <conditionalFormatting sqref="AE97">
    <cfRule type="expression" dxfId="246" priority="126">
      <formula>IF($AR$2=2,1,0)</formula>
    </cfRule>
  </conditionalFormatting>
  <conditionalFormatting sqref="AE98:AE99">
    <cfRule type="expression" dxfId="245" priority="125">
      <formula>IF($AR$2=2,1,0)</formula>
    </cfRule>
  </conditionalFormatting>
  <conditionalFormatting sqref="E89">
    <cfRule type="expression" dxfId="244" priority="124">
      <formula>IF(E89="do not apply",1,0)</formula>
    </cfRule>
  </conditionalFormatting>
  <conditionalFormatting sqref="C63:AE63">
    <cfRule type="expression" dxfId="243" priority="123">
      <formula>IF($AT$2=2,1,0)</formula>
    </cfRule>
  </conditionalFormatting>
  <conditionalFormatting sqref="O125:AE125">
    <cfRule type="expression" dxfId="242" priority="122">
      <formula>IF($AR$2=2,1,0)</formula>
    </cfRule>
  </conditionalFormatting>
  <conditionalFormatting sqref="O124:AE124">
    <cfRule type="expression" dxfId="241" priority="120">
      <formula>IF($AR$2=2,1,0)</formula>
    </cfRule>
  </conditionalFormatting>
  <conditionalFormatting sqref="H88">
    <cfRule type="expression" dxfId="240" priority="118">
      <formula>IF($AQ$2=2,1,0)</formula>
    </cfRule>
  </conditionalFormatting>
  <conditionalFormatting sqref="G88">
    <cfRule type="expression" dxfId="239" priority="117">
      <formula>IF($AQ$2=2,1,0)</formula>
    </cfRule>
  </conditionalFormatting>
  <conditionalFormatting sqref="G89">
    <cfRule type="expression" dxfId="238" priority="116">
      <formula>IF($AQ$2=2,1,0)</formula>
    </cfRule>
  </conditionalFormatting>
  <conditionalFormatting sqref="C87:N87">
    <cfRule type="expression" dxfId="237" priority="115">
      <formula>IF($AQ$2=2,1,0)</formula>
    </cfRule>
  </conditionalFormatting>
  <conditionalFormatting sqref="N88:N90 C90:M90">
    <cfRule type="expression" dxfId="236" priority="114">
      <formula>IF($AQ$2=2,1,0)</formula>
    </cfRule>
  </conditionalFormatting>
  <conditionalFormatting sqref="C89">
    <cfRule type="expression" dxfId="235" priority="113">
      <formula>IF($AQ$2=2,1,0)</formula>
    </cfRule>
  </conditionalFormatting>
  <conditionalFormatting sqref="C88">
    <cfRule type="expression" dxfId="234" priority="112">
      <formula>IF($AQ$2=2,1,0)</formula>
    </cfRule>
  </conditionalFormatting>
  <conditionalFormatting sqref="C92:M92">
    <cfRule type="expression" dxfId="233" priority="111">
      <formula>IF($AQ$2=2,1,0)</formula>
    </cfRule>
  </conditionalFormatting>
  <conditionalFormatting sqref="C97:M97">
    <cfRule type="expression" dxfId="232" priority="110">
      <formula>IF($AQ$2=2,1,0)</formula>
    </cfRule>
  </conditionalFormatting>
  <conditionalFormatting sqref="C94">
    <cfRule type="expression" dxfId="231" priority="108">
      <formula>IF($AQ$2=2,1,0)</formula>
    </cfRule>
  </conditionalFormatting>
  <conditionalFormatting sqref="C93">
    <cfRule type="expression" dxfId="230" priority="107">
      <formula>IF($AQ$2=2,1,0)</formula>
    </cfRule>
  </conditionalFormatting>
  <conditionalFormatting sqref="C99">
    <cfRule type="expression" dxfId="229" priority="106">
      <formula>IF($AQ$2=2,1,0)</formula>
    </cfRule>
  </conditionalFormatting>
  <conditionalFormatting sqref="C98">
    <cfRule type="expression" dxfId="228" priority="105">
      <formula>IF($AQ$2=2,1,0)</formula>
    </cfRule>
  </conditionalFormatting>
  <conditionalFormatting sqref="H94">
    <cfRule type="expression" dxfId="227" priority="104">
      <formula>IF($AQ$2=2,1,0)</formula>
    </cfRule>
  </conditionalFormatting>
  <conditionalFormatting sqref="H93">
    <cfRule type="expression" dxfId="226" priority="103">
      <formula>IF($AQ$2=2,1,0)</formula>
    </cfRule>
  </conditionalFormatting>
  <conditionalFormatting sqref="G93">
    <cfRule type="expression" dxfId="225" priority="102">
      <formula>IF($AQ$2=2,1,0)</formula>
    </cfRule>
  </conditionalFormatting>
  <conditionalFormatting sqref="G94">
    <cfRule type="expression" dxfId="224" priority="101">
      <formula>IF($AQ$2=2,1,0)</formula>
    </cfRule>
  </conditionalFormatting>
  <conditionalFormatting sqref="H99">
    <cfRule type="expression" dxfId="223" priority="100">
      <formula>IF($AQ$2=2,1,0)</formula>
    </cfRule>
  </conditionalFormatting>
  <conditionalFormatting sqref="H98">
    <cfRule type="expression" dxfId="222" priority="99">
      <formula>IF($AQ$2=2,1,0)</formula>
    </cfRule>
  </conditionalFormatting>
  <conditionalFormatting sqref="G98">
    <cfRule type="expression" dxfId="221" priority="98">
      <formula>IF($AQ$2=2,1,0)</formula>
    </cfRule>
  </conditionalFormatting>
  <conditionalFormatting sqref="G99">
    <cfRule type="expression" dxfId="220" priority="97">
      <formula>IF($AQ$2=2,1,0)</formula>
    </cfRule>
  </conditionalFormatting>
  <conditionalFormatting sqref="N92">
    <cfRule type="expression" dxfId="219" priority="96">
      <formula>IF($AQ$2=2,1,0)</formula>
    </cfRule>
  </conditionalFormatting>
  <conditionalFormatting sqref="N93:N94">
    <cfRule type="expression" dxfId="218" priority="95">
      <formula>IF($AQ$2=2,1,0)</formula>
    </cfRule>
  </conditionalFormatting>
  <conditionalFormatting sqref="N97">
    <cfRule type="expression" dxfId="217" priority="94">
      <formula>IF($AQ$2=2,1,0)</formula>
    </cfRule>
  </conditionalFormatting>
  <conditionalFormatting sqref="N98:N99">
    <cfRule type="expression" dxfId="216" priority="93">
      <formula>IF($AQ$2=2,1,0)</formula>
    </cfRule>
  </conditionalFormatting>
  <conditionalFormatting sqref="C102:C104">
    <cfRule type="expression" dxfId="215" priority="39">
      <formula>IF($AQ$2=2,1,0)</formula>
    </cfRule>
  </conditionalFormatting>
  <conditionalFormatting sqref="D102:N102">
    <cfRule type="expression" dxfId="214" priority="38">
      <formula>IF($AQ$2=2,1,0)</formula>
    </cfRule>
  </conditionalFormatting>
  <conditionalFormatting sqref="M103">
    <cfRule type="expression" dxfId="213" priority="37">
      <formula>IF($AQ$2=2,1,0)</formula>
    </cfRule>
  </conditionalFormatting>
  <conditionalFormatting sqref="M104">
    <cfRule type="expression" dxfId="212" priority="36">
      <formula>IF($AQ$2=2,1,0)</formula>
    </cfRule>
  </conditionalFormatting>
  <conditionalFormatting sqref="N103:N104">
    <cfRule type="expression" dxfId="211" priority="35">
      <formula>IF($AQ$2=2,1,0)</formula>
    </cfRule>
  </conditionalFormatting>
  <conditionalFormatting sqref="G106:N110">
    <cfRule type="expression" dxfId="210" priority="34">
      <formula>IF($AQ$2=2,1,0)</formula>
    </cfRule>
  </conditionalFormatting>
  <conditionalFormatting sqref="K103:K105">
    <cfRule type="expression" dxfId="209" priority="33">
      <formula>IF($AQ$2=2,1,0)</formula>
    </cfRule>
  </conditionalFormatting>
  <conditionalFormatting sqref="F103:J104">
    <cfRule type="expression" dxfId="208" priority="32">
      <formula>IF($AQ$2=2,1,0)</formula>
    </cfRule>
  </conditionalFormatting>
  <conditionalFormatting sqref="D103:E103">
    <cfRule type="expression" dxfId="207" priority="31">
      <formula>IF($AQ$2=2,1,0)</formula>
    </cfRule>
  </conditionalFormatting>
  <conditionalFormatting sqref="D106:F106">
    <cfRule type="expression" dxfId="206" priority="30">
      <formula>IF($AQ$2=2,1,0)</formula>
    </cfRule>
  </conditionalFormatting>
  <conditionalFormatting sqref="F107">
    <cfRule type="expression" dxfId="205" priority="29">
      <formula>IF($AQ$2=2,1,0)</formula>
    </cfRule>
  </conditionalFormatting>
  <conditionalFormatting sqref="J114:N114">
    <cfRule type="expression" dxfId="204" priority="28">
      <formula>IF($AQ$2=2,1,0)</formula>
    </cfRule>
  </conditionalFormatting>
  <conditionalFormatting sqref="N116:N125">
    <cfRule type="expression" dxfId="203" priority="27">
      <formula>IF($AQ$2=2,1,0)</formula>
    </cfRule>
  </conditionalFormatting>
  <conditionalFormatting sqref="G124:M125">
    <cfRule type="expression" dxfId="202" priority="26">
      <formula>IF($AQ$2=2,1,0)</formula>
    </cfRule>
  </conditionalFormatting>
  <conditionalFormatting sqref="T107">
    <cfRule type="expression" dxfId="201" priority="77">
      <formula>IF($AR$2=2,1,0)</formula>
    </cfRule>
  </conditionalFormatting>
  <conditionalFormatting sqref="C79:AE79 C81:AE81 C80 G80:H80 N80:O80 AB80:AE80">
    <cfRule type="expression" dxfId="200" priority="76">
      <formula>IF($AU$2=2,1,0)</formula>
    </cfRule>
  </conditionalFormatting>
  <conditionalFormatting sqref="X44">
    <cfRule type="expression" dxfId="199" priority="69">
      <formula>IF($AS$2=2,1,0)</formula>
    </cfRule>
  </conditionalFormatting>
  <conditionalFormatting sqref="C43:AE43">
    <cfRule type="expression" dxfId="198" priority="75">
      <formula>IF($AS$2=2,1,0)</formula>
    </cfRule>
  </conditionalFormatting>
  <conditionalFormatting sqref="AB44">
    <cfRule type="expression" dxfId="197" priority="74">
      <formula>IF($AS$2=2,1,0)</formula>
    </cfRule>
  </conditionalFormatting>
  <conditionalFormatting sqref="Y44:Z44">
    <cfRule type="expression" dxfId="196" priority="73">
      <formula>IF($AS$2=2,1,0)</formula>
    </cfRule>
  </conditionalFormatting>
  <conditionalFormatting sqref="G44">
    <cfRule type="expression" dxfId="195" priority="71">
      <formula>IF($AS$2=2,1,0)</formula>
    </cfRule>
  </conditionalFormatting>
  <conditionalFormatting sqref="AA44">
    <cfRule type="expression" dxfId="194" priority="72">
      <formula>IF($AS$2=2,1,0)</formula>
    </cfRule>
  </conditionalFormatting>
  <conditionalFormatting sqref="H44">
    <cfRule type="expression" dxfId="193" priority="70">
      <formula>IF($AS$2=2,1,0)</formula>
    </cfRule>
  </conditionalFormatting>
  <conditionalFormatting sqref="W44">
    <cfRule type="expression" dxfId="192" priority="68">
      <formula>IF($AS$2=2,1,0)</formula>
    </cfRule>
  </conditionalFormatting>
  <conditionalFormatting sqref="Q44">
    <cfRule type="expression" dxfId="191" priority="67">
      <formula>IF($AS$2=2,1,0)</formula>
    </cfRule>
  </conditionalFormatting>
  <conditionalFormatting sqref="T44">
    <cfRule type="expression" dxfId="190" priority="66">
      <formula>IF($AS$2=2,1,0)</formula>
    </cfRule>
  </conditionalFormatting>
  <conditionalFormatting sqref="C45:AE45">
    <cfRule type="expression" dxfId="189" priority="65">
      <formula>IF($AS$2=2,1,0)</formula>
    </cfRule>
  </conditionalFormatting>
  <conditionalFormatting sqref="C44">
    <cfRule type="expression" dxfId="188" priority="64">
      <formula>IF($AS$2=2,1,0)</formula>
    </cfRule>
  </conditionalFormatting>
  <conditionalFormatting sqref="AC44:AE44">
    <cfRule type="expression" dxfId="187" priority="63">
      <formula>IF($AS$2=2,1,0)</formula>
    </cfRule>
  </conditionalFormatting>
  <conditionalFormatting sqref="G105:H105 D112:H112 D115:F115 G113:H113 N113 G111:H111 N111 N105 J115:N115 J112:N112">
    <cfRule type="expression" dxfId="186" priority="61">
      <formula>IF($AQ$2=2,1,0)</formula>
    </cfRule>
  </conditionalFormatting>
  <conditionalFormatting sqref="E120">
    <cfRule type="expression" dxfId="185" priority="58">
      <formula>IF(E120="do not apply",1,0)</formula>
    </cfRule>
  </conditionalFormatting>
  <conditionalFormatting sqref="E114">
    <cfRule type="expression" dxfId="184" priority="60">
      <formula>IF(E114="do not apply",1,0)</formula>
    </cfRule>
  </conditionalFormatting>
  <conditionalFormatting sqref="E117">
    <cfRule type="expression" dxfId="183" priority="59">
      <formula>IF(E117="do not apply",1,0)</formula>
    </cfRule>
  </conditionalFormatting>
  <conditionalFormatting sqref="I123:M123">
    <cfRule type="expression" dxfId="182" priority="54">
      <formula>IF($AQ$2=2,1,0)</formula>
    </cfRule>
  </conditionalFormatting>
  <conditionalFormatting sqref="E123">
    <cfRule type="expression" dxfId="181" priority="57">
      <formula>IF(E123="do not apply",1,0)</formula>
    </cfRule>
  </conditionalFormatting>
  <conditionalFormatting sqref="J117:M117">
    <cfRule type="expression" dxfId="180" priority="56">
      <formula>IF($AQ$2=2,1,0)</formula>
    </cfRule>
  </conditionalFormatting>
  <conditionalFormatting sqref="J120:M120">
    <cfRule type="expression" dxfId="179" priority="55">
      <formula>IF($AQ$2=2,1,0)</formula>
    </cfRule>
  </conditionalFormatting>
  <conditionalFormatting sqref="L105:M105">
    <cfRule type="expression" dxfId="178" priority="53">
      <formula>IF($AQ$2=2,1,0)</formula>
    </cfRule>
  </conditionalFormatting>
  <conditionalFormatting sqref="L103">
    <cfRule type="expression" dxfId="177" priority="52">
      <formula>IF($AQ$2=2,1,0)</formula>
    </cfRule>
  </conditionalFormatting>
  <conditionalFormatting sqref="D118:F118 J118:M118">
    <cfRule type="expression" dxfId="176" priority="51">
      <formula>IF($AQ$2=2,1,0)</formula>
    </cfRule>
  </conditionalFormatting>
  <conditionalFormatting sqref="F123">
    <cfRule type="expression" dxfId="175" priority="50">
      <formula>IF(F123="-reused-",1,0)</formula>
    </cfRule>
  </conditionalFormatting>
  <conditionalFormatting sqref="F120">
    <cfRule type="expression" dxfId="174" priority="49">
      <formula>IF(F120="-reused-",1,0)</formula>
    </cfRule>
  </conditionalFormatting>
  <conditionalFormatting sqref="F117">
    <cfRule type="expression" dxfId="173" priority="48">
      <formula>IF(F117="-reused-",1,0)</formula>
    </cfRule>
  </conditionalFormatting>
  <conditionalFormatting sqref="F114">
    <cfRule type="expression" dxfId="172" priority="47">
      <formula>IF(F114="-reused-",1,0)</formula>
    </cfRule>
  </conditionalFormatting>
  <conditionalFormatting sqref="C105:C106 C108:C112 C114:C115 C120:C121 C123 C117:C118 C126">
    <cfRule type="expression" dxfId="171" priority="46">
      <formula>IF($AQ$2=2,1,0)</formula>
    </cfRule>
  </conditionalFormatting>
  <conditionalFormatting sqref="C125">
    <cfRule type="expression" dxfId="170" priority="45">
      <formula>IF($AQ$2=2,1,0)</formula>
    </cfRule>
  </conditionalFormatting>
  <conditionalFormatting sqref="C124">
    <cfRule type="expression" dxfId="169" priority="44">
      <formula>IF($AQ$2=2,1,0)</formula>
    </cfRule>
  </conditionalFormatting>
  <conditionalFormatting sqref="G114:H120 G122:H123">
    <cfRule type="expression" dxfId="168" priority="25">
      <formula>IF($AQ$2=2,1,0)</formula>
    </cfRule>
  </conditionalFormatting>
  <conditionalFormatting sqref="D121:H121 J121:M121">
    <cfRule type="expression" dxfId="167" priority="24">
      <formula>IF($AQ$2=2,1,0)</formula>
    </cfRule>
  </conditionalFormatting>
  <conditionalFormatting sqref="D124:F124">
    <cfRule type="expression" dxfId="166" priority="23">
      <formula>IF($AQ$2=2,1,0)</formula>
    </cfRule>
  </conditionalFormatting>
  <conditionalFormatting sqref="D125">
    <cfRule type="expression" dxfId="165" priority="22">
      <formula>IF($AQ$2=2,1,0)</formula>
    </cfRule>
  </conditionalFormatting>
  <conditionalFormatting sqref="D126:N126">
    <cfRule type="expression" dxfId="164" priority="21">
      <formula>IF($AQ$2=2,1,0)</formula>
    </cfRule>
  </conditionalFormatting>
  <conditionalFormatting sqref="F109">
    <cfRule type="expression" dxfId="163" priority="20">
      <formula>IF($AQ$2=2,1,0)</formula>
    </cfRule>
  </conditionalFormatting>
  <conditionalFormatting sqref="W116">
    <cfRule type="expression" dxfId="162" priority="19">
      <formula>IF($M$104,1,0)</formula>
    </cfRule>
  </conditionalFormatting>
  <conditionalFormatting sqref="W119">
    <cfRule type="expression" dxfId="161" priority="18">
      <formula>IF($M$104,1,0)</formula>
    </cfRule>
  </conditionalFormatting>
  <conditionalFormatting sqref="W122">
    <cfRule type="expression" dxfId="160" priority="17">
      <formula>IF($M$104,1,0)</formula>
    </cfRule>
  </conditionalFormatting>
  <conditionalFormatting sqref="I115 I112">
    <cfRule type="expression" dxfId="159" priority="16">
      <formula>IF($AQ$2=2,1,0)</formula>
    </cfRule>
  </conditionalFormatting>
  <conditionalFormatting sqref="I117">
    <cfRule type="expression" dxfId="158" priority="15">
      <formula>IF($AQ$2=2,1,0)</formula>
    </cfRule>
  </conditionalFormatting>
  <conditionalFormatting sqref="I120">
    <cfRule type="expression" dxfId="157" priority="14">
      <formula>IF($AQ$2=2,1,0)</formula>
    </cfRule>
  </conditionalFormatting>
  <conditionalFormatting sqref="I118">
    <cfRule type="expression" dxfId="156" priority="13">
      <formula>IF($AQ$2=2,1,0)</formula>
    </cfRule>
  </conditionalFormatting>
  <conditionalFormatting sqref="I114">
    <cfRule type="expression" dxfId="155" priority="12">
      <formula>IF($AQ$2=2,1,0)</formula>
    </cfRule>
  </conditionalFormatting>
  <conditionalFormatting sqref="I121">
    <cfRule type="expression" dxfId="154" priority="11">
      <formula>IF($AQ$2=2,1,0)</formula>
    </cfRule>
  </conditionalFormatting>
  <conditionalFormatting sqref="V105">
    <cfRule type="expression" dxfId="153" priority="9">
      <formula>IF($M$104,0,1)</formula>
    </cfRule>
  </conditionalFormatting>
  <conditionalFormatting sqref="F108">
    <cfRule type="expression" dxfId="152" priority="8">
      <formula>IF(COUNTIF(#REF!,F108)=0,1,0)</formula>
    </cfRule>
  </conditionalFormatting>
  <conditionalFormatting sqref="F113">
    <cfRule type="expression" dxfId="151" priority="7">
      <formula>IF(COUNTIF(#REF!,F113)=0,1,0)</formula>
    </cfRule>
  </conditionalFormatting>
  <conditionalFormatting sqref="F116">
    <cfRule type="expression" dxfId="150" priority="6">
      <formula>IF(COUNTIF(#REF!,F116)=0,1,0)</formula>
    </cfRule>
  </conditionalFormatting>
  <conditionalFormatting sqref="F119">
    <cfRule type="expression" dxfId="149" priority="5">
      <formula>IF(COUNTIF(#REF!,F119)=0,1,0)</formula>
    </cfRule>
  </conditionalFormatting>
  <conditionalFormatting sqref="F122">
    <cfRule type="expression" dxfId="148" priority="4">
      <formula>IF(COUNTIF(#REF!,F122)=0,1,0)</formula>
    </cfRule>
  </conditionalFormatting>
  <conditionalFormatting sqref="X119">
    <cfRule type="expression" dxfId="147" priority="3">
      <formula>IF($M$104,1,0)</formula>
    </cfRule>
  </conditionalFormatting>
  <conditionalFormatting sqref="X116">
    <cfRule type="expression" dxfId="146" priority="2">
      <formula>IF($M$104,1,0)</formula>
    </cfRule>
  </conditionalFormatting>
  <conditionalFormatting sqref="X113">
    <cfRule type="expression" dxfId="145" priority="1">
      <formula>IF($M$104,1,0)</formula>
    </cfRule>
  </conditionalFormatting>
  <dataValidations count="17">
    <dataValidation type="list" allowBlank="1" showInputMessage="1" showErrorMessage="1" sqref="F20 F36 F76 F133" xr:uid="{00000000-0002-0000-0400-000000000000}">
      <formula1>ratio_use</formula1>
    </dataValidation>
    <dataValidation type="list" allowBlank="1" showInputMessage="1" showErrorMessage="1" sqref="F94 F89 F99 F117 F120 F114 F123" xr:uid="{00000000-0002-0000-0400-000001000000}">
      <formula1>new_recycled_reused</formula1>
    </dataValidation>
    <dataValidation type="list" allowBlank="1" showInputMessage="1" showErrorMessage="1" sqref="T141 T137" xr:uid="{00000000-0002-0000-0400-000002000000}">
      <formula1>FEFreight</formula1>
    </dataValidation>
    <dataValidation type="list" allowBlank="1" showInputMessage="1" showErrorMessage="1" sqref="D24" xr:uid="{00000000-0002-0000-0400-000003000000}">
      <formula1>FEEnergy</formula1>
    </dataValidation>
    <dataValidation type="list" allowBlank="1" showInputMessage="1" showErrorMessage="1" sqref="D88 D93 D98 D122 D119 D116 D113" xr:uid="{00000000-0002-0000-0400-000004000000}">
      <formula1>FEMaterials</formula1>
    </dataValidation>
    <dataValidation type="list" allowBlank="1" showInputMessage="1" showErrorMessage="1" sqref="T116 T105 T93 T122 T98 T119 T108 T113 T88" xr:uid="{00000000-0002-0000-0400-000005000000}">
      <formula1>EFFreight</formula1>
    </dataValidation>
    <dataValidation type="list" allowBlank="1" showInputMessage="1" showErrorMessage="1" sqref="E12" xr:uid="{00000000-0002-0000-0400-000006000000}">
      <formula1>Countries</formula1>
    </dataValidation>
    <dataValidation type="list" allowBlank="1" showInputMessage="1" showErrorMessage="1" sqref="L104" xr:uid="{00000000-0002-0000-0400-000007000000}">
      <formula1>concrete_origin</formula1>
    </dataValidation>
    <dataValidation type="list" allowBlank="1" showInputMessage="1" showErrorMessage="1" sqref="E107" xr:uid="{00000000-0002-0000-0400-000008000000}">
      <formula1>CementTypeName</formula1>
    </dataValidation>
    <dataValidation allowBlank="1" showInputMessage="1" showErrorMessage="1" promptTitle="Duplication" sqref="B103 C119 B88 B93 B141 C54 B137 C58 B80 B98 B24 B28 B40 B44 B68 C62 B149 C122 C107 C113 C116" xr:uid="{00000000-0002-0000-0400-000009000000}"/>
    <dataValidation type="list" allowBlank="1" showInputMessage="1" showErrorMessage="1" sqref="D68 D54 D58 D62" xr:uid="{00000000-0002-0000-0400-00000A000000}">
      <formula1>FETransportation</formula1>
    </dataValidation>
    <dataValidation type="list" showInputMessage="1" showErrorMessage="1" sqref="F149" xr:uid="{00000000-0002-0000-0400-00000B000000}">
      <formula1>$H$7:$H$13</formula1>
    </dataValidation>
    <dataValidation type="list" allowBlank="1" showInputMessage="1" showErrorMessage="1" sqref="D40 D44" xr:uid="{00000000-0002-0000-0400-00000C000000}">
      <formula1>EFMobDemob</formula1>
    </dataValidation>
    <dataValidation type="list" allowBlank="1" showInputMessage="1" showErrorMessage="1" sqref="E6" xr:uid="{00000000-0002-0000-0400-00000D000000}">
      <formula1>techniques</formula1>
    </dataValidation>
    <dataValidation type="list" allowBlank="1" showInputMessage="1" showErrorMessage="1" sqref="D80" xr:uid="{00000000-0002-0000-0400-00000E000000}">
      <formula1>FEAssets</formula1>
    </dataValidation>
    <dataValidation type="list" allowBlank="1" showInputMessage="1" showErrorMessage="1" sqref="F105" xr:uid="{00000000-0002-0000-0400-00000F000000}">
      <formula1>concreteunits</formula1>
    </dataValidation>
    <dataValidation type="list" allowBlank="1" showInputMessage="1" showErrorMessage="1" sqref="F108 F113 F116 F119 F122" xr:uid="{00000000-0002-0000-0400-000010000000}">
      <formula1>OFFSET(AS108,-AM108+5,0,2)</formula1>
    </dataValidation>
  </dataValidations>
  <pageMargins left="0.7" right="0.7" top="0.75" bottom="0.75"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9">
    <tabColor theme="4" tint="-0.249977111117893"/>
  </sheetPr>
  <dimension ref="A1:BK77"/>
  <sheetViews>
    <sheetView showGridLines="0" topLeftCell="S3" workbookViewId="0">
      <selection activeCell="R3" sqref="A1:R65536"/>
    </sheetView>
  </sheetViews>
  <sheetFormatPr baseColWidth="10" defaultColWidth="10.6640625" defaultRowHeight="15"/>
  <cols>
    <col min="1" max="3" width="10.6640625" style="380" hidden="1" customWidth="1"/>
    <col min="4" max="4" width="16.109375" style="380" hidden="1" customWidth="1"/>
    <col min="5" max="18" width="10.6640625" style="380" hidden="1" customWidth="1"/>
    <col min="19" max="19" width="3.33203125" style="380" customWidth="1"/>
    <col min="20" max="20" width="7.5546875" style="380" customWidth="1"/>
    <col min="21" max="21" width="17.5546875" style="380" customWidth="1"/>
    <col min="22" max="26" width="10.6640625" style="380"/>
    <col min="27" max="27" width="10.6640625" style="380" customWidth="1"/>
    <col min="28" max="16384" width="10.6640625" style="380"/>
  </cols>
  <sheetData>
    <row r="1" spans="1:63" hidden="1">
      <c r="A1" s="95" t="s">
        <v>76</v>
      </c>
      <c r="B1" s="95"/>
      <c r="C1" s="95"/>
      <c r="D1" s="95"/>
      <c r="E1" s="95"/>
      <c r="F1" s="95"/>
      <c r="G1" s="95"/>
      <c r="H1" s="95"/>
      <c r="I1" s="95"/>
      <c r="J1" s="95"/>
      <c r="K1" s="95"/>
      <c r="L1" s="95"/>
      <c r="M1" s="95"/>
      <c r="N1" s="95"/>
      <c r="O1" s="95"/>
      <c r="P1" s="430">
        <f ca="1">AG71*1000</f>
        <v>0</v>
      </c>
      <c r="Q1" s="430">
        <f ca="1">AG73*1000</f>
        <v>0</v>
      </c>
      <c r="R1" s="95"/>
      <c r="S1"/>
      <c r="T1" s="435" t="s">
        <v>347</v>
      </c>
      <c r="U1" s="436">
        <f ca="1">AG75</f>
        <v>0</v>
      </c>
      <c r="V1" s="437" t="s">
        <v>348</v>
      </c>
      <c r="W1" s="436">
        <f ca="1">AG76</f>
        <v>0</v>
      </c>
      <c r="X1" s="95"/>
      <c r="Y1" s="95"/>
      <c r="Z1" s="95"/>
      <c r="AA1" s="320" t="s">
        <v>373</v>
      </c>
      <c r="AB1" s="320">
        <f ca="1">IF(AA38="value",1,SUM(AA55:AF55,AA59:AF59))</f>
        <v>0</v>
      </c>
      <c r="AC1" s="95" t="s">
        <v>292</v>
      </c>
      <c r="AD1" s="320">
        <f ca="1">SUM(AA51:AF51)</f>
        <v>0</v>
      </c>
      <c r="AE1" s="95"/>
      <c r="AF1" s="95"/>
      <c r="AG1" s="95"/>
      <c r="AH1" s="95"/>
      <c r="AI1" s="95"/>
      <c r="AJ1" s="423" t="s">
        <v>18</v>
      </c>
      <c r="AK1" s="424" t="s">
        <v>28</v>
      </c>
      <c r="AL1" s="425" t="s">
        <v>315</v>
      </c>
      <c r="AM1" s="95"/>
      <c r="AN1" s="95"/>
      <c r="AO1" s="95"/>
      <c r="AP1" s="95"/>
    </row>
    <row r="2" spans="1:63" hidden="1">
      <c r="A2" s="95"/>
      <c r="B2" s="95"/>
      <c r="C2" s="95"/>
      <c r="D2" s="95"/>
      <c r="E2" s="95"/>
      <c r="F2" s="95"/>
      <c r="G2" s="95"/>
      <c r="H2" s="95"/>
      <c r="I2" s="95"/>
      <c r="J2" s="95"/>
      <c r="K2" s="95"/>
      <c r="L2" s="95"/>
      <c r="M2" s="95"/>
      <c r="N2" s="95"/>
      <c r="O2" s="95"/>
      <c r="P2" s="430">
        <f ca="1">AG72*1000</f>
        <v>0</v>
      </c>
      <c r="Q2" s="430">
        <f ca="1">AG74*1000</f>
        <v>0</v>
      </c>
      <c r="R2" s="95"/>
      <c r="S2"/>
      <c r="T2" s="95"/>
      <c r="U2" s="95"/>
      <c r="V2" s="95"/>
      <c r="W2" s="95"/>
      <c r="X2" s="95"/>
      <c r="Y2" s="95"/>
      <c r="Z2" s="95"/>
      <c r="AA2" s="320" t="s">
        <v>374</v>
      </c>
      <c r="AB2" s="320">
        <f ca="1">IF(AA38="value",1,SUM(AA57:AF57,AA61:AF61))</f>
        <v>0</v>
      </c>
      <c r="AC2" s="95"/>
      <c r="AD2" s="95"/>
      <c r="AE2" s="95"/>
      <c r="AF2" s="95"/>
      <c r="AG2" s="95"/>
      <c r="AH2" s="95"/>
      <c r="AI2" s="95"/>
      <c r="AJ2" s="426">
        <f ca="1">AG41</f>
        <v>0</v>
      </c>
      <c r="AK2" s="427">
        <f ca="1">AG42</f>
        <v>0</v>
      </c>
      <c r="AL2" s="428">
        <f ca="1">AG43</f>
        <v>0</v>
      </c>
      <c r="AM2" s="95"/>
      <c r="AN2" s="95"/>
      <c r="AO2" s="95"/>
      <c r="AP2" s="95"/>
    </row>
    <row r="3" spans="1:63" ht="15.75" thickBot="1">
      <c r="A3"/>
      <c r="B3"/>
      <c r="C3"/>
      <c r="D3"/>
      <c r="E3"/>
      <c r="F3"/>
      <c r="G3"/>
      <c r="H3"/>
      <c r="I3"/>
      <c r="J3"/>
      <c r="K3"/>
      <c r="L3"/>
      <c r="M3"/>
      <c r="N3"/>
      <c r="O3"/>
      <c r="P3"/>
      <c r="Q3"/>
      <c r="R3"/>
      <c r="S3"/>
      <c r="T3"/>
      <c r="U3"/>
      <c r="V3"/>
      <c r="W3"/>
      <c r="X3"/>
      <c r="Y3"/>
      <c r="Z3"/>
      <c r="AA3"/>
      <c r="AB3"/>
      <c r="AC3"/>
      <c r="AD3"/>
      <c r="AE3"/>
      <c r="AF3"/>
      <c r="AG3"/>
      <c r="AH3"/>
      <c r="AI3"/>
      <c r="AJ3"/>
      <c r="AK3"/>
      <c r="AL3"/>
      <c r="AM3"/>
      <c r="AN3"/>
      <c r="AO3"/>
      <c r="AP3"/>
    </row>
    <row r="4" spans="1:63" ht="15.75" thickBot="1">
      <c r="A4" s="95"/>
      <c r="B4" s="95"/>
      <c r="C4" s="95"/>
      <c r="D4" s="95"/>
      <c r="E4" s="95"/>
      <c r="F4" s="95"/>
      <c r="G4" s="95"/>
      <c r="H4" s="95"/>
      <c r="I4" s="95"/>
      <c r="J4" s="95"/>
      <c r="K4" s="95"/>
      <c r="L4" s="95"/>
      <c r="M4" s="95"/>
      <c r="N4" s="95"/>
      <c r="O4" s="95"/>
      <c r="P4" s="95"/>
      <c r="Q4" s="95"/>
      <c r="R4" s="95"/>
      <c r="S4"/>
      <c r="T4" s="382"/>
      <c r="U4" s="346"/>
      <c r="V4" s="346"/>
      <c r="W4" s="346"/>
      <c r="X4" s="346"/>
      <c r="Y4" s="346"/>
      <c r="Z4" s="346"/>
      <c r="AA4" s="346"/>
      <c r="AB4" s="346"/>
      <c r="AC4" s="346"/>
      <c r="AD4" s="346"/>
      <c r="AE4" s="346"/>
      <c r="AF4" s="346"/>
      <c r="AG4" s="346"/>
      <c r="AH4" s="346"/>
      <c r="AI4" s="346"/>
      <c r="AJ4" s="346"/>
      <c r="AK4" s="346"/>
      <c r="AL4" s="346"/>
      <c r="AM4" s="346"/>
      <c r="AN4" s="346"/>
      <c r="AO4" s="346"/>
      <c r="AP4" s="347"/>
    </row>
    <row r="5" spans="1:63" ht="21" thickBot="1">
      <c r="A5" s="95"/>
      <c r="B5" s="95"/>
      <c r="C5" s="95"/>
      <c r="D5" s="394" t="s">
        <v>339</v>
      </c>
      <c r="E5" s="791">
        <f>V5</f>
        <v>0</v>
      </c>
      <c r="F5" s="792"/>
      <c r="G5" s="95"/>
      <c r="H5" s="95"/>
      <c r="I5" s="95"/>
      <c r="J5" s="95"/>
      <c r="K5" s="95"/>
      <c r="L5" s="95"/>
      <c r="M5" s="95"/>
      <c r="N5" s="95"/>
      <c r="O5" s="95"/>
      <c r="P5" s="95"/>
      <c r="Q5" s="95"/>
      <c r="R5" s="95"/>
      <c r="S5"/>
      <c r="T5" s="136"/>
      <c r="U5" s="395" t="str">
        <f>Translate!$A$135</f>
        <v>Project name</v>
      </c>
      <c r="V5" s="793"/>
      <c r="W5" s="794"/>
      <c r="X5" s="96"/>
      <c r="Y5" s="96"/>
      <c r="Z5" s="96"/>
      <c r="AA5" s="96"/>
      <c r="AB5" s="96"/>
      <c r="AC5" s="96"/>
      <c r="AD5" s="96"/>
      <c r="AE5" s="96"/>
      <c r="AF5" s="96"/>
      <c r="AG5" s="96"/>
      <c r="AH5" s="96"/>
      <c r="AI5" s="96"/>
      <c r="AJ5" s="96"/>
      <c r="AK5" s="96"/>
      <c r="AL5" s="96"/>
      <c r="AM5" s="96"/>
      <c r="AN5" s="96"/>
      <c r="AO5" s="96"/>
      <c r="AP5" s="137"/>
      <c r="BC5" s="459"/>
      <c r="BD5" s="459"/>
      <c r="BE5" s="459"/>
      <c r="BF5" s="459"/>
      <c r="BG5" s="459"/>
      <c r="BH5" s="459"/>
      <c r="BI5" s="459"/>
      <c r="BJ5" s="459"/>
      <c r="BK5" s="459"/>
    </row>
    <row r="6" spans="1:63" ht="15.75">
      <c r="A6" s="95"/>
      <c r="B6" s="95"/>
      <c r="C6" s="95"/>
      <c r="D6" s="95"/>
      <c r="E6" s="95" t="s">
        <v>0</v>
      </c>
      <c r="F6" s="95"/>
      <c r="G6" s="95"/>
      <c r="H6" s="95"/>
      <c r="I6" s="95"/>
      <c r="J6" s="95"/>
      <c r="K6" s="95"/>
      <c r="L6" s="396" t="s">
        <v>73</v>
      </c>
      <c r="M6" s="397"/>
      <c r="N6" s="397"/>
      <c r="O6" s="397"/>
      <c r="P6" s="398" t="s">
        <v>74</v>
      </c>
      <c r="Q6" s="398" t="s">
        <v>74</v>
      </c>
      <c r="R6" s="95"/>
      <c r="S6"/>
      <c r="T6" s="136"/>
      <c r="U6" s="96"/>
      <c r="V6" s="96"/>
      <c r="W6" s="96"/>
      <c r="X6" s="96"/>
      <c r="Y6" s="96"/>
      <c r="Z6" s="96"/>
      <c r="AA6" s="96"/>
      <c r="AB6" s="96"/>
      <c r="AC6" s="96"/>
      <c r="AD6" s="96"/>
      <c r="AE6" s="96"/>
      <c r="AF6" s="96"/>
      <c r="AG6" s="96"/>
      <c r="AH6" s="96"/>
      <c r="AI6" s="96"/>
      <c r="AJ6" s="96"/>
      <c r="AK6" s="399" t="str">
        <f>Translate!$A$131</f>
        <v>Comments :</v>
      </c>
      <c r="AL6" s="399"/>
      <c r="AM6" s="399"/>
      <c r="AN6" s="399"/>
      <c r="AO6" s="399"/>
      <c r="AP6" s="137"/>
      <c r="BC6" s="459" t="str">
        <f>L6</f>
        <v>Sources</v>
      </c>
      <c r="BD6" s="459"/>
      <c r="BE6" s="459"/>
      <c r="BF6" s="459"/>
      <c r="BG6" s="459" t="str">
        <f t="shared" ref="BG6:BG13" si="0">P6</f>
        <v>tCO2e</v>
      </c>
      <c r="BH6" s="459"/>
      <c r="BI6" s="459"/>
      <c r="BJ6" s="459"/>
      <c r="BK6" s="459"/>
    </row>
    <row r="7" spans="1:63">
      <c r="A7" s="95"/>
      <c r="B7" s="95"/>
      <c r="C7" s="95"/>
      <c r="D7" s="400" t="s">
        <v>49</v>
      </c>
      <c r="E7" s="350">
        <f>V7</f>
        <v>0</v>
      </c>
      <c r="F7" s="95"/>
      <c r="G7" s="95"/>
      <c r="H7" s="95"/>
      <c r="I7" s="95"/>
      <c r="J7" s="95"/>
      <c r="K7" s="95"/>
      <c r="L7" s="401" t="s">
        <v>3</v>
      </c>
      <c r="M7" s="402"/>
      <c r="N7" s="402"/>
      <c r="O7" s="402"/>
      <c r="P7" s="403">
        <f t="shared" ref="P7:P13" ca="1" si="1">SUM(AA24:AF24)</f>
        <v>0</v>
      </c>
      <c r="Q7" s="410">
        <f t="shared" ref="Q7:Q13" ca="1" si="2">AG63</f>
        <v>0</v>
      </c>
      <c r="R7" s="95"/>
      <c r="S7"/>
      <c r="T7" s="136"/>
      <c r="U7" s="400" t="str">
        <f>Translate!$A$8</f>
        <v>DATE</v>
      </c>
      <c r="V7" s="495"/>
      <c r="W7" s="96"/>
      <c r="X7" s="96"/>
      <c r="Y7" s="96"/>
      <c r="Z7" s="96"/>
      <c r="AA7" s="96"/>
      <c r="AB7" s="96"/>
      <c r="AC7" s="96"/>
      <c r="AD7" s="96"/>
      <c r="AE7" s="96"/>
      <c r="AF7" s="96"/>
      <c r="AG7" s="96"/>
      <c r="AH7" s="96"/>
      <c r="AI7" s="96"/>
      <c r="AJ7" s="96"/>
      <c r="AK7" s="795"/>
      <c r="AL7" s="796"/>
      <c r="AM7" s="796"/>
      <c r="AN7" s="796"/>
      <c r="AO7" s="797"/>
      <c r="AP7" s="137"/>
      <c r="BC7" s="459" t="str">
        <f>Z24</f>
        <v>Materials</v>
      </c>
      <c r="BD7" s="459"/>
      <c r="BE7" s="459"/>
      <c r="BF7" s="459"/>
      <c r="BG7" s="460"/>
      <c r="BH7" s="460">
        <f ca="1">AG41</f>
        <v>0</v>
      </c>
      <c r="BI7" s="460">
        <f ca="1">AG42</f>
        <v>0</v>
      </c>
      <c r="BJ7" s="460">
        <f ca="1">AG43</f>
        <v>0</v>
      </c>
      <c r="BK7" s="460">
        <f t="shared" ref="BK7:BK13" ca="1" si="3">IF(AG24=0,0,ROUND(AG24,-ROUNDDOWN(LOG(ABS(AG24)),0)+1))</f>
        <v>0</v>
      </c>
    </row>
    <row r="8" spans="1:63" ht="15.75" thickBot="1">
      <c r="A8" s="95"/>
      <c r="B8" s="95"/>
      <c r="C8" s="95"/>
      <c r="D8" s="400" t="s">
        <v>438</v>
      </c>
      <c r="E8" s="98">
        <f>V8</f>
        <v>0</v>
      </c>
      <c r="F8" s="95"/>
      <c r="G8" s="95"/>
      <c r="H8" s="95"/>
      <c r="I8" s="95"/>
      <c r="J8" s="95"/>
      <c r="K8" s="95"/>
      <c r="L8" s="401" t="s">
        <v>43</v>
      </c>
      <c r="M8" s="402"/>
      <c r="N8" s="402"/>
      <c r="O8" s="402"/>
      <c r="P8" s="403">
        <f t="shared" ca="1" si="1"/>
        <v>0</v>
      </c>
      <c r="Q8" s="410">
        <f t="shared" ca="1" si="2"/>
        <v>0</v>
      </c>
      <c r="R8" s="95"/>
      <c r="S8"/>
      <c r="T8" s="136"/>
      <c r="U8" s="400" t="str">
        <f>Translate!$A$66</f>
        <v>Author</v>
      </c>
      <c r="V8" s="553"/>
      <c r="W8" s="96"/>
      <c r="X8" s="96"/>
      <c r="Y8" s="96"/>
      <c r="Z8" s="96"/>
      <c r="AA8" s="96"/>
      <c r="AB8" s="96"/>
      <c r="AC8" s="96"/>
      <c r="AD8" s="96"/>
      <c r="AE8" s="96"/>
      <c r="AF8" s="96"/>
      <c r="AG8" s="96"/>
      <c r="AH8" s="96"/>
      <c r="AI8" s="96"/>
      <c r="AJ8" s="96"/>
      <c r="AK8" s="798"/>
      <c r="AL8" s="799"/>
      <c r="AM8" s="799"/>
      <c r="AN8" s="799"/>
      <c r="AO8" s="800"/>
      <c r="AP8" s="137"/>
      <c r="BC8" s="459" t="str">
        <f t="shared" ref="BC8:BC13" si="4">Z25</f>
        <v>Energy</v>
      </c>
      <c r="BD8" s="459"/>
      <c r="BE8" s="459"/>
      <c r="BF8" s="459"/>
      <c r="BG8" s="460">
        <f t="shared" ca="1" si="0"/>
        <v>0</v>
      </c>
      <c r="BH8" s="459"/>
      <c r="BI8" s="459"/>
      <c r="BJ8" s="459"/>
      <c r="BK8" s="460">
        <f t="shared" ca="1" si="3"/>
        <v>0</v>
      </c>
    </row>
    <row r="9" spans="1:63" ht="18.75" thickBot="1">
      <c r="A9" s="95"/>
      <c r="B9" s="95"/>
      <c r="C9" s="95"/>
      <c r="D9" s="95"/>
      <c r="E9" s="95"/>
      <c r="F9" s="95"/>
      <c r="G9" s="95"/>
      <c r="H9" s="95"/>
      <c r="I9" s="95"/>
      <c r="J9" s="95"/>
      <c r="K9" s="95"/>
      <c r="L9" s="401" t="s">
        <v>55</v>
      </c>
      <c r="M9" s="402"/>
      <c r="N9" s="402"/>
      <c r="O9" s="402"/>
      <c r="P9" s="403">
        <f t="shared" ca="1" si="1"/>
        <v>0</v>
      </c>
      <c r="Q9" s="410">
        <f t="shared" ca="1" si="2"/>
        <v>0</v>
      </c>
      <c r="R9" s="95"/>
      <c r="S9"/>
      <c r="T9" s="136"/>
      <c r="U9" s="405" t="str">
        <f>Translate!$A$125</f>
        <v>TOTAL GHG EMISSIONS</v>
      </c>
      <c r="V9" s="406"/>
      <c r="W9" s="407">
        <f ca="1">IF(AG31=0,0,ROUND(AG31,-ROUNDDOWN(LOG(ABS(AG31)),0)+1))</f>
        <v>0</v>
      </c>
      <c r="X9" s="408" t="str">
        <f>Translate!$A$115</f>
        <v>tCO2e</v>
      </c>
      <c r="Y9" s="96"/>
      <c r="Z9" s="96"/>
      <c r="AA9" s="96"/>
      <c r="AB9" s="96"/>
      <c r="AC9" s="96"/>
      <c r="AD9" s="96"/>
      <c r="AE9" s="96"/>
      <c r="AF9" s="96"/>
      <c r="AG9" s="96"/>
      <c r="AH9" s="96"/>
      <c r="AI9" s="96"/>
      <c r="AJ9" s="96"/>
      <c r="AK9" s="798"/>
      <c r="AL9" s="799"/>
      <c r="AM9" s="799"/>
      <c r="AN9" s="799"/>
      <c r="AO9" s="800"/>
      <c r="AP9" s="137"/>
      <c r="BC9" s="459" t="str">
        <f t="shared" si="4"/>
        <v>Freight</v>
      </c>
      <c r="BD9" s="459"/>
      <c r="BE9" s="459"/>
      <c r="BF9" s="459"/>
      <c r="BG9" s="460">
        <f t="shared" ca="1" si="0"/>
        <v>0</v>
      </c>
      <c r="BH9" s="459"/>
      <c r="BI9" s="459"/>
      <c r="BJ9" s="459"/>
      <c r="BK9" s="460">
        <f t="shared" ca="1" si="3"/>
        <v>0</v>
      </c>
    </row>
    <row r="10" spans="1:63">
      <c r="A10" s="95"/>
      <c r="B10" s="95"/>
      <c r="C10" s="95"/>
      <c r="D10" s="95"/>
      <c r="E10" s="95"/>
      <c r="F10" s="95"/>
      <c r="G10" s="95"/>
      <c r="H10" s="95"/>
      <c r="I10" s="95"/>
      <c r="J10" s="95"/>
      <c r="K10" s="95"/>
      <c r="L10" s="401" t="s">
        <v>71</v>
      </c>
      <c r="M10" s="402"/>
      <c r="N10" s="402"/>
      <c r="O10" s="402"/>
      <c r="P10" s="403">
        <f t="shared" ca="1" si="1"/>
        <v>0</v>
      </c>
      <c r="Q10" s="410">
        <f t="shared" ca="1" si="2"/>
        <v>0</v>
      </c>
      <c r="R10" s="95"/>
      <c r="S10"/>
      <c r="T10" s="136"/>
      <c r="U10" s="96"/>
      <c r="V10" s="96"/>
      <c r="W10" s="96"/>
      <c r="X10" s="96"/>
      <c r="Y10" s="96"/>
      <c r="Z10" s="96"/>
      <c r="AA10" s="96"/>
      <c r="AB10" s="96"/>
      <c r="AC10" s="96"/>
      <c r="AD10" s="96"/>
      <c r="AE10" s="96"/>
      <c r="AF10" s="96"/>
      <c r="AG10" s="96"/>
      <c r="AH10" s="96"/>
      <c r="AI10" s="96"/>
      <c r="AJ10" s="96"/>
      <c r="AK10" s="798"/>
      <c r="AL10" s="799"/>
      <c r="AM10" s="799"/>
      <c r="AN10" s="799"/>
      <c r="AO10" s="800"/>
      <c r="AP10" s="137"/>
      <c r="BC10" s="459" t="str">
        <f t="shared" si="4"/>
        <v>Mob/demob</v>
      </c>
      <c r="BD10" s="459"/>
      <c r="BE10" s="459"/>
      <c r="BF10" s="459"/>
      <c r="BG10" s="460">
        <f t="shared" ca="1" si="0"/>
        <v>0</v>
      </c>
      <c r="BH10" s="459"/>
      <c r="BI10" s="459"/>
      <c r="BJ10" s="459"/>
      <c r="BK10" s="460">
        <f t="shared" ca="1" si="3"/>
        <v>0</v>
      </c>
    </row>
    <row r="11" spans="1:63">
      <c r="A11" s="95"/>
      <c r="B11" s="95"/>
      <c r="C11" s="95"/>
      <c r="D11" s="400" t="s">
        <v>48</v>
      </c>
      <c r="E11" s="409">
        <f t="shared" ref="E11:F14" ca="1" si="5">V11</f>
        <v>0</v>
      </c>
      <c r="F11" s="409" t="str">
        <f t="shared" ca="1" si="5"/>
        <v/>
      </c>
      <c r="G11" s="95"/>
      <c r="H11" s="95"/>
      <c r="I11" s="95"/>
      <c r="J11" s="95"/>
      <c r="K11" s="95"/>
      <c r="L11" s="401" t="s">
        <v>110</v>
      </c>
      <c r="M11" s="402"/>
      <c r="N11" s="402"/>
      <c r="O11" s="402"/>
      <c r="P11" s="403">
        <f t="shared" ca="1" si="1"/>
        <v>0</v>
      </c>
      <c r="Q11" s="410">
        <f t="shared" ca="1" si="2"/>
        <v>0</v>
      </c>
      <c r="R11" s="95"/>
      <c r="S11"/>
      <c r="T11" s="136"/>
      <c r="U11" s="400" t="str">
        <f>Translate!$A$69</f>
        <v>Project value</v>
      </c>
      <c r="V11" s="410">
        <f ca="1">AG36</f>
        <v>0</v>
      </c>
      <c r="W11" s="494" t="str">
        <f ca="1">AH36</f>
        <v/>
      </c>
      <c r="X11" s="96"/>
      <c r="Y11" s="96"/>
      <c r="Z11" s="96"/>
      <c r="AA11" s="96"/>
      <c r="AB11" s="96"/>
      <c r="AC11" s="96"/>
      <c r="AD11" s="96"/>
      <c r="AE11" s="96"/>
      <c r="AF11" s="96"/>
      <c r="AG11" s="96"/>
      <c r="AH11" s="96"/>
      <c r="AI11" s="96"/>
      <c r="AJ11" s="96"/>
      <c r="AK11" s="798"/>
      <c r="AL11" s="799"/>
      <c r="AM11" s="799"/>
      <c r="AN11" s="799"/>
      <c r="AO11" s="800"/>
      <c r="AP11" s="137"/>
      <c r="BC11" s="459" t="str">
        <f t="shared" si="4"/>
        <v>People's transportation</v>
      </c>
      <c r="BD11" s="459"/>
      <c r="BE11" s="459"/>
      <c r="BF11" s="459"/>
      <c r="BG11" s="460">
        <f t="shared" ca="1" si="0"/>
        <v>0</v>
      </c>
      <c r="BH11" s="459"/>
      <c r="BI11" s="459"/>
      <c r="BJ11" s="459"/>
      <c r="BK11" s="460">
        <f t="shared" ca="1" si="3"/>
        <v>0</v>
      </c>
    </row>
    <row r="12" spans="1:63">
      <c r="A12" s="95"/>
      <c r="B12" s="95"/>
      <c r="C12" s="95"/>
      <c r="D12" s="400" t="s">
        <v>61</v>
      </c>
      <c r="E12" s="409" t="str">
        <f t="shared" ca="1" si="5"/>
        <v/>
      </c>
      <c r="F12" s="409">
        <f t="shared" si="5"/>
        <v>0</v>
      </c>
      <c r="G12" s="95"/>
      <c r="H12" s="95"/>
      <c r="I12" s="95"/>
      <c r="J12" s="95"/>
      <c r="K12" s="95"/>
      <c r="L12" s="401" t="s">
        <v>69</v>
      </c>
      <c r="M12" s="402"/>
      <c r="N12" s="402"/>
      <c r="O12" s="402"/>
      <c r="P12" s="403">
        <f t="shared" ca="1" si="1"/>
        <v>0</v>
      </c>
      <c r="Q12" s="410">
        <f t="shared" ca="1" si="2"/>
        <v>0</v>
      </c>
      <c r="R12" s="95"/>
      <c r="S12"/>
      <c r="T12" s="136"/>
      <c r="U12" s="400" t="str">
        <f>Translate!$A$70</f>
        <v>Country</v>
      </c>
      <c r="V12" s="411" t="str">
        <f ca="1">IF(SUM(AA51:AF51)&gt;0,"",AA50)</f>
        <v/>
      </c>
      <c r="W12" s="96"/>
      <c r="X12" s="96"/>
      <c r="Y12" s="96"/>
      <c r="Z12" s="96"/>
      <c r="AA12" s="96"/>
      <c r="AB12" s="96"/>
      <c r="AC12" s="96"/>
      <c r="AD12" s="96"/>
      <c r="AE12" s="96"/>
      <c r="AF12" s="96"/>
      <c r="AG12" s="96"/>
      <c r="AH12" s="96"/>
      <c r="AI12" s="96"/>
      <c r="AJ12" s="96"/>
      <c r="AK12" s="798"/>
      <c r="AL12" s="799"/>
      <c r="AM12" s="799"/>
      <c r="AN12" s="799"/>
      <c r="AO12" s="800"/>
      <c r="AP12" s="137"/>
      <c r="BC12" s="459" t="str">
        <f t="shared" si="4"/>
        <v>Assets</v>
      </c>
      <c r="BD12" s="459"/>
      <c r="BE12" s="459"/>
      <c r="BF12" s="459"/>
      <c r="BG12" s="460">
        <f t="shared" ca="1" si="0"/>
        <v>0</v>
      </c>
      <c r="BH12" s="459"/>
      <c r="BI12" s="459"/>
      <c r="BJ12" s="459"/>
      <c r="BK12" s="460">
        <f t="shared" ca="1" si="3"/>
        <v>0</v>
      </c>
    </row>
    <row r="13" spans="1:63">
      <c r="A13" s="95"/>
      <c r="B13" s="95"/>
      <c r="C13" s="95"/>
      <c r="D13" s="409" t="str">
        <f ca="1">U13</f>
        <v/>
      </c>
      <c r="E13" s="409">
        <f t="shared" ca="1" si="5"/>
        <v>0</v>
      </c>
      <c r="F13" s="409" t="str">
        <f t="shared" ca="1" si="5"/>
        <v/>
      </c>
      <c r="G13" s="95"/>
      <c r="H13" s="95"/>
      <c r="I13" s="95"/>
      <c r="J13" s="95"/>
      <c r="K13" s="95"/>
      <c r="L13" s="401" t="s">
        <v>72</v>
      </c>
      <c r="M13" s="402"/>
      <c r="N13" s="402"/>
      <c r="O13" s="402"/>
      <c r="P13" s="403">
        <f t="shared" ca="1" si="1"/>
        <v>0</v>
      </c>
      <c r="Q13" s="410">
        <f t="shared" ca="1" si="2"/>
        <v>0</v>
      </c>
      <c r="R13" s="95"/>
      <c r="S13"/>
      <c r="T13" s="136"/>
      <c r="U13" s="412" t="str">
        <f ca="1">Z38</f>
        <v/>
      </c>
      <c r="V13" s="413">
        <f ca="1">AG38</f>
        <v>0</v>
      </c>
      <c r="W13" s="413" t="str">
        <f ca="1">IF(SUM(Z55:AF55,Z59:AF59)&gt;0,"",AA58)</f>
        <v/>
      </c>
      <c r="X13" s="96"/>
      <c r="Y13" s="96"/>
      <c r="Z13" s="96"/>
      <c r="AA13" s="96"/>
      <c r="AB13" s="96"/>
      <c r="AC13" s="96"/>
      <c r="AD13" s="96"/>
      <c r="AE13" s="96"/>
      <c r="AF13" s="96"/>
      <c r="AG13" s="96"/>
      <c r="AH13" s="96"/>
      <c r="AI13" s="96"/>
      <c r="AJ13" s="96"/>
      <c r="AK13" s="801"/>
      <c r="AL13" s="802"/>
      <c r="AM13" s="802"/>
      <c r="AN13" s="802"/>
      <c r="AO13" s="803"/>
      <c r="AP13" s="137"/>
      <c r="BC13" s="459" t="str">
        <f t="shared" si="4"/>
        <v>Waste</v>
      </c>
      <c r="BD13" s="459"/>
      <c r="BE13" s="459"/>
      <c r="BF13" s="459"/>
      <c r="BG13" s="460">
        <f t="shared" ca="1" si="0"/>
        <v>0</v>
      </c>
      <c r="BH13" s="459"/>
      <c r="BI13" s="459"/>
      <c r="BJ13" s="459"/>
      <c r="BK13" s="460">
        <f t="shared" ca="1" si="3"/>
        <v>0</v>
      </c>
    </row>
    <row r="14" spans="1:63">
      <c r="A14" s="95"/>
      <c r="B14" s="95"/>
      <c r="C14" s="95"/>
      <c r="D14" s="409" t="str">
        <f ca="1">U14</f>
        <v/>
      </c>
      <c r="E14" s="409">
        <f t="shared" ca="1" si="5"/>
        <v>0</v>
      </c>
      <c r="F14" s="409" t="str">
        <f t="shared" ca="1" si="5"/>
        <v/>
      </c>
      <c r="G14" s="95"/>
      <c r="H14" s="95"/>
      <c r="I14" s="95"/>
      <c r="J14" s="95"/>
      <c r="K14" s="95"/>
      <c r="L14" s="95"/>
      <c r="M14" s="95"/>
      <c r="N14" s="95"/>
      <c r="O14" s="95"/>
      <c r="P14" s="309">
        <f ca="1">SUM(P7:P13)</f>
        <v>0</v>
      </c>
      <c r="Q14" s="309">
        <f ca="1">SUM(Q7:Q13)</f>
        <v>0</v>
      </c>
      <c r="R14" s="95"/>
      <c r="S14"/>
      <c r="T14" s="136"/>
      <c r="U14" s="412" t="str">
        <f ca="1">Z39</f>
        <v/>
      </c>
      <c r="V14" s="413">
        <f ca="1">AG39</f>
        <v>0</v>
      </c>
      <c r="W14" s="414" t="str">
        <f ca="1">IF(SUM(Z57:AF57,Z61:AF61)&gt;0,"",AA60)</f>
        <v/>
      </c>
      <c r="X14" s="96"/>
      <c r="Y14" s="96"/>
      <c r="Z14" s="96"/>
      <c r="AA14" s="96"/>
      <c r="AB14" s="96"/>
      <c r="AC14" s="96"/>
      <c r="AD14" s="96"/>
      <c r="AE14" s="96"/>
      <c r="AF14" s="96"/>
      <c r="AG14" s="96"/>
      <c r="AH14" s="96"/>
      <c r="AI14" s="96"/>
      <c r="AJ14" s="96"/>
      <c r="AK14" s="96"/>
      <c r="AL14" s="96"/>
      <c r="AM14" s="96"/>
      <c r="AN14" s="96"/>
      <c r="AO14" s="96"/>
      <c r="AP14" s="137"/>
      <c r="BG14" s="404"/>
    </row>
    <row r="15" spans="1:63">
      <c r="A15" s="95"/>
      <c r="B15" s="95"/>
      <c r="C15" s="95"/>
      <c r="D15" s="95"/>
      <c r="E15" s="95"/>
      <c r="F15" s="95"/>
      <c r="G15" s="95"/>
      <c r="H15" s="95"/>
      <c r="I15" s="95"/>
      <c r="J15" s="95"/>
      <c r="K15" s="95"/>
      <c r="L15" s="95"/>
      <c r="M15" s="95"/>
      <c r="N15" s="95"/>
      <c r="O15" s="95"/>
      <c r="P15" s="95"/>
      <c r="Q15" s="95"/>
      <c r="R15" s="95"/>
      <c r="S15"/>
      <c r="T15" s="136"/>
      <c r="U15" s="96"/>
      <c r="V15" s="96"/>
      <c r="W15" s="96"/>
      <c r="X15" s="96"/>
      <c r="Y15" s="96"/>
      <c r="Z15" s="96"/>
      <c r="AA15" s="96"/>
      <c r="AB15" s="96"/>
      <c r="AC15" s="96"/>
      <c r="AD15" s="96"/>
      <c r="AE15" s="96"/>
      <c r="AF15" s="96"/>
      <c r="AG15" s="96"/>
      <c r="AH15" s="96"/>
      <c r="AI15" s="96"/>
      <c r="AJ15" s="96"/>
      <c r="AK15" s="96"/>
      <c r="AL15" s="96"/>
      <c r="AM15" s="96"/>
      <c r="AN15" s="96"/>
      <c r="AO15" s="96"/>
      <c r="AP15" s="137"/>
    </row>
    <row r="16" spans="1:63">
      <c r="A16" s="95"/>
      <c r="B16" s="95"/>
      <c r="C16" s="95"/>
      <c r="D16" s="95"/>
      <c r="E16" s="95"/>
      <c r="F16" s="95"/>
      <c r="G16" s="95"/>
      <c r="H16" s="95"/>
      <c r="I16" s="95"/>
      <c r="J16" s="95"/>
      <c r="K16" s="95"/>
      <c r="L16" s="95"/>
      <c r="M16" s="95"/>
      <c r="N16" s="95"/>
      <c r="O16" s="95"/>
      <c r="P16" s="95"/>
      <c r="Q16" s="95"/>
      <c r="R16" s="95"/>
      <c r="S16"/>
      <c r="T16" s="136"/>
      <c r="U16" s="96"/>
      <c r="V16" s="96"/>
      <c r="W16" s="96"/>
      <c r="X16" s="96"/>
      <c r="Y16" s="96"/>
      <c r="Z16" s="96"/>
      <c r="AA16" s="96"/>
      <c r="AB16" s="96"/>
      <c r="AC16" s="96"/>
      <c r="AD16" s="96"/>
      <c r="AE16" s="96"/>
      <c r="AF16" s="96"/>
      <c r="AG16" s="96"/>
      <c r="AH16" s="96"/>
      <c r="AI16" s="96"/>
      <c r="AJ16" s="96"/>
      <c r="AK16" s="96"/>
      <c r="AL16" s="96"/>
      <c r="AM16" s="96"/>
      <c r="AN16" s="96"/>
      <c r="AO16" s="96"/>
      <c r="AP16" s="137"/>
    </row>
    <row r="17" spans="1:42">
      <c r="A17" s="95"/>
      <c r="B17" s="95"/>
      <c r="C17" s="95"/>
      <c r="D17" s="95"/>
      <c r="E17" s="95"/>
      <c r="F17" s="95"/>
      <c r="G17" s="95"/>
      <c r="H17" s="95"/>
      <c r="I17" s="95"/>
      <c r="J17" s="95"/>
      <c r="K17" s="95"/>
      <c r="L17" s="95"/>
      <c r="M17" s="95"/>
      <c r="N17" s="95"/>
      <c r="O17" s="95"/>
      <c r="P17" s="95"/>
      <c r="Q17" s="95"/>
      <c r="R17" s="95"/>
      <c r="S17"/>
      <c r="T17" s="136"/>
      <c r="U17" s="96"/>
      <c r="V17" s="96"/>
      <c r="W17" s="96"/>
      <c r="X17" s="96"/>
      <c r="Y17" s="96"/>
      <c r="Z17" s="96"/>
      <c r="AA17" s="96"/>
      <c r="AB17" s="96"/>
      <c r="AC17" s="96"/>
      <c r="AD17" s="96"/>
      <c r="AE17" s="96"/>
      <c r="AF17" s="96"/>
      <c r="AG17" s="96"/>
      <c r="AH17" s="96"/>
      <c r="AI17" s="96"/>
      <c r="AJ17" s="96"/>
      <c r="AK17" s="96"/>
      <c r="AL17" s="96"/>
      <c r="AM17" s="96"/>
      <c r="AN17" s="96"/>
      <c r="AO17" s="96"/>
      <c r="AP17" s="137"/>
    </row>
    <row r="18" spans="1:42">
      <c r="A18" s="95"/>
      <c r="B18" s="95"/>
      <c r="C18" s="95"/>
      <c r="D18" s="95"/>
      <c r="E18" s="95"/>
      <c r="F18" s="95"/>
      <c r="G18" s="95"/>
      <c r="H18" s="95"/>
      <c r="I18" s="95"/>
      <c r="J18" s="95"/>
      <c r="K18" s="95"/>
      <c r="L18" s="95"/>
      <c r="M18" s="95"/>
      <c r="N18" s="95"/>
      <c r="O18" s="95"/>
      <c r="P18" s="95"/>
      <c r="Q18" s="95"/>
      <c r="R18" s="95"/>
      <c r="S18"/>
      <c r="T18" s="136"/>
      <c r="U18" s="96"/>
      <c r="V18" s="96"/>
      <c r="W18" s="96"/>
      <c r="X18" s="96"/>
      <c r="Y18" s="96"/>
      <c r="Z18" s="96"/>
      <c r="AA18" s="96"/>
      <c r="AB18" s="96"/>
      <c r="AC18" s="96"/>
      <c r="AD18" s="96"/>
      <c r="AE18" s="96"/>
      <c r="AF18" s="96"/>
      <c r="AG18" s="96"/>
      <c r="AH18" s="96"/>
      <c r="AI18" s="96"/>
      <c r="AJ18" s="96"/>
      <c r="AK18" s="96"/>
      <c r="AL18" s="96"/>
      <c r="AM18" s="96"/>
      <c r="AN18" s="96"/>
      <c r="AO18" s="96"/>
      <c r="AP18" s="137"/>
    </row>
    <row r="19" spans="1:42" ht="15.75" thickBot="1">
      <c r="A19" s="95"/>
      <c r="B19" s="95"/>
      <c r="C19" s="95"/>
      <c r="D19" s="95"/>
      <c r="E19" s="95"/>
      <c r="F19" s="95"/>
      <c r="G19" s="95"/>
      <c r="H19" s="95"/>
      <c r="I19" s="95"/>
      <c r="J19" s="95"/>
      <c r="K19" s="95"/>
      <c r="L19" s="95"/>
      <c r="M19" s="95"/>
      <c r="N19" s="95"/>
      <c r="O19" s="95"/>
      <c r="P19" s="95"/>
      <c r="Q19" s="95"/>
      <c r="R19" s="95"/>
      <c r="S19"/>
      <c r="T19" s="136"/>
      <c r="U19" s="96"/>
      <c r="V19" s="96"/>
      <c r="W19" s="96"/>
      <c r="X19" s="96"/>
      <c r="Y19" s="96"/>
      <c r="Z19" s="96"/>
      <c r="AA19" s="96"/>
      <c r="AB19" s="96"/>
      <c r="AC19" s="96"/>
      <c r="AD19" s="96"/>
      <c r="AE19" s="96"/>
      <c r="AF19" s="96"/>
      <c r="AG19" s="96"/>
      <c r="AH19" s="96"/>
      <c r="AI19" s="96"/>
      <c r="AJ19" s="96"/>
      <c r="AK19" s="96"/>
      <c r="AL19" s="96"/>
      <c r="AM19" s="96"/>
      <c r="AN19" s="96"/>
      <c r="AO19" s="96"/>
      <c r="AP19" s="137"/>
    </row>
    <row r="20" spans="1:42" ht="16.5" thickBot="1">
      <c r="A20" s="95"/>
      <c r="B20" s="95"/>
      <c r="C20" s="95"/>
      <c r="D20" s="95"/>
      <c r="E20" s="95"/>
      <c r="F20" s="95"/>
      <c r="G20" s="95"/>
      <c r="H20" s="95"/>
      <c r="I20" s="95"/>
      <c r="J20" s="95"/>
      <c r="K20" s="95"/>
      <c r="L20" s="95"/>
      <c r="M20" s="95"/>
      <c r="N20" s="95"/>
      <c r="O20" s="95"/>
      <c r="P20" s="95"/>
      <c r="Q20" s="95"/>
      <c r="R20" s="95"/>
      <c r="S20"/>
      <c r="T20" s="136"/>
      <c r="U20" s="96"/>
      <c r="V20" s="96"/>
      <c r="W20" s="96"/>
      <c r="X20" s="96"/>
      <c r="Y20" s="96"/>
      <c r="Z20" s="96"/>
      <c r="AA20" s="415" t="str">
        <f>Translate!$A$139</f>
        <v>Select the subprojects and projects that you want to total</v>
      </c>
      <c r="AB20" s="416"/>
      <c r="AC20" s="416"/>
      <c r="AD20" s="416"/>
      <c r="AE20" s="416"/>
      <c r="AF20" s="417"/>
      <c r="AG20" s="96"/>
      <c r="AH20" s="96"/>
      <c r="AI20" s="96"/>
      <c r="AJ20" s="96"/>
      <c r="AK20" s="96"/>
      <c r="AL20" s="96"/>
      <c r="AM20" s="96"/>
      <c r="AN20" s="96"/>
      <c r="AO20" s="96"/>
      <c r="AP20" s="137"/>
    </row>
    <row r="21" spans="1:42" ht="16.5" thickBot="1">
      <c r="A21" s="95"/>
      <c r="B21" s="95"/>
      <c r="C21" s="95"/>
      <c r="D21" s="95"/>
      <c r="E21" s="95"/>
      <c r="F21" s="95"/>
      <c r="G21" s="95"/>
      <c r="H21" s="95"/>
      <c r="I21" s="95"/>
      <c r="J21" s="95"/>
      <c r="K21" s="95"/>
      <c r="L21" s="95"/>
      <c r="M21" s="95"/>
      <c r="N21" s="95"/>
      <c r="O21" s="95"/>
      <c r="P21" s="95"/>
      <c r="Q21" s="95"/>
      <c r="R21" s="95"/>
      <c r="S21"/>
      <c r="T21" s="136"/>
      <c r="U21" s="96"/>
      <c r="V21" s="96"/>
      <c r="W21" s="96"/>
      <c r="X21" s="96"/>
      <c r="Y21" s="96"/>
      <c r="Z21" s="96"/>
      <c r="AA21" s="496"/>
      <c r="AB21" s="496"/>
      <c r="AC21" s="496"/>
      <c r="AD21" s="496"/>
      <c r="AE21" s="496"/>
      <c r="AF21" s="497"/>
      <c r="AG21" s="97" t="str">
        <f>Translate!$A$134</f>
        <v>Total</v>
      </c>
      <c r="AH21" s="96"/>
      <c r="AI21" s="96"/>
      <c r="AJ21" s="96"/>
      <c r="AK21" s="96"/>
      <c r="AL21" s="96"/>
      <c r="AM21" s="96"/>
      <c r="AN21" s="96"/>
      <c r="AO21" s="96"/>
      <c r="AP21" s="137"/>
    </row>
    <row r="22" spans="1:42" hidden="1">
      <c r="A22" s="95"/>
      <c r="B22" s="95"/>
      <c r="C22" s="95"/>
      <c r="D22" s="95"/>
      <c r="E22" s="95"/>
      <c r="F22" s="95"/>
      <c r="G22" s="95"/>
      <c r="H22" s="95"/>
      <c r="I22" s="95"/>
      <c r="J22" s="95"/>
      <c r="K22" s="95"/>
      <c r="L22" s="95"/>
      <c r="M22" s="95"/>
      <c r="N22" s="95"/>
      <c r="O22" s="95"/>
      <c r="P22" s="95"/>
      <c r="Q22" s="95"/>
      <c r="R22" s="95"/>
      <c r="S22"/>
      <c r="T22" s="136"/>
      <c r="U22" s="96"/>
      <c r="V22" s="96"/>
      <c r="W22" s="96"/>
      <c r="X22" s="96"/>
      <c r="Y22" s="96"/>
      <c r="Z22" s="96"/>
      <c r="AA22" s="96">
        <f t="shared" ref="AA22:AF22" ca="1" si="6">IF(ISERROR(INDIRECT("'"&amp;AA21&amp;"'!A1")),0,1)</f>
        <v>0</v>
      </c>
      <c r="AB22" s="96">
        <f t="shared" ca="1" si="6"/>
        <v>0</v>
      </c>
      <c r="AC22" s="96">
        <f t="shared" ca="1" si="6"/>
        <v>0</v>
      </c>
      <c r="AD22" s="96">
        <f t="shared" ca="1" si="6"/>
        <v>0</v>
      </c>
      <c r="AE22" s="96">
        <f t="shared" ca="1" si="6"/>
        <v>0</v>
      </c>
      <c r="AF22" s="96">
        <f t="shared" ca="1" si="6"/>
        <v>0</v>
      </c>
      <c r="AG22" s="96"/>
      <c r="AH22" s="96"/>
      <c r="AI22" s="96"/>
      <c r="AJ22" s="96"/>
      <c r="AK22" s="96"/>
      <c r="AL22" s="96"/>
      <c r="AM22" s="96"/>
      <c r="AN22" s="96"/>
      <c r="AO22" s="96"/>
      <c r="AP22" s="137"/>
    </row>
    <row r="23" spans="1:42">
      <c r="A23" s="95"/>
      <c r="B23" s="95"/>
      <c r="C23" s="95"/>
      <c r="D23" s="95"/>
      <c r="E23" s="95"/>
      <c r="F23" s="95"/>
      <c r="G23" s="95"/>
      <c r="H23" s="95"/>
      <c r="I23" s="95"/>
      <c r="J23" s="95"/>
      <c r="K23" s="95"/>
      <c r="L23" s="95"/>
      <c r="M23" s="95"/>
      <c r="N23" s="95"/>
      <c r="O23" s="95"/>
      <c r="P23" s="95"/>
      <c r="Q23" s="95"/>
      <c r="R23" s="95"/>
      <c r="S23"/>
      <c r="T23" s="136"/>
      <c r="U23" s="96"/>
      <c r="V23" s="96"/>
      <c r="W23" s="96"/>
      <c r="X23" s="96"/>
      <c r="Y23" s="96"/>
      <c r="Z23" s="96"/>
      <c r="AA23" s="96"/>
      <c r="AB23" s="96"/>
      <c r="AC23" s="96"/>
      <c r="AD23" s="96"/>
      <c r="AE23" s="96"/>
      <c r="AF23" s="96"/>
      <c r="AG23" s="96"/>
      <c r="AH23" s="96"/>
      <c r="AI23" s="96"/>
      <c r="AJ23" s="96"/>
      <c r="AK23" s="96"/>
      <c r="AL23" s="96"/>
      <c r="AM23" s="96"/>
      <c r="AN23" s="96"/>
      <c r="AO23" s="96"/>
      <c r="AP23" s="137"/>
    </row>
    <row r="24" spans="1:42" ht="15.75">
      <c r="A24" s="95" t="str">
        <f t="shared" ref="A24:A30" si="7">ADDRESS(ROW(P7),COLUMN(P7))</f>
        <v>$P$7</v>
      </c>
      <c r="B24" s="95"/>
      <c r="C24" s="95"/>
      <c r="D24" s="95"/>
      <c r="E24" s="95"/>
      <c r="F24" s="95"/>
      <c r="G24" s="95"/>
      <c r="H24" s="95"/>
      <c r="I24" s="95"/>
      <c r="J24" s="95"/>
      <c r="K24" s="95"/>
      <c r="L24" s="95"/>
      <c r="M24" s="95"/>
      <c r="N24" s="95"/>
      <c r="O24" s="95"/>
      <c r="P24" s="95"/>
      <c r="Q24" s="95"/>
      <c r="R24" s="95"/>
      <c r="S24"/>
      <c r="T24" s="136"/>
      <c r="U24" s="96"/>
      <c r="V24" s="96"/>
      <c r="W24" s="96"/>
      <c r="X24" s="96"/>
      <c r="Y24" s="96"/>
      <c r="Z24" s="418" t="str">
        <f>Translate!$A$104</f>
        <v>Materials</v>
      </c>
      <c r="AA24" s="94" t="str">
        <f t="shared" ref="AA24:AF30" ca="1" si="8">IF(AA$22,INDIRECT("'"&amp;AA$21&amp;"'!"&amp;$A24),"")</f>
        <v/>
      </c>
      <c r="AB24" s="94" t="str">
        <f t="shared" ca="1" si="8"/>
        <v/>
      </c>
      <c r="AC24" s="94" t="str">
        <f t="shared" ca="1" si="8"/>
        <v/>
      </c>
      <c r="AD24" s="94" t="str">
        <f t="shared" ca="1" si="8"/>
        <v/>
      </c>
      <c r="AE24" s="94" t="str">
        <f t="shared" ca="1" si="8"/>
        <v/>
      </c>
      <c r="AF24" s="94" t="str">
        <f t="shared" ca="1" si="8"/>
        <v/>
      </c>
      <c r="AG24" s="419">
        <f t="shared" ref="AG24:AG30" ca="1" si="9">SUM(AA24:AF24)</f>
        <v>0</v>
      </c>
      <c r="AH24" s="96"/>
      <c r="AI24" s="96"/>
      <c r="AJ24" s="96"/>
      <c r="AK24" s="420" t="str">
        <f>Translate!$A$132</f>
        <v>Primary emission sources</v>
      </c>
      <c r="AL24" s="421">
        <f ca="1">AG71</f>
        <v>0</v>
      </c>
      <c r="AM24" s="421"/>
      <c r="AN24" s="421">
        <f ca="1">AG73</f>
        <v>0</v>
      </c>
      <c r="AO24" s="96"/>
      <c r="AP24" s="137"/>
    </row>
    <row r="25" spans="1:42" ht="15.75">
      <c r="A25" s="95" t="str">
        <f t="shared" si="7"/>
        <v>$P$8</v>
      </c>
      <c r="B25" s="95"/>
      <c r="C25" s="95"/>
      <c r="D25" s="95"/>
      <c r="E25" s="95"/>
      <c r="F25" s="95"/>
      <c r="G25" s="95"/>
      <c r="H25" s="95"/>
      <c r="I25" s="95"/>
      <c r="J25" s="95"/>
      <c r="K25" s="95"/>
      <c r="L25" s="95"/>
      <c r="M25" s="95"/>
      <c r="N25" s="95"/>
      <c r="O25" s="95"/>
      <c r="P25" s="95"/>
      <c r="Q25" s="95"/>
      <c r="R25" s="95"/>
      <c r="S25"/>
      <c r="T25" s="136"/>
      <c r="U25" s="96"/>
      <c r="V25" s="96"/>
      <c r="W25" s="96"/>
      <c r="X25" s="96"/>
      <c r="Y25" s="96"/>
      <c r="Z25" s="418" t="str">
        <f>Translate!$A$105</f>
        <v>Energy</v>
      </c>
      <c r="AA25" s="94" t="str">
        <f t="shared" ca="1" si="8"/>
        <v/>
      </c>
      <c r="AB25" s="94" t="str">
        <f t="shared" ca="1" si="8"/>
        <v/>
      </c>
      <c r="AC25" s="94" t="str">
        <f t="shared" ca="1" si="8"/>
        <v/>
      </c>
      <c r="AD25" s="94" t="str">
        <f t="shared" ca="1" si="8"/>
        <v/>
      </c>
      <c r="AE25" s="94" t="str">
        <f t="shared" ca="1" si="8"/>
        <v/>
      </c>
      <c r="AF25" s="94" t="str">
        <f t="shared" ca="1" si="8"/>
        <v/>
      </c>
      <c r="AG25" s="419">
        <f t="shared" ca="1" si="9"/>
        <v>0</v>
      </c>
      <c r="AH25" s="96"/>
      <c r="AI25" s="96"/>
      <c r="AJ25" s="96"/>
      <c r="AK25" s="420" t="str">
        <f>Translate!$A$133</f>
        <v>Secondary emission sources</v>
      </c>
      <c r="AL25" s="421">
        <f ca="1">AG72</f>
        <v>0</v>
      </c>
      <c r="AM25" s="421">
        <f ca="1">AL24</f>
        <v>0</v>
      </c>
      <c r="AN25" s="421">
        <f ca="1">AG74</f>
        <v>0</v>
      </c>
      <c r="AO25" s="96"/>
      <c r="AP25" s="137"/>
    </row>
    <row r="26" spans="1:42" ht="15.75">
      <c r="A26" s="95" t="str">
        <f t="shared" si="7"/>
        <v>$P$9</v>
      </c>
      <c r="B26" s="95"/>
      <c r="C26" s="95"/>
      <c r="D26" s="95"/>
      <c r="E26" s="95"/>
      <c r="F26" s="95"/>
      <c r="G26" s="95"/>
      <c r="H26" s="95"/>
      <c r="I26" s="95"/>
      <c r="J26" s="95"/>
      <c r="K26" s="95"/>
      <c r="L26" s="95"/>
      <c r="M26" s="95"/>
      <c r="N26" s="95"/>
      <c r="O26" s="95"/>
      <c r="P26" s="95"/>
      <c r="Q26" s="95"/>
      <c r="R26" s="95"/>
      <c r="S26"/>
      <c r="T26" s="136"/>
      <c r="U26" s="96"/>
      <c r="V26" s="96"/>
      <c r="W26" s="96"/>
      <c r="X26" s="96"/>
      <c r="Y26" s="96"/>
      <c r="Z26" s="418" t="str">
        <f>Translate!$A$106</f>
        <v>Freight</v>
      </c>
      <c r="AA26" s="94" t="str">
        <f t="shared" ca="1" si="8"/>
        <v/>
      </c>
      <c r="AB26" s="94" t="str">
        <f t="shared" ca="1" si="8"/>
        <v/>
      </c>
      <c r="AC26" s="94" t="str">
        <f t="shared" ca="1" si="8"/>
        <v/>
      </c>
      <c r="AD26" s="94" t="str">
        <f t="shared" ca="1" si="8"/>
        <v/>
      </c>
      <c r="AE26" s="94" t="str">
        <f t="shared" ca="1" si="8"/>
        <v/>
      </c>
      <c r="AF26" s="94" t="str">
        <f t="shared" ca="1" si="8"/>
        <v/>
      </c>
      <c r="AG26" s="419">
        <f t="shared" ca="1" si="9"/>
        <v>0</v>
      </c>
      <c r="AH26" s="96"/>
      <c r="AI26" s="96"/>
      <c r="AJ26" s="96"/>
      <c r="AK26" s="420" t="str">
        <f>Translate!$A$134</f>
        <v>Total</v>
      </c>
      <c r="AL26" s="421">
        <f ca="1">AL24+AL25</f>
        <v>0</v>
      </c>
      <c r="AM26" s="421"/>
      <c r="AN26" s="421">
        <f ca="1">AN24+AN25</f>
        <v>0</v>
      </c>
      <c r="AO26" s="96"/>
      <c r="AP26" s="137"/>
    </row>
    <row r="27" spans="1:42" ht="15.75">
      <c r="A27" s="95" t="str">
        <f t="shared" si="7"/>
        <v>$P$10</v>
      </c>
      <c r="B27" s="95"/>
      <c r="C27" s="95"/>
      <c r="D27" s="95"/>
      <c r="E27" s="95"/>
      <c r="F27" s="95"/>
      <c r="G27" s="95"/>
      <c r="H27" s="95"/>
      <c r="I27" s="95"/>
      <c r="J27" s="95"/>
      <c r="K27" s="95"/>
      <c r="L27" s="95"/>
      <c r="M27" s="95"/>
      <c r="N27" s="95"/>
      <c r="O27" s="95"/>
      <c r="P27" s="95"/>
      <c r="Q27" s="95"/>
      <c r="R27" s="95"/>
      <c r="S27"/>
      <c r="T27" s="136"/>
      <c r="U27" s="96"/>
      <c r="V27" s="96"/>
      <c r="W27" s="96"/>
      <c r="X27" s="96"/>
      <c r="Y27" s="96"/>
      <c r="Z27" s="418" t="str">
        <f>Translate!$A$107</f>
        <v>Mob/demob</v>
      </c>
      <c r="AA27" s="94" t="str">
        <f t="shared" ca="1" si="8"/>
        <v/>
      </c>
      <c r="AB27" s="94" t="str">
        <f t="shared" ca="1" si="8"/>
        <v/>
      </c>
      <c r="AC27" s="94" t="str">
        <f t="shared" ca="1" si="8"/>
        <v/>
      </c>
      <c r="AD27" s="94" t="str">
        <f t="shared" ca="1" si="8"/>
        <v/>
      </c>
      <c r="AE27" s="94" t="str">
        <f t="shared" ca="1" si="8"/>
        <v/>
      </c>
      <c r="AF27" s="94" t="str">
        <f t="shared" ca="1" si="8"/>
        <v/>
      </c>
      <c r="AG27" s="419">
        <f t="shared" ca="1" si="9"/>
        <v>0</v>
      </c>
      <c r="AH27" s="96"/>
      <c r="AI27" s="96"/>
      <c r="AJ27" s="96"/>
      <c r="AK27" s="96"/>
      <c r="AL27" s="96"/>
      <c r="AM27" s="96"/>
      <c r="AN27" s="96"/>
      <c r="AO27" s="96"/>
      <c r="AP27" s="137"/>
    </row>
    <row r="28" spans="1:42" ht="15.75">
      <c r="A28" s="95" t="str">
        <f t="shared" si="7"/>
        <v>$P$11</v>
      </c>
      <c r="B28" s="95"/>
      <c r="C28" s="95"/>
      <c r="D28" s="95"/>
      <c r="E28" s="95"/>
      <c r="F28" s="95"/>
      <c r="G28" s="95"/>
      <c r="H28" s="95"/>
      <c r="I28" s="95"/>
      <c r="J28" s="95"/>
      <c r="K28" s="95"/>
      <c r="L28" s="95"/>
      <c r="M28" s="95"/>
      <c r="N28" s="95"/>
      <c r="O28" s="95"/>
      <c r="P28" s="95"/>
      <c r="Q28" s="95"/>
      <c r="R28" s="95"/>
      <c r="S28"/>
      <c r="T28" s="136"/>
      <c r="U28" s="96"/>
      <c r="V28" s="96"/>
      <c r="W28" s="96"/>
      <c r="X28" s="96"/>
      <c r="Y28" s="96"/>
      <c r="Z28" s="418" t="str">
        <f>Translate!$A$108</f>
        <v>People's transportation</v>
      </c>
      <c r="AA28" s="94" t="str">
        <f t="shared" ca="1" si="8"/>
        <v/>
      </c>
      <c r="AB28" s="94" t="str">
        <f t="shared" ca="1" si="8"/>
        <v/>
      </c>
      <c r="AC28" s="94" t="str">
        <f t="shared" ca="1" si="8"/>
        <v/>
      </c>
      <c r="AD28" s="94" t="str">
        <f t="shared" ca="1" si="8"/>
        <v/>
      </c>
      <c r="AE28" s="94" t="str">
        <f t="shared" ca="1" si="8"/>
        <v/>
      </c>
      <c r="AF28" s="94" t="str">
        <f t="shared" ca="1" si="8"/>
        <v/>
      </c>
      <c r="AG28" s="419">
        <f t="shared" ca="1" si="9"/>
        <v>0</v>
      </c>
      <c r="AH28" s="96"/>
      <c r="AI28" s="96"/>
      <c r="AJ28" s="96"/>
      <c r="AK28" s="96"/>
      <c r="AL28" s="96"/>
      <c r="AM28" s="96"/>
      <c r="AN28" s="96"/>
      <c r="AO28" s="96"/>
      <c r="AP28" s="137"/>
    </row>
    <row r="29" spans="1:42" ht="15.75">
      <c r="A29" s="95" t="str">
        <f t="shared" si="7"/>
        <v>$P$12</v>
      </c>
      <c r="B29" s="95"/>
      <c r="C29" s="95"/>
      <c r="D29" s="95"/>
      <c r="E29" s="95"/>
      <c r="F29" s="95"/>
      <c r="G29" s="95"/>
      <c r="H29" s="95"/>
      <c r="I29" s="95"/>
      <c r="J29" s="95"/>
      <c r="K29" s="95"/>
      <c r="L29" s="95"/>
      <c r="M29" s="95"/>
      <c r="N29" s="95"/>
      <c r="O29" s="95"/>
      <c r="P29" s="95"/>
      <c r="Q29" s="95"/>
      <c r="R29" s="95"/>
      <c r="S29"/>
      <c r="T29" s="136"/>
      <c r="U29" s="96"/>
      <c r="V29" s="96"/>
      <c r="W29" s="96"/>
      <c r="X29" s="96"/>
      <c r="Y29" s="96"/>
      <c r="Z29" s="418" t="str">
        <f>Translate!$A$109</f>
        <v>Assets</v>
      </c>
      <c r="AA29" s="94" t="str">
        <f t="shared" ca="1" si="8"/>
        <v/>
      </c>
      <c r="AB29" s="94" t="str">
        <f t="shared" ca="1" si="8"/>
        <v/>
      </c>
      <c r="AC29" s="94" t="str">
        <f t="shared" ca="1" si="8"/>
        <v/>
      </c>
      <c r="AD29" s="94" t="str">
        <f t="shared" ca="1" si="8"/>
        <v/>
      </c>
      <c r="AE29" s="94" t="str">
        <f t="shared" ca="1" si="8"/>
        <v/>
      </c>
      <c r="AF29" s="94" t="str">
        <f t="shared" ca="1" si="8"/>
        <v/>
      </c>
      <c r="AG29" s="419">
        <f t="shared" ca="1" si="9"/>
        <v>0</v>
      </c>
      <c r="AH29" s="96"/>
      <c r="AI29" s="96"/>
      <c r="AJ29" s="96"/>
      <c r="AK29" s="96"/>
      <c r="AL29" s="96"/>
      <c r="AM29" s="96"/>
      <c r="AN29" s="96"/>
      <c r="AO29" s="96"/>
      <c r="AP29" s="137"/>
    </row>
    <row r="30" spans="1:42" ht="15.75">
      <c r="A30" s="95" t="str">
        <f t="shared" si="7"/>
        <v>$P$13</v>
      </c>
      <c r="B30" s="95"/>
      <c r="C30" s="95"/>
      <c r="D30" s="95"/>
      <c r="E30" s="95"/>
      <c r="F30" s="95"/>
      <c r="G30" s="95"/>
      <c r="H30" s="95"/>
      <c r="I30" s="95"/>
      <c r="J30" s="95"/>
      <c r="K30" s="95"/>
      <c r="L30" s="95"/>
      <c r="M30" s="95"/>
      <c r="N30" s="95"/>
      <c r="O30" s="95"/>
      <c r="P30" s="95"/>
      <c r="Q30" s="95"/>
      <c r="R30" s="95"/>
      <c r="S30"/>
      <c r="T30" s="136"/>
      <c r="U30" s="96"/>
      <c r="V30" s="96"/>
      <c r="W30" s="96"/>
      <c r="X30" s="96"/>
      <c r="Y30" s="96"/>
      <c r="Z30" s="418" t="str">
        <f>Translate!$A$110</f>
        <v>Waste</v>
      </c>
      <c r="AA30" s="94" t="str">
        <f t="shared" ca="1" si="8"/>
        <v/>
      </c>
      <c r="AB30" s="94" t="str">
        <f t="shared" ca="1" si="8"/>
        <v/>
      </c>
      <c r="AC30" s="94" t="str">
        <f t="shared" ca="1" si="8"/>
        <v/>
      </c>
      <c r="AD30" s="94" t="str">
        <f t="shared" ca="1" si="8"/>
        <v/>
      </c>
      <c r="AE30" s="94" t="str">
        <f t="shared" ca="1" si="8"/>
        <v/>
      </c>
      <c r="AF30" s="94" t="str">
        <f t="shared" ca="1" si="8"/>
        <v/>
      </c>
      <c r="AG30" s="419">
        <f t="shared" ca="1" si="9"/>
        <v>0</v>
      </c>
      <c r="AH30" s="96"/>
      <c r="AI30" s="96"/>
      <c r="AJ30" s="96"/>
      <c r="AK30" s="96"/>
      <c r="AL30" s="96"/>
      <c r="AM30" s="96"/>
      <c r="AN30" s="96"/>
      <c r="AO30" s="96"/>
      <c r="AP30" s="137"/>
    </row>
    <row r="31" spans="1:42" ht="15.75">
      <c r="A31" s="95"/>
      <c r="B31" s="95"/>
      <c r="C31" s="95"/>
      <c r="D31" s="95"/>
      <c r="E31" s="95"/>
      <c r="F31" s="95"/>
      <c r="G31" s="95"/>
      <c r="H31" s="95"/>
      <c r="I31" s="95"/>
      <c r="J31" s="95"/>
      <c r="K31" s="95"/>
      <c r="L31" s="95"/>
      <c r="M31" s="95"/>
      <c r="N31" s="95"/>
      <c r="O31" s="95"/>
      <c r="P31" s="95"/>
      <c r="Q31" s="95"/>
      <c r="R31" s="95"/>
      <c r="S31"/>
      <c r="T31" s="136"/>
      <c r="U31" s="96"/>
      <c r="V31" s="96"/>
      <c r="W31" s="96"/>
      <c r="X31" s="96"/>
      <c r="Y31" s="96"/>
      <c r="Z31" s="422" t="str">
        <f>Translate!$A$134</f>
        <v>Total</v>
      </c>
      <c r="AA31" s="419">
        <f t="shared" ref="AA31:AG31" ca="1" si="10">SUM(AA24:AA30)</f>
        <v>0</v>
      </c>
      <c r="AB31" s="419">
        <f t="shared" ca="1" si="10"/>
        <v>0</v>
      </c>
      <c r="AC31" s="419">
        <f t="shared" ca="1" si="10"/>
        <v>0</v>
      </c>
      <c r="AD31" s="419">
        <f t="shared" ca="1" si="10"/>
        <v>0</v>
      </c>
      <c r="AE31" s="419">
        <f t="shared" ca="1" si="10"/>
        <v>0</v>
      </c>
      <c r="AF31" s="419">
        <f t="shared" ca="1" si="10"/>
        <v>0</v>
      </c>
      <c r="AG31" s="419">
        <f t="shared" ca="1" si="10"/>
        <v>0</v>
      </c>
      <c r="AH31" s="96"/>
      <c r="AI31" s="96"/>
      <c r="AJ31" s="96"/>
      <c r="AK31" s="96"/>
      <c r="AL31" s="96"/>
      <c r="AM31" s="96"/>
      <c r="AN31" s="96"/>
      <c r="AO31" s="96"/>
      <c r="AP31" s="137"/>
    </row>
    <row r="32" spans="1:42">
      <c r="A32" s="95"/>
      <c r="B32" s="95"/>
      <c r="C32" s="95"/>
      <c r="D32" s="95"/>
      <c r="E32" s="95"/>
      <c r="F32" s="95"/>
      <c r="G32" s="95"/>
      <c r="H32" s="95"/>
      <c r="I32" s="95"/>
      <c r="J32" s="95"/>
      <c r="K32" s="95"/>
      <c r="L32" s="95"/>
      <c r="M32" s="95"/>
      <c r="N32" s="95"/>
      <c r="O32" s="95"/>
      <c r="P32" s="95"/>
      <c r="Q32" s="95"/>
      <c r="R32" s="95"/>
      <c r="S32"/>
      <c r="T32" s="136"/>
      <c r="U32" s="96"/>
      <c r="V32" s="96"/>
      <c r="W32" s="96"/>
      <c r="X32" s="96"/>
      <c r="Y32" s="96"/>
      <c r="Z32" s="96"/>
      <c r="AA32" s="96"/>
      <c r="AB32" s="96"/>
      <c r="AC32" s="96"/>
      <c r="AD32" s="96"/>
      <c r="AE32" s="96"/>
      <c r="AF32" s="96"/>
      <c r="AG32" s="96"/>
      <c r="AH32" s="96"/>
      <c r="AI32" s="96"/>
      <c r="AJ32" s="96"/>
      <c r="AK32" s="96"/>
      <c r="AL32" s="96"/>
      <c r="AM32" s="96"/>
      <c r="AN32" s="96"/>
      <c r="AO32" s="96"/>
      <c r="AP32" s="137"/>
    </row>
    <row r="33" spans="1:42">
      <c r="A33" s="95"/>
      <c r="B33" s="95"/>
      <c r="C33" s="95"/>
      <c r="D33" s="95"/>
      <c r="E33" s="95"/>
      <c r="F33" s="95"/>
      <c r="G33" s="95"/>
      <c r="H33" s="95"/>
      <c r="I33" s="95"/>
      <c r="J33" s="95"/>
      <c r="K33" s="95"/>
      <c r="L33" s="95"/>
      <c r="M33" s="95"/>
      <c r="N33" s="95"/>
      <c r="O33" s="95"/>
      <c r="P33" s="95"/>
      <c r="Q33" s="95"/>
      <c r="R33" s="95"/>
      <c r="S33"/>
      <c r="T33" s="136"/>
      <c r="U33" s="96"/>
      <c r="V33" s="96"/>
      <c r="W33" s="96"/>
      <c r="X33" s="96"/>
      <c r="Y33" s="96"/>
      <c r="Z33" s="96"/>
      <c r="AA33" s="96"/>
      <c r="AB33" s="96"/>
      <c r="AC33" s="96"/>
      <c r="AD33" s="96"/>
      <c r="AE33" s="96"/>
      <c r="AF33" s="96"/>
      <c r="AG33" s="96"/>
      <c r="AH33" s="96"/>
      <c r="AI33" s="96"/>
      <c r="AJ33" s="96"/>
      <c r="AK33" s="96"/>
      <c r="AL33" s="96"/>
      <c r="AM33" s="96"/>
      <c r="AN33" s="96"/>
      <c r="AO33" s="96"/>
      <c r="AP33" s="137"/>
    </row>
    <row r="34" spans="1:42" ht="15.75">
      <c r="A34" s="95" t="str">
        <f>ADDRESS(ROW(E9),COLUMN(E9))</f>
        <v>$E$9</v>
      </c>
      <c r="B34" s="95"/>
      <c r="C34" s="95"/>
      <c r="D34" s="95"/>
      <c r="E34" s="95"/>
      <c r="F34" s="95"/>
      <c r="G34" s="95"/>
      <c r="H34" s="95"/>
      <c r="I34" s="95"/>
      <c r="J34" s="95"/>
      <c r="K34" s="95"/>
      <c r="L34" s="95"/>
      <c r="M34" s="95"/>
      <c r="N34" s="95"/>
      <c r="O34" s="95"/>
      <c r="P34" s="95"/>
      <c r="Q34" s="95"/>
      <c r="R34" s="95"/>
      <c r="S34"/>
      <c r="T34" s="136"/>
      <c r="U34" s="96"/>
      <c r="V34" s="96"/>
      <c r="W34" s="96"/>
      <c r="X34" s="96"/>
      <c r="Y34" s="96"/>
      <c r="Z34" s="99" t="str">
        <f>Translate!$A$67</f>
        <v>Working days</v>
      </c>
      <c r="AA34" s="94" t="str">
        <f t="shared" ref="AA34:AF36" ca="1" si="11">IF(AA$22,INDIRECT("'"&amp;AA$21&amp;"'!"&amp;$A34),"")</f>
        <v/>
      </c>
      <c r="AB34" s="94" t="str">
        <f t="shared" ca="1" si="11"/>
        <v/>
      </c>
      <c r="AC34" s="94" t="str">
        <f t="shared" ca="1" si="11"/>
        <v/>
      </c>
      <c r="AD34" s="94" t="str">
        <f t="shared" ca="1" si="11"/>
        <v/>
      </c>
      <c r="AE34" s="94" t="str">
        <f t="shared" ca="1" si="11"/>
        <v/>
      </c>
      <c r="AF34" s="94" t="str">
        <f t="shared" ca="1" si="11"/>
        <v/>
      </c>
      <c r="AG34" s="141"/>
      <c r="AH34" s="96"/>
      <c r="AI34" s="96"/>
      <c r="AJ34" s="96"/>
      <c r="AK34" s="96"/>
      <c r="AL34" s="96"/>
      <c r="AM34" s="96"/>
      <c r="AN34" s="96"/>
      <c r="AO34" s="96"/>
      <c r="AP34" s="137"/>
    </row>
    <row r="35" spans="1:42" ht="15.75">
      <c r="A35" s="95" t="str">
        <f>ADDRESS(ROW(E10),COLUMN(E10))</f>
        <v>$E$10</v>
      </c>
      <c r="B35" s="95"/>
      <c r="C35" s="95"/>
      <c r="D35" s="95"/>
      <c r="E35" s="95"/>
      <c r="F35" s="95"/>
      <c r="G35" s="95"/>
      <c r="H35" s="95"/>
      <c r="I35" s="95"/>
      <c r="J35" s="95"/>
      <c r="K35" s="95"/>
      <c r="L35" s="95"/>
      <c r="M35" s="95"/>
      <c r="N35" s="95"/>
      <c r="O35" s="95"/>
      <c r="P35" s="95"/>
      <c r="Q35" s="95"/>
      <c r="R35" s="95"/>
      <c r="S35"/>
      <c r="T35" s="136"/>
      <c r="U35" s="96"/>
      <c r="V35" s="96"/>
      <c r="W35" s="96"/>
      <c r="X35" s="96"/>
      <c r="Y35" s="96"/>
      <c r="Z35" s="99" t="str">
        <f>Translate!$A$68</f>
        <v>Workforce</v>
      </c>
      <c r="AA35" s="94" t="str">
        <f t="shared" ca="1" si="11"/>
        <v/>
      </c>
      <c r="AB35" s="94" t="str">
        <f t="shared" ca="1" si="11"/>
        <v/>
      </c>
      <c r="AC35" s="94" t="str">
        <f t="shared" ca="1" si="11"/>
        <v/>
      </c>
      <c r="AD35" s="94" t="str">
        <f t="shared" ca="1" si="11"/>
        <v/>
      </c>
      <c r="AE35" s="94" t="str">
        <f t="shared" ca="1" si="11"/>
        <v/>
      </c>
      <c r="AF35" s="94" t="str">
        <f t="shared" ca="1" si="11"/>
        <v/>
      </c>
      <c r="AG35" s="141"/>
      <c r="AH35" s="96"/>
      <c r="AI35" s="96"/>
      <c r="AJ35" s="96"/>
      <c r="AK35" s="96"/>
      <c r="AL35" s="96"/>
      <c r="AM35" s="96"/>
      <c r="AN35" s="96"/>
      <c r="AO35" s="96"/>
      <c r="AP35" s="137"/>
    </row>
    <row r="36" spans="1:42" ht="15.75">
      <c r="A36" s="95" t="str">
        <f>ADDRESS(ROW(E11),COLUMN(E11))</f>
        <v>$E$11</v>
      </c>
      <c r="B36" s="95"/>
      <c r="C36" s="95"/>
      <c r="D36" s="95"/>
      <c r="E36" s="95"/>
      <c r="F36" s="95"/>
      <c r="G36" s="95"/>
      <c r="H36" s="95"/>
      <c r="I36" s="95"/>
      <c r="J36" s="95"/>
      <c r="K36" s="95"/>
      <c r="L36" s="95"/>
      <c r="M36" s="95"/>
      <c r="N36" s="95"/>
      <c r="O36" s="95"/>
      <c r="P36" s="95"/>
      <c r="Q36" s="95"/>
      <c r="R36" s="95"/>
      <c r="S36"/>
      <c r="T36" s="136"/>
      <c r="U36" s="96"/>
      <c r="V36" s="96"/>
      <c r="W36" s="96"/>
      <c r="X36" s="96"/>
      <c r="Y36" s="96"/>
      <c r="Z36" s="99" t="str">
        <f>Translate!$A$137</f>
        <v>Turnover</v>
      </c>
      <c r="AA36" s="94" t="str">
        <f t="shared" ca="1" si="11"/>
        <v/>
      </c>
      <c r="AB36" s="94" t="str">
        <f t="shared" ca="1" si="11"/>
        <v/>
      </c>
      <c r="AC36" s="94" t="str">
        <f t="shared" ca="1" si="11"/>
        <v/>
      </c>
      <c r="AD36" s="94" t="str">
        <f t="shared" ca="1" si="11"/>
        <v/>
      </c>
      <c r="AE36" s="94" t="str">
        <f t="shared" ca="1" si="11"/>
        <v/>
      </c>
      <c r="AF36" s="94" t="str">
        <f t="shared" ca="1" si="11"/>
        <v/>
      </c>
      <c r="AG36" s="419">
        <f ca="1">SUM(AA36:AF36)</f>
        <v>0</v>
      </c>
      <c r="AH36" s="419" t="str">
        <f ca="1">IF(AG53&gt;0,Translate!$A$143,AA52)</f>
        <v/>
      </c>
      <c r="AI36" s="96"/>
      <c r="AJ36" s="96"/>
      <c r="AK36" s="96"/>
      <c r="AL36" s="96"/>
      <c r="AM36" s="96"/>
      <c r="AN36" s="96"/>
      <c r="AO36" s="96"/>
      <c r="AP36" s="137"/>
    </row>
    <row r="37" spans="1:42" ht="15.75">
      <c r="A37" s="95"/>
      <c r="B37" s="95"/>
      <c r="C37" s="95"/>
      <c r="D37" s="95"/>
      <c r="E37" s="95"/>
      <c r="F37" s="95"/>
      <c r="G37" s="95"/>
      <c r="H37" s="95"/>
      <c r="I37" s="95"/>
      <c r="J37" s="95"/>
      <c r="K37" s="95"/>
      <c r="L37" s="95"/>
      <c r="M37" s="95"/>
      <c r="N37" s="95"/>
      <c r="O37" s="95"/>
      <c r="P37" s="95"/>
      <c r="Q37" s="95"/>
      <c r="R37" s="95"/>
      <c r="S37"/>
      <c r="T37" s="136"/>
      <c r="U37" s="96"/>
      <c r="V37" s="96"/>
      <c r="W37" s="96"/>
      <c r="X37" s="96"/>
      <c r="Y37" s="96"/>
      <c r="Z37" s="96"/>
      <c r="AA37" s="96"/>
      <c r="AB37" s="96"/>
      <c r="AC37" s="96"/>
      <c r="AD37" s="96"/>
      <c r="AE37" s="96"/>
      <c r="AF37" s="96"/>
      <c r="AG37" s="141"/>
      <c r="AH37" s="96"/>
      <c r="AI37" s="96"/>
      <c r="AJ37" s="96"/>
      <c r="AK37" s="96"/>
      <c r="AL37" s="96"/>
      <c r="AM37" s="96"/>
      <c r="AN37" s="96"/>
      <c r="AO37" s="96"/>
      <c r="AP37" s="137"/>
    </row>
    <row r="38" spans="1:42" ht="15.75">
      <c r="A38" s="95" t="str">
        <f>ADDRESS(ROW(E13),COLUMN(E13))</f>
        <v>$E$13</v>
      </c>
      <c r="B38" s="95"/>
      <c r="C38" s="95"/>
      <c r="D38" s="95"/>
      <c r="E38" s="95"/>
      <c r="F38" s="95"/>
      <c r="G38" s="95"/>
      <c r="H38" s="95"/>
      <c r="I38" s="95"/>
      <c r="J38" s="95"/>
      <c r="K38" s="95"/>
      <c r="L38" s="95"/>
      <c r="M38" s="95"/>
      <c r="N38" s="95"/>
      <c r="O38" s="95"/>
      <c r="P38" s="95"/>
      <c r="Q38" s="95"/>
      <c r="R38" s="95"/>
      <c r="S38"/>
      <c r="T38" s="136"/>
      <c r="U38" s="96"/>
      <c r="V38" s="96"/>
      <c r="W38" s="96"/>
      <c r="X38" s="96"/>
      <c r="Y38" s="96"/>
      <c r="Z38" s="99" t="str">
        <f ca="1">IF(SUM(Z55:AF55,Z59:AF59)&gt;0,Translate!$A$71,AA54)</f>
        <v/>
      </c>
      <c r="AA38" s="94" t="str">
        <f t="shared" ref="AA38:AF39" ca="1" si="12">IF(AA$22,INDIRECT("'"&amp;AA$21&amp;"'!"&amp;$A38),"")</f>
        <v/>
      </c>
      <c r="AB38" s="94" t="str">
        <f t="shared" ca="1" si="12"/>
        <v/>
      </c>
      <c r="AC38" s="94" t="str">
        <f t="shared" ca="1" si="12"/>
        <v/>
      </c>
      <c r="AD38" s="94" t="str">
        <f t="shared" ca="1" si="12"/>
        <v/>
      </c>
      <c r="AE38" s="94" t="str">
        <f t="shared" ca="1" si="12"/>
        <v/>
      </c>
      <c r="AF38" s="94" t="str">
        <f t="shared" ca="1" si="12"/>
        <v/>
      </c>
      <c r="AG38" s="422">
        <f ca="1">IF(SUM(AA55:AF55)&gt;0,Translate!$A$140,IF(SUM(AA59:AF59)&gt;0,Translate!$A$141,SUM(AA38:AF38)))</f>
        <v>0</v>
      </c>
      <c r="AH38" s="96"/>
      <c r="AI38" s="96"/>
      <c r="AJ38" s="96"/>
      <c r="AK38" s="96"/>
      <c r="AL38" s="96"/>
      <c r="AM38" s="96"/>
      <c r="AN38" s="96"/>
      <c r="AO38" s="96"/>
      <c r="AP38" s="137"/>
    </row>
    <row r="39" spans="1:42" ht="15.75">
      <c r="A39" s="95" t="str">
        <f>ADDRESS(ROW(E14),COLUMN(E14))</f>
        <v>$E$14</v>
      </c>
      <c r="B39" s="95"/>
      <c r="C39" s="95"/>
      <c r="D39" s="95"/>
      <c r="E39" s="95"/>
      <c r="F39" s="95"/>
      <c r="G39" s="95"/>
      <c r="H39" s="95"/>
      <c r="I39" s="95"/>
      <c r="J39" s="95"/>
      <c r="K39" s="95"/>
      <c r="L39" s="95"/>
      <c r="M39" s="95"/>
      <c r="N39" s="95"/>
      <c r="O39" s="95"/>
      <c r="P39" s="95"/>
      <c r="Q39" s="95"/>
      <c r="R39" s="95"/>
      <c r="S39"/>
      <c r="T39" s="136"/>
      <c r="U39" s="96"/>
      <c r="V39" s="96"/>
      <c r="W39" s="96"/>
      <c r="X39" s="96"/>
      <c r="Y39" s="96"/>
      <c r="Z39" s="99" t="str">
        <f ca="1">IF(SUM(Z57:AF57,Z61:AF61)&gt;0,Translate!$A$72,AA56)</f>
        <v/>
      </c>
      <c r="AA39" s="94" t="str">
        <f t="shared" ca="1" si="12"/>
        <v/>
      </c>
      <c r="AB39" s="94" t="str">
        <f t="shared" ca="1" si="12"/>
        <v/>
      </c>
      <c r="AC39" s="94" t="str">
        <f t="shared" ca="1" si="12"/>
        <v/>
      </c>
      <c r="AD39" s="94" t="str">
        <f t="shared" ca="1" si="12"/>
        <v/>
      </c>
      <c r="AE39" s="94" t="str">
        <f t="shared" ca="1" si="12"/>
        <v/>
      </c>
      <c r="AF39" s="94" t="str">
        <f t="shared" ca="1" si="12"/>
        <v/>
      </c>
      <c r="AG39" s="422">
        <f ca="1">IF(SUM(AA57:AF57)&gt;0,Translate!$A$142,IF(SUM(AA61:AF61)&gt;0,Translate!$A$141,SUM(AA39:AF39)))</f>
        <v>0</v>
      </c>
      <c r="AH39" s="96"/>
      <c r="AI39" s="96"/>
      <c r="AJ39" s="96"/>
      <c r="AK39" s="96"/>
      <c r="AL39" s="96"/>
      <c r="AM39" s="96"/>
      <c r="AN39" s="96"/>
      <c r="AO39" s="96"/>
      <c r="AP39" s="137"/>
    </row>
    <row r="40" spans="1:42">
      <c r="A40" s="95"/>
      <c r="B40" s="95"/>
      <c r="C40" s="95"/>
      <c r="D40" s="95"/>
      <c r="E40" s="95"/>
      <c r="F40" s="95"/>
      <c r="G40" s="95"/>
      <c r="H40" s="95"/>
      <c r="I40" s="95"/>
      <c r="J40" s="95"/>
      <c r="K40" s="95"/>
      <c r="L40" s="95"/>
      <c r="M40" s="95"/>
      <c r="N40" s="95"/>
      <c r="O40" s="95"/>
      <c r="P40" s="95"/>
      <c r="Q40" s="95"/>
      <c r="R40" s="95"/>
      <c r="S40"/>
      <c r="T40" s="136"/>
      <c r="U40" s="96"/>
      <c r="V40" s="96"/>
      <c r="W40" s="96"/>
      <c r="X40" s="96"/>
      <c r="Y40" s="96"/>
      <c r="Z40" s="96"/>
      <c r="AA40" s="96"/>
      <c r="AB40" s="96"/>
      <c r="AC40" s="96"/>
      <c r="AD40" s="96"/>
      <c r="AE40" s="96"/>
      <c r="AF40" s="96"/>
      <c r="AG40" s="96"/>
      <c r="AH40" s="96"/>
      <c r="AI40" s="96"/>
      <c r="AJ40" s="96"/>
      <c r="AK40" s="96"/>
      <c r="AL40" s="96"/>
      <c r="AM40" s="96"/>
      <c r="AN40" s="96"/>
      <c r="AO40" s="96"/>
      <c r="AP40" s="137"/>
    </row>
    <row r="41" spans="1:42" ht="15.75">
      <c r="A41" s="95" t="s">
        <v>341</v>
      </c>
      <c r="B41" s="95"/>
      <c r="C41" s="95"/>
      <c r="D41" s="95"/>
      <c r="E41" s="95"/>
      <c r="F41" s="95"/>
      <c r="G41" s="95"/>
      <c r="H41" s="95"/>
      <c r="I41" s="95"/>
      <c r="J41" s="95"/>
      <c r="K41" s="95"/>
      <c r="L41" s="95"/>
      <c r="M41" s="95"/>
      <c r="N41" s="95"/>
      <c r="O41" s="95"/>
      <c r="P41" s="95"/>
      <c r="Q41" s="95"/>
      <c r="R41" s="95"/>
      <c r="S41"/>
      <c r="T41" s="136"/>
      <c r="U41" s="96"/>
      <c r="V41" s="96"/>
      <c r="W41" s="96"/>
      <c r="X41" s="96"/>
      <c r="Y41" s="804" t="str">
        <f>Translate!$A$136</f>
        <v>Materials detail</v>
      </c>
      <c r="Z41" s="418" t="str">
        <f>Translate!$A$73</f>
        <v>Concrete / Slurry / Grout mix</v>
      </c>
      <c r="AA41" s="94" t="str">
        <f t="shared" ref="AA41:AF43" ca="1" si="13">IF(AA$22,INDIRECT("'"&amp;AA$21&amp;"'!"&amp;$A41),"")</f>
        <v/>
      </c>
      <c r="AB41" s="94" t="str">
        <f t="shared" ca="1" si="13"/>
        <v/>
      </c>
      <c r="AC41" s="94" t="str">
        <f t="shared" ca="1" si="13"/>
        <v/>
      </c>
      <c r="AD41" s="94" t="str">
        <f t="shared" ca="1" si="13"/>
        <v/>
      </c>
      <c r="AE41" s="94" t="str">
        <f t="shared" ca="1" si="13"/>
        <v/>
      </c>
      <c r="AF41" s="94" t="str">
        <f t="shared" ca="1" si="13"/>
        <v/>
      </c>
      <c r="AG41" s="419">
        <f ca="1">SUM(AA41:AF41)</f>
        <v>0</v>
      </c>
      <c r="AH41" s="96"/>
      <c r="AI41" s="96"/>
      <c r="AJ41" s="96"/>
      <c r="AK41" s="96"/>
      <c r="AL41" s="96"/>
      <c r="AM41" s="96"/>
      <c r="AN41" s="96"/>
      <c r="AO41" s="96"/>
      <c r="AP41" s="137"/>
    </row>
    <row r="42" spans="1:42" ht="15.75">
      <c r="A42" s="95" t="s">
        <v>342</v>
      </c>
      <c r="B42" s="95"/>
      <c r="C42" s="95"/>
      <c r="D42" s="95"/>
      <c r="E42" s="95"/>
      <c r="F42" s="95"/>
      <c r="G42" s="95"/>
      <c r="H42" s="95"/>
      <c r="I42" s="95"/>
      <c r="J42" s="95"/>
      <c r="K42" s="95"/>
      <c r="L42" s="95"/>
      <c r="M42" s="95"/>
      <c r="N42" s="95"/>
      <c r="O42" s="95"/>
      <c r="P42" s="95"/>
      <c r="Q42" s="95"/>
      <c r="R42" s="95"/>
      <c r="S42"/>
      <c r="T42" s="136"/>
      <c r="U42" s="96"/>
      <c r="V42" s="96"/>
      <c r="W42" s="96"/>
      <c r="X42" s="96"/>
      <c r="Y42" s="805"/>
      <c r="Z42" s="418" t="str">
        <f>Translate!$A$138</f>
        <v>Steel</v>
      </c>
      <c r="AA42" s="94" t="str">
        <f t="shared" ca="1" si="13"/>
        <v/>
      </c>
      <c r="AB42" s="94" t="str">
        <f t="shared" ca="1" si="13"/>
        <v/>
      </c>
      <c r="AC42" s="94" t="str">
        <f t="shared" ca="1" si="13"/>
        <v/>
      </c>
      <c r="AD42" s="94" t="str">
        <f t="shared" ca="1" si="13"/>
        <v/>
      </c>
      <c r="AE42" s="94" t="str">
        <f t="shared" ca="1" si="13"/>
        <v/>
      </c>
      <c r="AF42" s="94" t="str">
        <f t="shared" ca="1" si="13"/>
        <v/>
      </c>
      <c r="AG42" s="419">
        <f ca="1">SUM(AA42:AF42)</f>
        <v>0</v>
      </c>
      <c r="AH42" s="96"/>
      <c r="AI42" s="96"/>
      <c r="AJ42" s="96"/>
      <c r="AK42" s="96"/>
      <c r="AL42" s="96"/>
      <c r="AM42" s="96"/>
      <c r="AN42" s="96"/>
      <c r="AO42" s="96"/>
      <c r="AP42" s="137"/>
    </row>
    <row r="43" spans="1:42" ht="15.75">
      <c r="A43" s="95" t="s">
        <v>343</v>
      </c>
      <c r="B43" s="95"/>
      <c r="C43" s="95"/>
      <c r="D43" s="95"/>
      <c r="E43" s="95"/>
      <c r="F43" s="95"/>
      <c r="G43" s="95"/>
      <c r="H43" s="95"/>
      <c r="I43" s="95"/>
      <c r="J43" s="95"/>
      <c r="K43" s="95"/>
      <c r="L43" s="95"/>
      <c r="M43" s="95"/>
      <c r="N43" s="95"/>
      <c r="O43" s="95"/>
      <c r="P43" s="95"/>
      <c r="Q43" s="95"/>
      <c r="R43" s="95"/>
      <c r="S43"/>
      <c r="T43" s="136"/>
      <c r="U43" s="96"/>
      <c r="V43" s="96"/>
      <c r="W43" s="96"/>
      <c r="X43" s="96"/>
      <c r="Y43" s="806"/>
      <c r="Z43" s="418" t="str">
        <f>Translate!$A$118</f>
        <v>Other</v>
      </c>
      <c r="AA43" s="94" t="str">
        <f t="shared" ca="1" si="13"/>
        <v/>
      </c>
      <c r="AB43" s="94" t="str">
        <f t="shared" ca="1" si="13"/>
        <v/>
      </c>
      <c r="AC43" s="94" t="str">
        <f t="shared" ca="1" si="13"/>
        <v/>
      </c>
      <c r="AD43" s="94" t="str">
        <f t="shared" ca="1" si="13"/>
        <v/>
      </c>
      <c r="AE43" s="94" t="str">
        <f t="shared" ca="1" si="13"/>
        <v/>
      </c>
      <c r="AF43" s="94" t="str">
        <f t="shared" ca="1" si="13"/>
        <v/>
      </c>
      <c r="AG43" s="419">
        <f ca="1">SUM(AA43:AF43)</f>
        <v>0</v>
      </c>
      <c r="AH43" s="96"/>
      <c r="AI43" s="96"/>
      <c r="AJ43" s="96"/>
      <c r="AK43" s="96"/>
      <c r="AL43" s="96"/>
      <c r="AM43" s="96"/>
      <c r="AN43" s="96"/>
      <c r="AO43" s="96"/>
      <c r="AP43" s="137"/>
    </row>
    <row r="44" spans="1:42">
      <c r="A44" s="95"/>
      <c r="B44" s="95"/>
      <c r="C44" s="95"/>
      <c r="D44" s="95"/>
      <c r="E44" s="95"/>
      <c r="F44" s="95"/>
      <c r="G44" s="95"/>
      <c r="H44" s="95"/>
      <c r="I44" s="95"/>
      <c r="J44" s="95"/>
      <c r="K44" s="95"/>
      <c r="L44" s="95"/>
      <c r="M44" s="95"/>
      <c r="N44" s="95"/>
      <c r="O44" s="95"/>
      <c r="P44" s="95"/>
      <c r="Q44" s="95"/>
      <c r="R44" s="95"/>
      <c r="S44"/>
      <c r="T44" s="136"/>
      <c r="U44" s="96"/>
      <c r="V44" s="96"/>
      <c r="W44" s="96"/>
      <c r="X44" s="96"/>
      <c r="Y44" s="96"/>
      <c r="Z44" s="96"/>
      <c r="AA44" s="96"/>
      <c r="AB44" s="96"/>
      <c r="AC44" s="96"/>
      <c r="AD44" s="96"/>
      <c r="AE44" s="96"/>
      <c r="AF44" s="96"/>
      <c r="AG44" s="96"/>
      <c r="AH44" s="96"/>
      <c r="AI44" s="96"/>
      <c r="AJ44" s="96"/>
      <c r="AK44" s="96"/>
      <c r="AL44" s="96"/>
      <c r="AM44" s="96"/>
      <c r="AN44" s="96"/>
      <c r="AO44" s="96"/>
      <c r="AP44" s="137"/>
    </row>
    <row r="45" spans="1:42">
      <c r="A45" s="95"/>
      <c r="B45" s="95"/>
      <c r="C45" s="95"/>
      <c r="D45" s="95"/>
      <c r="E45" s="95"/>
      <c r="F45" s="95"/>
      <c r="G45" s="95"/>
      <c r="H45" s="95"/>
      <c r="I45" s="95"/>
      <c r="J45" s="95"/>
      <c r="K45" s="95"/>
      <c r="L45" s="95"/>
      <c r="M45" s="95"/>
      <c r="N45" s="95"/>
      <c r="O45" s="95"/>
      <c r="P45" s="95"/>
      <c r="Q45" s="95"/>
      <c r="R45" s="95"/>
      <c r="S45"/>
      <c r="T45" s="136"/>
      <c r="U45" s="96"/>
      <c r="V45" s="96"/>
      <c r="W45" s="96"/>
      <c r="X45" s="96"/>
      <c r="Y45" s="96"/>
      <c r="Z45" s="96"/>
      <c r="AA45" s="96"/>
      <c r="AB45" s="96"/>
      <c r="AC45" s="96"/>
      <c r="AD45" s="96"/>
      <c r="AE45" s="96"/>
      <c r="AF45" s="96"/>
      <c r="AG45" s="96"/>
      <c r="AH45" s="96"/>
      <c r="AI45" s="96"/>
      <c r="AJ45" s="96"/>
      <c r="AK45" s="96"/>
      <c r="AL45" s="96"/>
      <c r="AM45" s="96"/>
      <c r="AN45" s="96"/>
      <c r="AO45" s="96"/>
      <c r="AP45" s="137"/>
    </row>
    <row r="46" spans="1:42">
      <c r="A46" s="95"/>
      <c r="B46" s="95"/>
      <c r="C46" s="95"/>
      <c r="D46" s="95"/>
      <c r="E46" s="95"/>
      <c r="F46" s="95"/>
      <c r="G46" s="95"/>
      <c r="H46" s="95"/>
      <c r="I46" s="95"/>
      <c r="J46" s="95"/>
      <c r="K46" s="95"/>
      <c r="L46" s="95"/>
      <c r="M46" s="95"/>
      <c r="N46" s="95"/>
      <c r="O46" s="95"/>
      <c r="P46" s="95"/>
      <c r="Q46" s="95"/>
      <c r="R46" s="95"/>
      <c r="S46"/>
      <c r="T46" s="136"/>
      <c r="U46" s="96"/>
      <c r="V46" s="96"/>
      <c r="W46" s="96"/>
      <c r="X46" s="96"/>
      <c r="Y46" s="96"/>
      <c r="Z46" s="96"/>
      <c r="AA46" s="96"/>
      <c r="AB46" s="96"/>
      <c r="AC46" s="96"/>
      <c r="AD46" s="96"/>
      <c r="AE46" s="96"/>
      <c r="AF46" s="96"/>
      <c r="AG46" s="96"/>
      <c r="AH46" s="96"/>
      <c r="AI46" s="96"/>
      <c r="AJ46" s="96"/>
      <c r="AK46" s="96"/>
      <c r="AL46" s="96"/>
      <c r="AM46" s="96"/>
      <c r="AN46" s="96"/>
      <c r="AO46" s="96"/>
      <c r="AP46" s="137"/>
    </row>
    <row r="47" spans="1:42">
      <c r="A47" s="95"/>
      <c r="B47" s="95"/>
      <c r="C47" s="95"/>
      <c r="D47" s="95"/>
      <c r="E47" s="95"/>
      <c r="F47" s="95"/>
      <c r="G47" s="95"/>
      <c r="H47" s="95"/>
      <c r="I47" s="95"/>
      <c r="J47" s="95"/>
      <c r="K47" s="95"/>
      <c r="L47" s="95"/>
      <c r="M47" s="95"/>
      <c r="N47" s="95"/>
      <c r="O47" s="95"/>
      <c r="P47" s="95"/>
      <c r="Q47" s="95"/>
      <c r="R47" s="95"/>
      <c r="S47"/>
      <c r="T47" s="136"/>
      <c r="U47" s="96"/>
      <c r="V47" s="96"/>
      <c r="W47" s="96"/>
      <c r="X47" s="96"/>
      <c r="Y47" s="96"/>
      <c r="Z47" s="96"/>
      <c r="AA47" s="96"/>
      <c r="AB47" s="96"/>
      <c r="AC47" s="96"/>
      <c r="AD47" s="96"/>
      <c r="AE47" s="96"/>
      <c r="AF47" s="96"/>
      <c r="AG47" s="96"/>
      <c r="AH47" s="96"/>
      <c r="AI47" s="96"/>
      <c r="AJ47" s="96"/>
      <c r="AK47" s="96"/>
      <c r="AL47" s="96"/>
      <c r="AM47" s="96"/>
      <c r="AN47" s="96"/>
      <c r="AO47" s="96"/>
      <c r="AP47" s="137"/>
    </row>
    <row r="48" spans="1:42">
      <c r="A48" s="95"/>
      <c r="B48" s="95"/>
      <c r="C48" s="95"/>
      <c r="D48" s="95"/>
      <c r="E48" s="95"/>
      <c r="F48" s="95"/>
      <c r="G48" s="95"/>
      <c r="H48" s="95"/>
      <c r="I48" s="95"/>
      <c r="J48" s="95"/>
      <c r="K48" s="95"/>
      <c r="L48" s="95"/>
      <c r="M48" s="95"/>
      <c r="N48" s="95"/>
      <c r="O48" s="95"/>
      <c r="P48" s="95"/>
      <c r="Q48" s="95"/>
      <c r="R48" s="95"/>
      <c r="S48"/>
      <c r="T48" s="136"/>
      <c r="U48" s="96"/>
      <c r="V48" s="96"/>
      <c r="W48" s="96"/>
      <c r="X48" s="96"/>
      <c r="Y48" s="96"/>
      <c r="Z48" s="96"/>
      <c r="AA48" s="96"/>
      <c r="AB48" s="96"/>
      <c r="AC48" s="96"/>
      <c r="AD48" s="96"/>
      <c r="AE48" s="96"/>
      <c r="AF48" s="96"/>
      <c r="AG48" s="96"/>
      <c r="AH48" s="96"/>
      <c r="AI48" s="96"/>
      <c r="AJ48" s="96"/>
      <c r="AK48" s="96"/>
      <c r="AL48" s="96"/>
      <c r="AM48" s="96"/>
      <c r="AN48" s="96"/>
      <c r="AO48" s="96"/>
      <c r="AP48" s="137"/>
    </row>
    <row r="49" spans="1:42">
      <c r="A49" s="95"/>
      <c r="B49" s="95"/>
      <c r="C49" s="95"/>
      <c r="D49" s="95"/>
      <c r="E49" s="95"/>
      <c r="F49" s="95"/>
      <c r="G49" s="95"/>
      <c r="H49" s="95"/>
      <c r="I49" s="95"/>
      <c r="J49" s="95"/>
      <c r="K49" s="95"/>
      <c r="L49" s="95"/>
      <c r="M49" s="95"/>
      <c r="N49" s="95"/>
      <c r="O49" s="95"/>
      <c r="P49" s="95"/>
      <c r="Q49" s="95"/>
      <c r="R49" s="95"/>
      <c r="S49"/>
      <c r="T49" s="136"/>
      <c r="U49" s="96"/>
      <c r="V49" s="96"/>
      <c r="W49" s="96"/>
      <c r="X49" s="96"/>
      <c r="Y49" s="96"/>
      <c r="Z49" s="96"/>
      <c r="AA49" s="96"/>
      <c r="AB49" s="96"/>
      <c r="AC49" s="96"/>
      <c r="AD49" s="96"/>
      <c r="AE49" s="96"/>
      <c r="AF49" s="96"/>
      <c r="AG49" s="96"/>
      <c r="AH49" s="96"/>
      <c r="AI49" s="96"/>
      <c r="AJ49" s="96"/>
      <c r="AK49" s="96"/>
      <c r="AL49" s="96"/>
      <c r="AM49" s="96"/>
      <c r="AN49" s="96"/>
      <c r="AO49" s="96"/>
      <c r="AP49" s="137"/>
    </row>
    <row r="50" spans="1:42" hidden="1">
      <c r="A50" s="516" t="str">
        <f>ADDRESS(ROW(E12),COLUMN(E12))</f>
        <v>$E$12</v>
      </c>
      <c r="B50" s="95"/>
      <c r="C50" s="95"/>
      <c r="D50" s="95"/>
      <c r="E50" s="95"/>
      <c r="F50" s="95"/>
      <c r="G50" s="95"/>
      <c r="H50" s="95"/>
      <c r="I50" s="95"/>
      <c r="J50" s="95"/>
      <c r="K50" s="95"/>
      <c r="L50" s="95"/>
      <c r="M50" s="95"/>
      <c r="N50" s="95"/>
      <c r="O50" s="95"/>
      <c r="P50" s="95"/>
      <c r="Q50" s="95"/>
      <c r="R50" s="95"/>
      <c r="S50"/>
      <c r="T50" s="136"/>
      <c r="U50" s="96"/>
      <c r="V50" s="96"/>
      <c r="W50" s="96"/>
      <c r="X50" s="96"/>
      <c r="Y50" s="96"/>
      <c r="Z50" s="99" t="s">
        <v>283</v>
      </c>
      <c r="AA50" s="94" t="str">
        <f t="shared" ref="AA50:AF50" ca="1" si="14">IF(AA$22,INDIRECT("'"&amp;AA$21&amp;"'!"&amp;$A50),"")</f>
        <v/>
      </c>
      <c r="AB50" s="94" t="str">
        <f t="shared" ca="1" si="14"/>
        <v/>
      </c>
      <c r="AC50" s="94" t="str">
        <f t="shared" ca="1" si="14"/>
        <v/>
      </c>
      <c r="AD50" s="94" t="str">
        <f t="shared" ca="1" si="14"/>
        <v/>
      </c>
      <c r="AE50" s="94" t="str">
        <f t="shared" ca="1" si="14"/>
        <v/>
      </c>
      <c r="AF50" s="94" t="str">
        <f t="shared" ca="1" si="14"/>
        <v/>
      </c>
      <c r="AG50" s="96"/>
      <c r="AH50" s="96"/>
      <c r="AI50" s="96"/>
      <c r="AJ50" s="96"/>
      <c r="AK50" s="96"/>
      <c r="AL50" s="96"/>
      <c r="AM50" s="96"/>
      <c r="AN50" s="96"/>
      <c r="AO50" s="96"/>
      <c r="AP50" s="137"/>
    </row>
    <row r="51" spans="1:42" hidden="1">
      <c r="A51" s="516"/>
      <c r="B51" s="95"/>
      <c r="C51" s="95"/>
      <c r="D51" s="95"/>
      <c r="E51" s="95"/>
      <c r="F51" s="95"/>
      <c r="G51" s="95"/>
      <c r="H51" s="95"/>
      <c r="I51" s="95"/>
      <c r="J51" s="95"/>
      <c r="K51" s="95"/>
      <c r="L51" s="95"/>
      <c r="M51" s="95"/>
      <c r="N51" s="95"/>
      <c r="O51" s="95"/>
      <c r="P51" s="95"/>
      <c r="Q51" s="95"/>
      <c r="R51" s="95"/>
      <c r="S51"/>
      <c r="T51" s="136"/>
      <c r="U51" s="96"/>
      <c r="V51" s="96"/>
      <c r="W51" s="96"/>
      <c r="X51" s="96"/>
      <c r="Y51" s="96"/>
      <c r="Z51" s="96"/>
      <c r="AA51" s="96">
        <f t="shared" ref="AA51:AF51" ca="1" si="15">IF(OR(AA21="",AA50=$AA$50),0,1)</f>
        <v>0</v>
      </c>
      <c r="AB51" s="96">
        <f t="shared" ca="1" si="15"/>
        <v>0</v>
      </c>
      <c r="AC51" s="96">
        <f t="shared" ca="1" si="15"/>
        <v>0</v>
      </c>
      <c r="AD51" s="96">
        <f t="shared" ca="1" si="15"/>
        <v>0</v>
      </c>
      <c r="AE51" s="96">
        <f t="shared" ca="1" si="15"/>
        <v>0</v>
      </c>
      <c r="AF51" s="96">
        <f t="shared" ca="1" si="15"/>
        <v>0</v>
      </c>
      <c r="AG51" s="96">
        <f ca="1">SUM(AA51:AF51)</f>
        <v>0</v>
      </c>
      <c r="AH51" s="96"/>
      <c r="AI51" s="96"/>
      <c r="AJ51" s="96"/>
      <c r="AK51" s="96"/>
      <c r="AL51" s="96"/>
      <c r="AM51" s="96"/>
      <c r="AN51" s="96"/>
      <c r="AO51" s="96"/>
      <c r="AP51" s="137"/>
    </row>
    <row r="52" spans="1:42" hidden="1">
      <c r="A52" s="516" t="s">
        <v>397</v>
      </c>
      <c r="B52" s="95"/>
      <c r="C52" s="95"/>
      <c r="D52" s="95"/>
      <c r="E52" s="95"/>
      <c r="F52" s="95"/>
      <c r="G52" s="95"/>
      <c r="H52" s="95"/>
      <c r="I52" s="95"/>
      <c r="J52" s="95"/>
      <c r="K52" s="95"/>
      <c r="L52" s="95"/>
      <c r="M52" s="95"/>
      <c r="N52" s="95"/>
      <c r="O52" s="95"/>
      <c r="P52" s="95"/>
      <c r="Q52" s="95"/>
      <c r="R52" s="95"/>
      <c r="S52"/>
      <c r="T52" s="136"/>
      <c r="U52" s="96"/>
      <c r="V52" s="96"/>
      <c r="W52" s="96"/>
      <c r="X52" s="96"/>
      <c r="Y52" s="96"/>
      <c r="Z52" s="99" t="s">
        <v>395</v>
      </c>
      <c r="AA52" s="94" t="str">
        <f t="shared" ref="AA52:AF52" ca="1" si="16">IF(AA$22,INDIRECT("'"&amp;AA$21&amp;"'!"&amp;$A52),"")</f>
        <v/>
      </c>
      <c r="AB52" s="94" t="str">
        <f t="shared" ca="1" si="16"/>
        <v/>
      </c>
      <c r="AC52" s="94" t="str">
        <f t="shared" ca="1" si="16"/>
        <v/>
      </c>
      <c r="AD52" s="94" t="str">
        <f t="shared" ca="1" si="16"/>
        <v/>
      </c>
      <c r="AE52" s="94" t="str">
        <f t="shared" ca="1" si="16"/>
        <v/>
      </c>
      <c r="AF52" s="94" t="str">
        <f t="shared" ca="1" si="16"/>
        <v/>
      </c>
      <c r="AG52" s="96"/>
      <c r="AH52" s="96"/>
      <c r="AI52" s="96"/>
      <c r="AJ52" s="96"/>
      <c r="AK52" s="96"/>
      <c r="AL52" s="96"/>
      <c r="AM52" s="96"/>
      <c r="AN52" s="96"/>
      <c r="AO52" s="96"/>
      <c r="AP52" s="137"/>
    </row>
    <row r="53" spans="1:42" hidden="1">
      <c r="A53" s="516"/>
      <c r="B53" s="95"/>
      <c r="C53" s="95"/>
      <c r="D53" s="95"/>
      <c r="E53" s="95"/>
      <c r="F53" s="95"/>
      <c r="G53" s="95"/>
      <c r="H53" s="95"/>
      <c r="I53" s="95"/>
      <c r="J53" s="95"/>
      <c r="K53" s="95"/>
      <c r="L53" s="95"/>
      <c r="M53" s="95"/>
      <c r="N53" s="95"/>
      <c r="O53" s="95"/>
      <c r="P53" s="95"/>
      <c r="Q53" s="95"/>
      <c r="R53" s="95"/>
      <c r="S53"/>
      <c r="T53" s="136"/>
      <c r="U53" s="96"/>
      <c r="V53" s="96"/>
      <c r="W53" s="96"/>
      <c r="X53" s="96"/>
      <c r="Y53" s="96"/>
      <c r="Z53" s="96"/>
      <c r="AA53" s="96">
        <f t="shared" ref="AA53:AF53" ca="1" si="17">IF(OR(AA23="",AA52=$AA$52),0,1)</f>
        <v>0</v>
      </c>
      <c r="AB53" s="96">
        <f t="shared" ca="1" si="17"/>
        <v>0</v>
      </c>
      <c r="AC53" s="96">
        <f t="shared" ca="1" si="17"/>
        <v>0</v>
      </c>
      <c r="AD53" s="96">
        <f t="shared" ca="1" si="17"/>
        <v>0</v>
      </c>
      <c r="AE53" s="96">
        <f t="shared" ca="1" si="17"/>
        <v>0</v>
      </c>
      <c r="AF53" s="96">
        <f t="shared" ca="1" si="17"/>
        <v>0</v>
      </c>
      <c r="AG53" s="96">
        <f ca="1">SUM(AA53:AF53)</f>
        <v>0</v>
      </c>
      <c r="AH53" s="96"/>
      <c r="AI53" s="96"/>
      <c r="AJ53" s="96"/>
      <c r="AK53" s="96"/>
      <c r="AL53" s="96"/>
      <c r="AM53" s="96"/>
      <c r="AN53" s="96"/>
      <c r="AO53" s="96"/>
      <c r="AP53" s="137"/>
    </row>
    <row r="54" spans="1:42" hidden="1">
      <c r="A54" s="516" t="str">
        <f>ADDRESS(ROW(D13),COLUMN(D13))</f>
        <v>$D$13</v>
      </c>
      <c r="B54" s="95"/>
      <c r="C54" s="95"/>
      <c r="D54" s="95"/>
      <c r="E54" s="95"/>
      <c r="F54" s="95"/>
      <c r="G54" s="95"/>
      <c r="H54" s="95"/>
      <c r="I54" s="95"/>
      <c r="J54" s="95"/>
      <c r="K54" s="95"/>
      <c r="L54" s="95"/>
      <c r="M54" s="95"/>
      <c r="N54" s="95"/>
      <c r="O54" s="95"/>
      <c r="P54" s="95"/>
      <c r="Q54" s="95"/>
      <c r="R54" s="95"/>
      <c r="S54"/>
      <c r="T54" s="136"/>
      <c r="U54" s="96"/>
      <c r="V54" s="96"/>
      <c r="W54" s="96"/>
      <c r="X54" s="96"/>
      <c r="Y54" s="96"/>
      <c r="Z54" s="99" t="s">
        <v>375</v>
      </c>
      <c r="AA54" s="94" t="str">
        <f t="shared" ref="AA54:AF54" ca="1" si="18">IF(AA$22,INDIRECT("'"&amp;AA$21&amp;"'!"&amp;$A54),"")</f>
        <v/>
      </c>
      <c r="AB54" s="94" t="str">
        <f t="shared" ca="1" si="18"/>
        <v/>
      </c>
      <c r="AC54" s="94" t="str">
        <f t="shared" ca="1" si="18"/>
        <v/>
      </c>
      <c r="AD54" s="94" t="str">
        <f t="shared" ca="1" si="18"/>
        <v/>
      </c>
      <c r="AE54" s="94" t="str">
        <f t="shared" ca="1" si="18"/>
        <v/>
      </c>
      <c r="AF54" s="94" t="str">
        <f t="shared" ca="1" si="18"/>
        <v/>
      </c>
      <c r="AG54" s="96"/>
      <c r="AH54" s="96"/>
      <c r="AI54" s="96"/>
      <c r="AJ54" s="96"/>
      <c r="AK54" s="96"/>
      <c r="AL54" s="96"/>
      <c r="AM54" s="96"/>
      <c r="AN54" s="96"/>
      <c r="AO54" s="96"/>
      <c r="AP54" s="137"/>
    </row>
    <row r="55" spans="1:42" hidden="1">
      <c r="A55" s="516"/>
      <c r="B55" s="95"/>
      <c r="C55" s="95"/>
      <c r="D55" s="95"/>
      <c r="E55" s="95"/>
      <c r="F55" s="95"/>
      <c r="G55" s="95"/>
      <c r="H55" s="95"/>
      <c r="I55" s="95"/>
      <c r="J55" s="95"/>
      <c r="K55" s="95"/>
      <c r="L55" s="95"/>
      <c r="M55" s="95"/>
      <c r="N55" s="95"/>
      <c r="O55" s="95"/>
      <c r="P55" s="95"/>
      <c r="Q55" s="95"/>
      <c r="R55" s="95"/>
      <c r="S55"/>
      <c r="T55" s="136"/>
      <c r="U55" s="96"/>
      <c r="V55" s="96"/>
      <c r="W55" s="96"/>
      <c r="X55" s="96"/>
      <c r="Y55" s="96"/>
      <c r="Z55" s="96"/>
      <c r="AA55" s="96">
        <f t="shared" ref="AA55:AF55" ca="1" si="19">IF(OR(AA$21="",AA54=$AA54),0,1)</f>
        <v>0</v>
      </c>
      <c r="AB55" s="96">
        <f t="shared" ca="1" si="19"/>
        <v>0</v>
      </c>
      <c r="AC55" s="96">
        <f t="shared" ca="1" si="19"/>
        <v>0</v>
      </c>
      <c r="AD55" s="96">
        <f t="shared" ca="1" si="19"/>
        <v>0</v>
      </c>
      <c r="AE55" s="96">
        <f t="shared" ca="1" si="19"/>
        <v>0</v>
      </c>
      <c r="AF55" s="96">
        <f t="shared" ca="1" si="19"/>
        <v>0</v>
      </c>
      <c r="AG55" s="96">
        <f ca="1">SUM(AA55:AF55)</f>
        <v>0</v>
      </c>
      <c r="AH55" s="96"/>
      <c r="AI55" s="96"/>
      <c r="AJ55" s="96"/>
      <c r="AK55" s="96"/>
      <c r="AL55" s="96"/>
      <c r="AM55" s="96"/>
      <c r="AN55" s="96"/>
      <c r="AO55" s="96"/>
      <c r="AP55" s="137"/>
    </row>
    <row r="56" spans="1:42" hidden="1">
      <c r="A56" s="516" t="str">
        <f>ADDRESS(ROW(D14),COLUMN(D14))</f>
        <v>$D$14</v>
      </c>
      <c r="B56" s="95"/>
      <c r="C56" s="95"/>
      <c r="D56" s="95"/>
      <c r="E56" s="95"/>
      <c r="F56" s="95"/>
      <c r="G56" s="95"/>
      <c r="H56" s="95"/>
      <c r="I56" s="95"/>
      <c r="J56" s="95"/>
      <c r="K56" s="95"/>
      <c r="L56" s="95"/>
      <c r="M56" s="95"/>
      <c r="N56" s="95"/>
      <c r="O56" s="95"/>
      <c r="P56" s="95"/>
      <c r="Q56" s="95"/>
      <c r="R56" s="95"/>
      <c r="S56"/>
      <c r="T56" s="136"/>
      <c r="U56" s="96"/>
      <c r="V56" s="96"/>
      <c r="W56" s="96"/>
      <c r="X56" s="96"/>
      <c r="Y56" s="96"/>
      <c r="Z56" s="99" t="s">
        <v>376</v>
      </c>
      <c r="AA56" s="94" t="str">
        <f t="shared" ref="AA56:AF56" ca="1" si="20">IF(AA$22,INDIRECT("'"&amp;AA$21&amp;"'!"&amp;$A56),"")</f>
        <v/>
      </c>
      <c r="AB56" s="94" t="str">
        <f t="shared" ca="1" si="20"/>
        <v/>
      </c>
      <c r="AC56" s="94" t="str">
        <f t="shared" ca="1" si="20"/>
        <v/>
      </c>
      <c r="AD56" s="94" t="str">
        <f t="shared" ca="1" si="20"/>
        <v/>
      </c>
      <c r="AE56" s="94" t="str">
        <f t="shared" ca="1" si="20"/>
        <v/>
      </c>
      <c r="AF56" s="94" t="str">
        <f t="shared" ca="1" si="20"/>
        <v/>
      </c>
      <c r="AG56" s="96"/>
      <c r="AH56" s="96"/>
      <c r="AI56" s="96"/>
      <c r="AJ56" s="96"/>
      <c r="AK56" s="96"/>
      <c r="AL56" s="96"/>
      <c r="AM56" s="96"/>
      <c r="AN56" s="96"/>
      <c r="AO56" s="96"/>
      <c r="AP56" s="137"/>
    </row>
    <row r="57" spans="1:42" hidden="1">
      <c r="A57" s="516"/>
      <c r="B57" s="95"/>
      <c r="C57" s="95"/>
      <c r="D57" s="95"/>
      <c r="E57" s="95"/>
      <c r="F57" s="95"/>
      <c r="G57" s="95"/>
      <c r="H57" s="95"/>
      <c r="I57" s="95"/>
      <c r="J57" s="95"/>
      <c r="K57" s="95"/>
      <c r="L57" s="95"/>
      <c r="M57" s="95"/>
      <c r="N57" s="95"/>
      <c r="O57" s="95"/>
      <c r="P57" s="95"/>
      <c r="Q57" s="95"/>
      <c r="R57" s="95"/>
      <c r="S57"/>
      <c r="T57" s="136"/>
      <c r="U57" s="96"/>
      <c r="V57" s="96"/>
      <c r="W57" s="96"/>
      <c r="X57" s="96"/>
      <c r="Y57" s="96"/>
      <c r="Z57" s="96"/>
      <c r="AA57" s="96">
        <f t="shared" ref="AA57:AF57" ca="1" si="21">IF(OR(AA$21="",AA56=$AA56),0,1)</f>
        <v>0</v>
      </c>
      <c r="AB57" s="96">
        <f t="shared" ca="1" si="21"/>
        <v>0</v>
      </c>
      <c r="AC57" s="96">
        <f t="shared" ca="1" si="21"/>
        <v>0</v>
      </c>
      <c r="AD57" s="96">
        <f t="shared" ca="1" si="21"/>
        <v>0</v>
      </c>
      <c r="AE57" s="96">
        <f t="shared" ca="1" si="21"/>
        <v>0</v>
      </c>
      <c r="AF57" s="96">
        <f t="shared" ca="1" si="21"/>
        <v>0</v>
      </c>
      <c r="AG57" s="96">
        <f ca="1">SUM(AA57:AF57)</f>
        <v>0</v>
      </c>
      <c r="AH57" s="96"/>
      <c r="AI57" s="96"/>
      <c r="AJ57" s="96"/>
      <c r="AK57" s="96"/>
      <c r="AL57" s="96"/>
      <c r="AM57" s="96"/>
      <c r="AN57" s="96"/>
      <c r="AO57" s="96"/>
      <c r="AP57" s="137"/>
    </row>
    <row r="58" spans="1:42" hidden="1">
      <c r="A58" s="516" t="str">
        <f>ADDRESS(ROW(F13),COLUMN(F13))</f>
        <v>$F$13</v>
      </c>
      <c r="B58" s="95"/>
      <c r="C58" s="95"/>
      <c r="D58" s="95"/>
      <c r="E58" s="95"/>
      <c r="F58" s="95"/>
      <c r="G58" s="95"/>
      <c r="H58" s="95"/>
      <c r="I58" s="95"/>
      <c r="J58" s="95"/>
      <c r="K58" s="95"/>
      <c r="L58" s="95"/>
      <c r="M58" s="95"/>
      <c r="N58" s="95"/>
      <c r="O58" s="95"/>
      <c r="P58" s="95"/>
      <c r="Q58" s="95"/>
      <c r="R58" s="95"/>
      <c r="S58"/>
      <c r="T58" s="136"/>
      <c r="U58" s="96"/>
      <c r="V58" s="96"/>
      <c r="W58" s="96"/>
      <c r="X58" s="96"/>
      <c r="Y58" s="96"/>
      <c r="Z58" s="99" t="s">
        <v>284</v>
      </c>
      <c r="AA58" s="94" t="str">
        <f t="shared" ref="AA58:AF58" ca="1" si="22">IF(AA$22,INDIRECT("'"&amp;AA$21&amp;"'!"&amp;$A58),"")</f>
        <v/>
      </c>
      <c r="AB58" s="94" t="str">
        <f t="shared" ca="1" si="22"/>
        <v/>
      </c>
      <c r="AC58" s="94" t="str">
        <f t="shared" ca="1" si="22"/>
        <v/>
      </c>
      <c r="AD58" s="94" t="str">
        <f t="shared" ca="1" si="22"/>
        <v/>
      </c>
      <c r="AE58" s="94" t="str">
        <f t="shared" ca="1" si="22"/>
        <v/>
      </c>
      <c r="AF58" s="94" t="str">
        <f t="shared" ca="1" si="22"/>
        <v/>
      </c>
      <c r="AG58" s="96"/>
      <c r="AH58" s="96"/>
      <c r="AI58" s="96"/>
      <c r="AJ58" s="96"/>
      <c r="AK58" s="96"/>
      <c r="AL58" s="96"/>
      <c r="AM58" s="96"/>
      <c r="AN58" s="96"/>
      <c r="AO58" s="96"/>
      <c r="AP58" s="137"/>
    </row>
    <row r="59" spans="1:42" hidden="1">
      <c r="A59" s="516"/>
      <c r="B59" s="95"/>
      <c r="C59" s="95"/>
      <c r="D59" s="95"/>
      <c r="E59" s="95"/>
      <c r="F59" s="95"/>
      <c r="G59" s="95"/>
      <c r="H59" s="95"/>
      <c r="I59" s="95"/>
      <c r="J59" s="95"/>
      <c r="K59" s="95"/>
      <c r="L59" s="95"/>
      <c r="M59" s="95"/>
      <c r="N59" s="95"/>
      <c r="O59" s="95"/>
      <c r="P59" s="95"/>
      <c r="Q59" s="95"/>
      <c r="R59" s="95"/>
      <c r="S59"/>
      <c r="T59" s="136"/>
      <c r="U59" s="96"/>
      <c r="V59" s="96"/>
      <c r="W59" s="96"/>
      <c r="X59" s="96"/>
      <c r="Y59" s="96"/>
      <c r="Z59" s="96"/>
      <c r="AA59" s="96">
        <f t="shared" ref="AA59:AF59" ca="1" si="23">IF(OR(AA$21="",AA58=$AA58),0,1)</f>
        <v>0</v>
      </c>
      <c r="AB59" s="96">
        <f t="shared" ca="1" si="23"/>
        <v>0</v>
      </c>
      <c r="AC59" s="96">
        <f t="shared" ca="1" si="23"/>
        <v>0</v>
      </c>
      <c r="AD59" s="96">
        <f t="shared" ca="1" si="23"/>
        <v>0</v>
      </c>
      <c r="AE59" s="96">
        <f t="shared" ca="1" si="23"/>
        <v>0</v>
      </c>
      <c r="AF59" s="96">
        <f t="shared" ca="1" si="23"/>
        <v>0</v>
      </c>
      <c r="AG59" s="96">
        <f ca="1">SUM(AA59:AF59)</f>
        <v>0</v>
      </c>
      <c r="AH59" s="96"/>
      <c r="AI59" s="96"/>
      <c r="AJ59" s="96"/>
      <c r="AK59" s="96"/>
      <c r="AL59" s="96"/>
      <c r="AM59" s="96"/>
      <c r="AN59" s="96"/>
      <c r="AO59" s="96"/>
      <c r="AP59" s="137"/>
    </row>
    <row r="60" spans="1:42" hidden="1">
      <c r="A60" s="516" t="str">
        <f>ADDRESS(ROW(F14),COLUMN(F14))</f>
        <v>$F$14</v>
      </c>
      <c r="B60" s="95"/>
      <c r="C60" s="95"/>
      <c r="D60" s="95"/>
      <c r="E60" s="95"/>
      <c r="F60" s="95"/>
      <c r="G60" s="95"/>
      <c r="H60" s="95"/>
      <c r="I60" s="95"/>
      <c r="J60" s="95"/>
      <c r="K60" s="95"/>
      <c r="L60" s="95"/>
      <c r="M60" s="95"/>
      <c r="N60" s="95"/>
      <c r="O60" s="95"/>
      <c r="P60" s="95"/>
      <c r="Q60" s="95"/>
      <c r="R60" s="95"/>
      <c r="S60"/>
      <c r="T60" s="136"/>
      <c r="U60" s="96"/>
      <c r="V60" s="96"/>
      <c r="W60" s="96"/>
      <c r="X60" s="96"/>
      <c r="Y60" s="96"/>
      <c r="Z60" s="99" t="s">
        <v>396</v>
      </c>
      <c r="AA60" s="94" t="str">
        <f t="shared" ref="AA60:AF60" ca="1" si="24">IF(AA$22,INDIRECT("'"&amp;AA$21&amp;"'!"&amp;$A60),"")</f>
        <v/>
      </c>
      <c r="AB60" s="94" t="str">
        <f t="shared" ca="1" si="24"/>
        <v/>
      </c>
      <c r="AC60" s="94" t="str">
        <f t="shared" ca="1" si="24"/>
        <v/>
      </c>
      <c r="AD60" s="94" t="str">
        <f t="shared" ca="1" si="24"/>
        <v/>
      </c>
      <c r="AE60" s="94" t="str">
        <f t="shared" ca="1" si="24"/>
        <v/>
      </c>
      <c r="AF60" s="94" t="str">
        <f t="shared" ca="1" si="24"/>
        <v/>
      </c>
      <c r="AG60" s="96"/>
      <c r="AH60" s="96"/>
      <c r="AI60" s="96"/>
      <c r="AJ60" s="96"/>
      <c r="AK60" s="96"/>
      <c r="AL60" s="96"/>
      <c r="AM60" s="96"/>
      <c r="AN60" s="96"/>
      <c r="AO60" s="96"/>
      <c r="AP60" s="137"/>
    </row>
    <row r="61" spans="1:42" hidden="1">
      <c r="A61" s="516"/>
      <c r="B61" s="95"/>
      <c r="C61" s="95"/>
      <c r="D61" s="95"/>
      <c r="E61" s="95"/>
      <c r="F61" s="95"/>
      <c r="G61" s="95"/>
      <c r="H61" s="95"/>
      <c r="I61" s="95"/>
      <c r="J61" s="95"/>
      <c r="K61" s="95"/>
      <c r="L61" s="95"/>
      <c r="M61" s="95"/>
      <c r="N61" s="95"/>
      <c r="O61" s="95"/>
      <c r="P61" s="95"/>
      <c r="Q61" s="95"/>
      <c r="R61" s="95"/>
      <c r="S61"/>
      <c r="T61" s="136"/>
      <c r="U61" s="96"/>
      <c r="V61" s="96"/>
      <c r="W61" s="96"/>
      <c r="X61" s="96"/>
      <c r="Y61" s="96"/>
      <c r="Z61" s="96"/>
      <c r="AA61" s="96">
        <f t="shared" ref="AA61:AF61" ca="1" si="25">IF(OR(AA$21="",AA60=$AA60),0,1)</f>
        <v>0</v>
      </c>
      <c r="AB61" s="96">
        <f t="shared" ca="1" si="25"/>
        <v>0</v>
      </c>
      <c r="AC61" s="96">
        <f t="shared" ca="1" si="25"/>
        <v>0</v>
      </c>
      <c r="AD61" s="96">
        <f t="shared" ca="1" si="25"/>
        <v>0</v>
      </c>
      <c r="AE61" s="96">
        <f t="shared" ca="1" si="25"/>
        <v>0</v>
      </c>
      <c r="AF61" s="96">
        <f t="shared" ca="1" si="25"/>
        <v>0</v>
      </c>
      <c r="AG61" s="96">
        <f ca="1">SUM(AA61:AF61)</f>
        <v>0</v>
      </c>
      <c r="AH61" s="96"/>
      <c r="AI61" s="96"/>
      <c r="AJ61" s="96"/>
      <c r="AK61" s="96"/>
      <c r="AL61" s="96"/>
      <c r="AM61" s="96"/>
      <c r="AN61" s="96"/>
      <c r="AO61" s="96"/>
      <c r="AP61" s="137"/>
    </row>
    <row r="62" spans="1:42" hidden="1">
      <c r="A62" s="516"/>
      <c r="B62" s="95"/>
      <c r="C62" s="95"/>
      <c r="D62" s="95"/>
      <c r="E62" s="95"/>
      <c r="F62" s="95"/>
      <c r="G62" s="95"/>
      <c r="H62" s="95"/>
      <c r="I62" s="95"/>
      <c r="J62" s="95"/>
      <c r="K62" s="95"/>
      <c r="L62" s="95"/>
      <c r="M62" s="95"/>
      <c r="N62" s="95"/>
      <c r="O62" s="95"/>
      <c r="P62" s="95"/>
      <c r="Q62" s="95"/>
      <c r="R62" s="95"/>
      <c r="S62"/>
      <c r="T62" s="136"/>
      <c r="U62" s="96"/>
      <c r="V62" s="96"/>
      <c r="W62" s="96"/>
      <c r="X62" s="96"/>
      <c r="Y62" s="96"/>
      <c r="Z62" s="96"/>
      <c r="AA62" s="96"/>
      <c r="AB62" s="96"/>
      <c r="AC62" s="96"/>
      <c r="AD62" s="96"/>
      <c r="AE62" s="96"/>
      <c r="AF62" s="96"/>
      <c r="AG62" s="96"/>
      <c r="AH62" s="96"/>
      <c r="AI62" s="96"/>
      <c r="AJ62" s="96"/>
      <c r="AK62" s="96"/>
      <c r="AL62" s="96"/>
      <c r="AM62" s="96"/>
      <c r="AN62" s="96"/>
      <c r="AO62" s="96"/>
      <c r="AP62" s="137"/>
    </row>
    <row r="63" spans="1:42" ht="15.75" hidden="1">
      <c r="A63" s="516" t="str">
        <f t="shared" ref="A63:A69" si="26">ADDRESS(ROW(Q7),COLUMN(Q7))</f>
        <v>$Q$7</v>
      </c>
      <c r="B63" s="95"/>
      <c r="C63" s="95"/>
      <c r="D63" s="95"/>
      <c r="E63" s="95"/>
      <c r="F63" s="95"/>
      <c r="G63" s="95"/>
      <c r="H63" s="95"/>
      <c r="I63" s="95"/>
      <c r="J63" s="95"/>
      <c r="K63" s="95"/>
      <c r="L63" s="95"/>
      <c r="M63" s="95"/>
      <c r="N63" s="95"/>
      <c r="O63" s="95"/>
      <c r="P63" s="95"/>
      <c r="Q63" s="95"/>
      <c r="R63" s="95"/>
      <c r="S63"/>
      <c r="T63" s="136"/>
      <c r="U63" s="96"/>
      <c r="V63" s="96"/>
      <c r="W63" s="96"/>
      <c r="X63" s="96"/>
      <c r="Y63" s="96"/>
      <c r="Z63" s="418" t="s">
        <v>3</v>
      </c>
      <c r="AA63" s="94" t="str">
        <f t="shared" ref="AA63:AF69" ca="1" si="27">IF(AA$22,INDIRECT("'"&amp;AA$21&amp;"'!"&amp;$A63),"")</f>
        <v/>
      </c>
      <c r="AB63" s="94" t="str">
        <f t="shared" ca="1" si="27"/>
        <v/>
      </c>
      <c r="AC63" s="94" t="str">
        <f t="shared" ca="1" si="27"/>
        <v/>
      </c>
      <c r="AD63" s="94" t="str">
        <f t="shared" ca="1" si="27"/>
        <v/>
      </c>
      <c r="AE63" s="94" t="str">
        <f t="shared" ca="1" si="27"/>
        <v/>
      </c>
      <c r="AF63" s="94" t="str">
        <f t="shared" ca="1" si="27"/>
        <v/>
      </c>
      <c r="AG63" s="419">
        <f t="shared" ref="AG63:AG69" ca="1" si="28">SUM(AA63:AF63)</f>
        <v>0</v>
      </c>
      <c r="AH63" s="96"/>
      <c r="AI63" s="96"/>
      <c r="AJ63" s="96"/>
      <c r="AK63" s="96"/>
      <c r="AL63" s="96"/>
      <c r="AM63" s="96"/>
      <c r="AN63" s="96"/>
      <c r="AO63" s="96"/>
      <c r="AP63" s="137"/>
    </row>
    <row r="64" spans="1:42" ht="15.75" hidden="1">
      <c r="A64" s="516" t="str">
        <f t="shared" si="26"/>
        <v>$Q$8</v>
      </c>
      <c r="B64" s="95"/>
      <c r="C64" s="95"/>
      <c r="D64" s="95"/>
      <c r="E64" s="95"/>
      <c r="F64" s="95"/>
      <c r="G64" s="95"/>
      <c r="H64" s="95"/>
      <c r="I64" s="95"/>
      <c r="J64" s="95"/>
      <c r="K64" s="95"/>
      <c r="L64" s="95"/>
      <c r="M64" s="95"/>
      <c r="N64" s="95"/>
      <c r="O64" s="95"/>
      <c r="P64" s="95"/>
      <c r="Q64" s="95"/>
      <c r="R64" s="95"/>
      <c r="S64"/>
      <c r="T64" s="136"/>
      <c r="U64" s="96"/>
      <c r="V64" s="96"/>
      <c r="W64" s="96"/>
      <c r="X64" s="96"/>
      <c r="Y64" s="96"/>
      <c r="Z64" s="418" t="s">
        <v>43</v>
      </c>
      <c r="AA64" s="94" t="str">
        <f t="shared" ca="1" si="27"/>
        <v/>
      </c>
      <c r="AB64" s="94" t="str">
        <f t="shared" ca="1" si="27"/>
        <v/>
      </c>
      <c r="AC64" s="94" t="str">
        <f t="shared" ca="1" si="27"/>
        <v/>
      </c>
      <c r="AD64" s="94" t="str">
        <f t="shared" ca="1" si="27"/>
        <v/>
      </c>
      <c r="AE64" s="94" t="str">
        <f t="shared" ca="1" si="27"/>
        <v/>
      </c>
      <c r="AF64" s="94" t="str">
        <f t="shared" ca="1" si="27"/>
        <v/>
      </c>
      <c r="AG64" s="419">
        <f t="shared" ca="1" si="28"/>
        <v>0</v>
      </c>
      <c r="AH64" s="96"/>
      <c r="AI64" s="96"/>
      <c r="AJ64" s="96"/>
      <c r="AK64" s="96"/>
      <c r="AL64" s="96"/>
      <c r="AM64" s="96"/>
      <c r="AN64" s="96"/>
      <c r="AO64" s="96"/>
      <c r="AP64" s="137"/>
    </row>
    <row r="65" spans="1:42" ht="15.75" hidden="1">
      <c r="A65" s="516" t="str">
        <f t="shared" si="26"/>
        <v>$Q$9</v>
      </c>
      <c r="B65" s="95"/>
      <c r="C65" s="95"/>
      <c r="D65" s="95"/>
      <c r="E65" s="95"/>
      <c r="F65" s="95"/>
      <c r="G65" s="95"/>
      <c r="H65" s="95"/>
      <c r="I65" s="95"/>
      <c r="J65" s="95"/>
      <c r="K65" s="95"/>
      <c r="L65" s="95"/>
      <c r="M65" s="95"/>
      <c r="N65" s="95"/>
      <c r="O65" s="95"/>
      <c r="P65" s="95"/>
      <c r="Q65" s="95"/>
      <c r="R65" s="95"/>
      <c r="S65"/>
      <c r="T65" s="136"/>
      <c r="U65" s="96"/>
      <c r="V65" s="96"/>
      <c r="W65" s="96"/>
      <c r="X65" s="96"/>
      <c r="Y65" s="96"/>
      <c r="Z65" s="418" t="s">
        <v>55</v>
      </c>
      <c r="AA65" s="94" t="str">
        <f t="shared" ca="1" si="27"/>
        <v/>
      </c>
      <c r="AB65" s="94" t="str">
        <f t="shared" ca="1" si="27"/>
        <v/>
      </c>
      <c r="AC65" s="94" t="str">
        <f t="shared" ca="1" si="27"/>
        <v/>
      </c>
      <c r="AD65" s="94" t="str">
        <f t="shared" ca="1" si="27"/>
        <v/>
      </c>
      <c r="AE65" s="94" t="str">
        <f t="shared" ca="1" si="27"/>
        <v/>
      </c>
      <c r="AF65" s="94" t="str">
        <f t="shared" ca="1" si="27"/>
        <v/>
      </c>
      <c r="AG65" s="419">
        <f t="shared" ca="1" si="28"/>
        <v>0</v>
      </c>
      <c r="AH65" s="96"/>
      <c r="AI65" s="96"/>
      <c r="AJ65" s="96"/>
      <c r="AK65" s="96"/>
      <c r="AL65" s="96"/>
      <c r="AM65" s="96"/>
      <c r="AN65" s="96"/>
      <c r="AO65" s="96"/>
      <c r="AP65" s="137"/>
    </row>
    <row r="66" spans="1:42" ht="15.75" hidden="1">
      <c r="A66" s="516" t="str">
        <f t="shared" si="26"/>
        <v>$Q$10</v>
      </c>
      <c r="B66" s="95"/>
      <c r="C66" s="95"/>
      <c r="D66" s="95"/>
      <c r="E66" s="95"/>
      <c r="F66" s="95"/>
      <c r="G66" s="95"/>
      <c r="H66" s="95"/>
      <c r="I66" s="95"/>
      <c r="J66" s="95"/>
      <c r="K66" s="95"/>
      <c r="L66" s="95"/>
      <c r="M66" s="95"/>
      <c r="N66" s="95"/>
      <c r="O66" s="95"/>
      <c r="P66" s="95"/>
      <c r="Q66" s="95"/>
      <c r="R66" s="95"/>
      <c r="S66"/>
      <c r="T66" s="136"/>
      <c r="U66" s="96"/>
      <c r="V66" s="96"/>
      <c r="W66" s="96"/>
      <c r="X66" s="96"/>
      <c r="Y66" s="96"/>
      <c r="Z66" s="418" t="s">
        <v>71</v>
      </c>
      <c r="AA66" s="94" t="str">
        <f t="shared" ca="1" si="27"/>
        <v/>
      </c>
      <c r="AB66" s="94" t="str">
        <f t="shared" ca="1" si="27"/>
        <v/>
      </c>
      <c r="AC66" s="94" t="str">
        <f t="shared" ca="1" si="27"/>
        <v/>
      </c>
      <c r="AD66" s="94" t="str">
        <f t="shared" ca="1" si="27"/>
        <v/>
      </c>
      <c r="AE66" s="94" t="str">
        <f t="shared" ca="1" si="27"/>
        <v/>
      </c>
      <c r="AF66" s="94" t="str">
        <f t="shared" ca="1" si="27"/>
        <v/>
      </c>
      <c r="AG66" s="419">
        <f t="shared" ca="1" si="28"/>
        <v>0</v>
      </c>
      <c r="AH66" s="96"/>
      <c r="AI66" s="96"/>
      <c r="AJ66" s="96"/>
      <c r="AK66" s="96"/>
      <c r="AL66" s="96"/>
      <c r="AM66" s="96"/>
      <c r="AN66" s="96"/>
      <c r="AO66" s="96"/>
      <c r="AP66" s="137"/>
    </row>
    <row r="67" spans="1:42" ht="15.75" hidden="1">
      <c r="A67" s="516" t="str">
        <f t="shared" si="26"/>
        <v>$Q$11</v>
      </c>
      <c r="B67" s="95"/>
      <c r="C67" s="95"/>
      <c r="D67" s="95"/>
      <c r="E67" s="95"/>
      <c r="F67" s="95"/>
      <c r="G67" s="95"/>
      <c r="H67" s="95"/>
      <c r="I67" s="95"/>
      <c r="J67" s="95"/>
      <c r="K67" s="95"/>
      <c r="L67" s="95"/>
      <c r="M67" s="95"/>
      <c r="N67" s="95"/>
      <c r="O67" s="95"/>
      <c r="P67" s="95"/>
      <c r="Q67" s="95"/>
      <c r="R67" s="95"/>
      <c r="S67"/>
      <c r="T67" s="136"/>
      <c r="U67" s="96"/>
      <c r="V67" s="96"/>
      <c r="W67" s="96"/>
      <c r="X67" s="96"/>
      <c r="Y67" s="96"/>
      <c r="Z67" s="418" t="s">
        <v>110</v>
      </c>
      <c r="AA67" s="94" t="str">
        <f t="shared" ca="1" si="27"/>
        <v/>
      </c>
      <c r="AB67" s="94" t="str">
        <f t="shared" ca="1" si="27"/>
        <v/>
      </c>
      <c r="AC67" s="94" t="str">
        <f t="shared" ca="1" si="27"/>
        <v/>
      </c>
      <c r="AD67" s="94" t="str">
        <f t="shared" ca="1" si="27"/>
        <v/>
      </c>
      <c r="AE67" s="94" t="str">
        <f t="shared" ca="1" si="27"/>
        <v/>
      </c>
      <c r="AF67" s="94" t="str">
        <f t="shared" ca="1" si="27"/>
        <v/>
      </c>
      <c r="AG67" s="419">
        <f t="shared" ca="1" si="28"/>
        <v>0</v>
      </c>
      <c r="AH67" s="96"/>
      <c r="AI67" s="96"/>
      <c r="AJ67" s="96"/>
      <c r="AK67" s="96"/>
      <c r="AL67" s="96"/>
      <c r="AM67" s="96"/>
      <c r="AN67" s="96"/>
      <c r="AO67" s="96"/>
      <c r="AP67" s="137"/>
    </row>
    <row r="68" spans="1:42" ht="15.75" hidden="1">
      <c r="A68" s="516" t="str">
        <f t="shared" si="26"/>
        <v>$Q$12</v>
      </c>
      <c r="B68" s="95"/>
      <c r="C68" s="95"/>
      <c r="D68" s="95"/>
      <c r="E68" s="95"/>
      <c r="F68" s="95"/>
      <c r="G68" s="95"/>
      <c r="H68" s="95"/>
      <c r="I68" s="95"/>
      <c r="J68" s="95"/>
      <c r="K68" s="95"/>
      <c r="L68" s="95"/>
      <c r="M68" s="95"/>
      <c r="N68" s="95"/>
      <c r="O68" s="95"/>
      <c r="P68" s="95"/>
      <c r="Q68" s="95"/>
      <c r="R68" s="95"/>
      <c r="S68"/>
      <c r="T68" s="136"/>
      <c r="U68" s="96"/>
      <c r="V68" s="96"/>
      <c r="W68" s="96"/>
      <c r="X68" s="96"/>
      <c r="Y68" s="96"/>
      <c r="Z68" s="418" t="s">
        <v>69</v>
      </c>
      <c r="AA68" s="94" t="str">
        <f t="shared" ca="1" si="27"/>
        <v/>
      </c>
      <c r="AB68" s="94" t="str">
        <f t="shared" ca="1" si="27"/>
        <v/>
      </c>
      <c r="AC68" s="94" t="str">
        <f t="shared" ca="1" si="27"/>
        <v/>
      </c>
      <c r="AD68" s="94" t="str">
        <f t="shared" ca="1" si="27"/>
        <v/>
      </c>
      <c r="AE68" s="94" t="str">
        <f t="shared" ca="1" si="27"/>
        <v/>
      </c>
      <c r="AF68" s="94" t="str">
        <f t="shared" ca="1" si="27"/>
        <v/>
      </c>
      <c r="AG68" s="419">
        <f t="shared" ca="1" si="28"/>
        <v>0</v>
      </c>
      <c r="AH68" s="96"/>
      <c r="AI68" s="96"/>
      <c r="AJ68" s="96"/>
      <c r="AK68" s="96"/>
      <c r="AL68" s="96"/>
      <c r="AM68" s="96"/>
      <c r="AN68" s="96"/>
      <c r="AO68" s="96"/>
      <c r="AP68" s="137"/>
    </row>
    <row r="69" spans="1:42" ht="15.75" hidden="1">
      <c r="A69" s="516" t="str">
        <f t="shared" si="26"/>
        <v>$Q$13</v>
      </c>
      <c r="B69" s="95"/>
      <c r="C69" s="95"/>
      <c r="D69" s="95"/>
      <c r="E69" s="95"/>
      <c r="F69" s="95"/>
      <c r="G69" s="95"/>
      <c r="H69" s="95"/>
      <c r="I69" s="95"/>
      <c r="J69" s="95"/>
      <c r="K69" s="95"/>
      <c r="L69" s="95"/>
      <c r="M69" s="95"/>
      <c r="N69" s="95"/>
      <c r="O69" s="95"/>
      <c r="P69" s="95"/>
      <c r="Q69" s="95"/>
      <c r="R69" s="95"/>
      <c r="S69"/>
      <c r="T69" s="136"/>
      <c r="U69" s="96"/>
      <c r="V69" s="96"/>
      <c r="W69" s="96"/>
      <c r="X69" s="96"/>
      <c r="Y69" s="96"/>
      <c r="Z69" s="418" t="s">
        <v>72</v>
      </c>
      <c r="AA69" s="94" t="str">
        <f t="shared" ca="1" si="27"/>
        <v/>
      </c>
      <c r="AB69" s="94" t="str">
        <f t="shared" ca="1" si="27"/>
        <v/>
      </c>
      <c r="AC69" s="94" t="str">
        <f t="shared" ca="1" si="27"/>
        <v/>
      </c>
      <c r="AD69" s="94" t="str">
        <f t="shared" ca="1" si="27"/>
        <v/>
      </c>
      <c r="AE69" s="94" t="str">
        <f t="shared" ca="1" si="27"/>
        <v/>
      </c>
      <c r="AF69" s="94" t="str">
        <f t="shared" ca="1" si="27"/>
        <v/>
      </c>
      <c r="AG69" s="419">
        <f t="shared" ca="1" si="28"/>
        <v>0</v>
      </c>
      <c r="AH69" s="96"/>
      <c r="AI69" s="96"/>
      <c r="AJ69" s="96"/>
      <c r="AK69" s="96"/>
      <c r="AL69" s="96"/>
      <c r="AM69" s="96"/>
      <c r="AN69" s="96"/>
      <c r="AO69" s="96"/>
      <c r="AP69" s="137"/>
    </row>
    <row r="70" spans="1:42" ht="15.75" hidden="1">
      <c r="A70" s="516"/>
      <c r="B70" s="95"/>
      <c r="C70" s="95"/>
      <c r="D70" s="95"/>
      <c r="E70" s="95"/>
      <c r="F70" s="95"/>
      <c r="G70" s="95"/>
      <c r="H70" s="95"/>
      <c r="I70" s="95"/>
      <c r="J70" s="95"/>
      <c r="K70" s="95"/>
      <c r="L70" s="95"/>
      <c r="M70" s="95"/>
      <c r="N70" s="95"/>
      <c r="O70" s="95"/>
      <c r="P70" s="95"/>
      <c r="Q70" s="95"/>
      <c r="R70" s="95"/>
      <c r="S70"/>
      <c r="T70" s="136"/>
      <c r="U70" s="96"/>
      <c r="V70" s="96"/>
      <c r="W70" s="96"/>
      <c r="X70" s="96"/>
      <c r="Y70" s="96"/>
      <c r="Z70" s="422" t="s">
        <v>75</v>
      </c>
      <c r="AA70" s="419">
        <f t="shared" ref="AA70:AG70" ca="1" si="29">SUM(AA63:AA69)</f>
        <v>0</v>
      </c>
      <c r="AB70" s="419">
        <f t="shared" ca="1" si="29"/>
        <v>0</v>
      </c>
      <c r="AC70" s="419">
        <f t="shared" ca="1" si="29"/>
        <v>0</v>
      </c>
      <c r="AD70" s="419">
        <f t="shared" ca="1" si="29"/>
        <v>0</v>
      </c>
      <c r="AE70" s="419">
        <f t="shared" ca="1" si="29"/>
        <v>0</v>
      </c>
      <c r="AF70" s="419">
        <f t="shared" ca="1" si="29"/>
        <v>0</v>
      </c>
      <c r="AG70" s="419">
        <f t="shared" ca="1" si="29"/>
        <v>0</v>
      </c>
      <c r="AH70" s="96"/>
      <c r="AI70" s="96"/>
      <c r="AJ70" s="96"/>
      <c r="AK70" s="96"/>
      <c r="AL70" s="96"/>
      <c r="AM70" s="96"/>
      <c r="AN70" s="96"/>
      <c r="AO70" s="96"/>
      <c r="AP70" s="137"/>
    </row>
    <row r="71" spans="1:42" ht="15.75" hidden="1">
      <c r="A71" s="516" t="str">
        <f>ADDRESS(ROW(P1),COLUMN(P1))</f>
        <v>$P$1</v>
      </c>
      <c r="B71" s="95"/>
      <c r="C71" s="95"/>
      <c r="D71" s="95"/>
      <c r="E71" s="95"/>
      <c r="F71" s="95"/>
      <c r="G71" s="95"/>
      <c r="H71" s="95"/>
      <c r="I71" s="95"/>
      <c r="J71" s="95"/>
      <c r="K71" s="95"/>
      <c r="L71" s="95"/>
      <c r="M71" s="95"/>
      <c r="N71" s="95"/>
      <c r="O71" s="95"/>
      <c r="P71" s="95"/>
      <c r="Q71" s="95"/>
      <c r="R71" s="95"/>
      <c r="S71"/>
      <c r="T71" s="136"/>
      <c r="U71" s="96"/>
      <c r="V71" s="96"/>
      <c r="W71" s="96"/>
      <c r="X71" s="96"/>
      <c r="Y71" s="96"/>
      <c r="Z71" s="418" t="s">
        <v>335</v>
      </c>
      <c r="AA71" s="94" t="str">
        <f t="shared" ref="AA71:AF74" ca="1" si="30">IF(AA$22,INDIRECT("'"&amp;AA$21&amp;"'!"&amp;$A71)/1000,"")</f>
        <v/>
      </c>
      <c r="AB71" s="94" t="str">
        <f t="shared" ca="1" si="30"/>
        <v/>
      </c>
      <c r="AC71" s="94" t="str">
        <f t="shared" ca="1" si="30"/>
        <v/>
      </c>
      <c r="AD71" s="94" t="str">
        <f t="shared" ca="1" si="30"/>
        <v/>
      </c>
      <c r="AE71" s="94" t="str">
        <f t="shared" ca="1" si="30"/>
        <v/>
      </c>
      <c r="AF71" s="94" t="str">
        <f t="shared" ca="1" si="30"/>
        <v/>
      </c>
      <c r="AG71" s="419">
        <f ca="1">SUM(AA71:AF71)</f>
        <v>0</v>
      </c>
      <c r="AH71" s="96"/>
      <c r="AI71" s="96"/>
      <c r="AJ71" s="96"/>
      <c r="AK71" s="96"/>
      <c r="AL71" s="96"/>
      <c r="AM71" s="96"/>
      <c r="AN71" s="96"/>
      <c r="AO71" s="96"/>
      <c r="AP71" s="137"/>
    </row>
    <row r="72" spans="1:42" ht="15.75" hidden="1">
      <c r="A72" s="516" t="str">
        <f>ADDRESS(ROW(P2),COLUMN(P2))</f>
        <v>$P$2</v>
      </c>
      <c r="B72" s="95"/>
      <c r="C72" s="95"/>
      <c r="D72" s="95"/>
      <c r="E72" s="95"/>
      <c r="F72" s="95"/>
      <c r="G72" s="95"/>
      <c r="H72" s="95"/>
      <c r="I72" s="95"/>
      <c r="J72" s="95"/>
      <c r="K72" s="95"/>
      <c r="L72" s="95"/>
      <c r="M72" s="95"/>
      <c r="N72" s="95"/>
      <c r="O72" s="95"/>
      <c r="P72" s="95"/>
      <c r="Q72" s="95"/>
      <c r="R72" s="95"/>
      <c r="S72"/>
      <c r="T72" s="136"/>
      <c r="U72" s="96"/>
      <c r="V72" s="96"/>
      <c r="W72" s="96"/>
      <c r="X72" s="96"/>
      <c r="Y72" s="96"/>
      <c r="Z72" s="418" t="s">
        <v>336</v>
      </c>
      <c r="AA72" s="94" t="str">
        <f t="shared" ca="1" si="30"/>
        <v/>
      </c>
      <c r="AB72" s="94" t="str">
        <f t="shared" ca="1" si="30"/>
        <v/>
      </c>
      <c r="AC72" s="94" t="str">
        <f t="shared" ca="1" si="30"/>
        <v/>
      </c>
      <c r="AD72" s="94" t="str">
        <f t="shared" ca="1" si="30"/>
        <v/>
      </c>
      <c r="AE72" s="94" t="str">
        <f t="shared" ca="1" si="30"/>
        <v/>
      </c>
      <c r="AF72" s="94" t="str">
        <f t="shared" ca="1" si="30"/>
        <v/>
      </c>
      <c r="AG72" s="419">
        <f ca="1">SUM(AA72:AF72)</f>
        <v>0</v>
      </c>
      <c r="AH72" s="96"/>
      <c r="AI72" s="96"/>
      <c r="AJ72" s="96"/>
      <c r="AK72" s="96"/>
      <c r="AL72" s="96"/>
      <c r="AM72" s="96"/>
      <c r="AN72" s="96"/>
      <c r="AO72" s="96"/>
      <c r="AP72" s="137"/>
    </row>
    <row r="73" spans="1:42" ht="15.75" hidden="1">
      <c r="A73" s="516" t="str">
        <f>ADDRESS(ROW(Q1),COLUMN(Q1))</f>
        <v>$Q$1</v>
      </c>
      <c r="B73" s="95"/>
      <c r="C73" s="95"/>
      <c r="D73" s="95"/>
      <c r="E73" s="95"/>
      <c r="F73" s="95"/>
      <c r="G73" s="95"/>
      <c r="H73" s="95"/>
      <c r="I73" s="95"/>
      <c r="J73" s="95"/>
      <c r="K73" s="95"/>
      <c r="L73" s="95"/>
      <c r="M73" s="95"/>
      <c r="N73" s="95"/>
      <c r="O73" s="95"/>
      <c r="P73" s="95"/>
      <c r="Q73" s="95"/>
      <c r="R73" s="95"/>
      <c r="S73"/>
      <c r="T73" s="136"/>
      <c r="U73" s="96"/>
      <c r="V73" s="96"/>
      <c r="W73" s="96"/>
      <c r="X73" s="96"/>
      <c r="Y73" s="96"/>
      <c r="Z73" s="418" t="s">
        <v>337</v>
      </c>
      <c r="AA73" s="94" t="str">
        <f t="shared" ca="1" si="30"/>
        <v/>
      </c>
      <c r="AB73" s="94" t="str">
        <f t="shared" ca="1" si="30"/>
        <v/>
      </c>
      <c r="AC73" s="94" t="str">
        <f t="shared" ca="1" si="30"/>
        <v/>
      </c>
      <c r="AD73" s="94" t="str">
        <f t="shared" ca="1" si="30"/>
        <v/>
      </c>
      <c r="AE73" s="94" t="str">
        <f t="shared" ca="1" si="30"/>
        <v/>
      </c>
      <c r="AF73" s="94" t="str">
        <f t="shared" ca="1" si="30"/>
        <v/>
      </c>
      <c r="AG73" s="419">
        <f ca="1">SUM(AA73:AF73)</f>
        <v>0</v>
      </c>
      <c r="AH73" s="96"/>
      <c r="AI73" s="96"/>
      <c r="AJ73" s="96"/>
      <c r="AK73" s="96"/>
      <c r="AL73" s="96"/>
      <c r="AM73" s="96"/>
      <c r="AN73" s="96"/>
      <c r="AO73" s="96"/>
      <c r="AP73" s="137"/>
    </row>
    <row r="74" spans="1:42" ht="15.75" hidden="1">
      <c r="A74" s="516" t="str">
        <f>ADDRESS(ROW(Q2),COLUMN(Q2))</f>
        <v>$Q$2</v>
      </c>
      <c r="B74" s="95"/>
      <c r="C74" s="95"/>
      <c r="D74" s="95"/>
      <c r="E74" s="95"/>
      <c r="F74" s="95"/>
      <c r="G74" s="95"/>
      <c r="H74" s="95"/>
      <c r="I74" s="95"/>
      <c r="J74" s="95"/>
      <c r="K74" s="95"/>
      <c r="L74" s="95"/>
      <c r="M74" s="95"/>
      <c r="N74" s="95"/>
      <c r="O74" s="95"/>
      <c r="P74" s="95"/>
      <c r="Q74" s="95"/>
      <c r="R74" s="95"/>
      <c r="S74"/>
      <c r="T74" s="136"/>
      <c r="U74" s="96"/>
      <c r="V74" s="96"/>
      <c r="W74" s="96"/>
      <c r="X74" s="96"/>
      <c r="Y74" s="96"/>
      <c r="Z74" s="418" t="s">
        <v>338</v>
      </c>
      <c r="AA74" s="94" t="str">
        <f t="shared" ca="1" si="30"/>
        <v/>
      </c>
      <c r="AB74" s="94" t="str">
        <f t="shared" ca="1" si="30"/>
        <v/>
      </c>
      <c r="AC74" s="94" t="str">
        <f t="shared" ca="1" si="30"/>
        <v/>
      </c>
      <c r="AD74" s="94" t="str">
        <f t="shared" ca="1" si="30"/>
        <v/>
      </c>
      <c r="AE74" s="94" t="str">
        <f t="shared" ca="1" si="30"/>
        <v/>
      </c>
      <c r="AF74" s="94" t="str">
        <f t="shared" ca="1" si="30"/>
        <v/>
      </c>
      <c r="AG74" s="419">
        <f ca="1">SUM(AA74:AF74)</f>
        <v>0</v>
      </c>
      <c r="AH74" s="96"/>
      <c r="AI74" s="96"/>
      <c r="AJ74" s="96"/>
      <c r="AK74" s="96"/>
      <c r="AL74" s="96"/>
      <c r="AM74" s="96"/>
      <c r="AN74" s="96"/>
      <c r="AO74" s="96"/>
      <c r="AP74" s="137"/>
    </row>
    <row r="75" spans="1:42" ht="15.75" hidden="1">
      <c r="A75" s="516" t="str">
        <f>ADDRESS(ROW(U1),COLUMN(U1))</f>
        <v>$U$1</v>
      </c>
      <c r="B75" s="95"/>
      <c r="C75" s="95"/>
      <c r="D75" s="95"/>
      <c r="E75" s="95"/>
      <c r="F75" s="95"/>
      <c r="G75" s="95"/>
      <c r="H75" s="95"/>
      <c r="I75" s="95"/>
      <c r="J75" s="95"/>
      <c r="K75" s="95"/>
      <c r="L75" s="95"/>
      <c r="M75" s="95"/>
      <c r="N75" s="95"/>
      <c r="O75" s="95"/>
      <c r="P75" s="95"/>
      <c r="Q75" s="95"/>
      <c r="R75" s="95"/>
      <c r="S75"/>
      <c r="T75" s="136"/>
      <c r="U75" s="96"/>
      <c r="V75" s="96"/>
      <c r="W75" s="96"/>
      <c r="X75" s="96"/>
      <c r="Y75" s="96"/>
      <c r="Z75" s="438" t="s">
        <v>349</v>
      </c>
      <c r="AA75" s="94" t="str">
        <f t="shared" ref="AA75:AF75" ca="1" si="31">IF(AA$22,INDIRECT("'"&amp;AA$21&amp;"'!"&amp;$A75),"")</f>
        <v/>
      </c>
      <c r="AB75" s="94" t="str">
        <f t="shared" ca="1" si="31"/>
        <v/>
      </c>
      <c r="AC75" s="94" t="str">
        <f t="shared" ca="1" si="31"/>
        <v/>
      </c>
      <c r="AD75" s="94" t="str">
        <f t="shared" ca="1" si="31"/>
        <v/>
      </c>
      <c r="AE75" s="94" t="str">
        <f t="shared" ca="1" si="31"/>
        <v/>
      </c>
      <c r="AF75" s="94" t="str">
        <f t="shared" ca="1" si="31"/>
        <v/>
      </c>
      <c r="AG75" s="419">
        <f ca="1">IF(ISERROR(OR(AA75:AF75)),0,OR(AA75:AF75))</f>
        <v>0</v>
      </c>
      <c r="AH75" s="96"/>
      <c r="AI75" s="96"/>
      <c r="AJ75" s="96"/>
      <c r="AK75" s="96"/>
      <c r="AL75" s="96"/>
      <c r="AM75" s="96"/>
      <c r="AN75" s="96"/>
      <c r="AO75" s="96"/>
      <c r="AP75" s="137"/>
    </row>
    <row r="76" spans="1:42" ht="15.75" hidden="1">
      <c r="A76" s="516"/>
      <c r="B76" s="95"/>
      <c r="C76" s="95"/>
      <c r="D76" s="95"/>
      <c r="E76" s="95"/>
      <c r="F76" s="95"/>
      <c r="G76" s="95"/>
      <c r="H76" s="95"/>
      <c r="I76" s="95"/>
      <c r="J76" s="95"/>
      <c r="K76" s="95"/>
      <c r="L76" s="95"/>
      <c r="M76" s="95"/>
      <c r="N76" s="95"/>
      <c r="O76" s="95"/>
      <c r="P76" s="95"/>
      <c r="Q76" s="95"/>
      <c r="R76" s="95"/>
      <c r="S76"/>
      <c r="T76" s="136"/>
      <c r="U76" s="96"/>
      <c r="V76" s="96"/>
      <c r="W76" s="96"/>
      <c r="X76" s="96"/>
      <c r="Y76" s="96"/>
      <c r="Z76" s="438" t="s">
        <v>350</v>
      </c>
      <c r="AA76" s="94" t="str">
        <f t="shared" ref="AA76:AF76" ca="1" si="32">IF(AA$22,INDIRECT("'"&amp;AA$21&amp;"'!"&amp;$A54),"")</f>
        <v/>
      </c>
      <c r="AB76" s="94" t="str">
        <f t="shared" ca="1" si="32"/>
        <v/>
      </c>
      <c r="AC76" s="94" t="str">
        <f t="shared" ca="1" si="32"/>
        <v/>
      </c>
      <c r="AD76" s="94" t="str">
        <f t="shared" ca="1" si="32"/>
        <v/>
      </c>
      <c r="AE76" s="94" t="str">
        <f t="shared" ca="1" si="32"/>
        <v/>
      </c>
      <c r="AF76" s="94" t="str">
        <f t="shared" ca="1" si="32"/>
        <v/>
      </c>
      <c r="AG76" s="419">
        <f ca="1">IF(ISERROR(OR(AA76:AF76)),0,OR(AA76:AF76))</f>
        <v>0</v>
      </c>
      <c r="AH76" s="96"/>
      <c r="AI76" s="96"/>
      <c r="AJ76" s="96"/>
      <c r="AK76" s="96"/>
      <c r="AL76" s="96"/>
      <c r="AM76" s="96"/>
      <c r="AN76" s="96"/>
      <c r="AO76" s="96"/>
      <c r="AP76" s="137"/>
    </row>
    <row r="77" spans="1:42" ht="15.75" thickBot="1">
      <c r="A77" s="516"/>
      <c r="B77" s="95"/>
      <c r="C77" s="95"/>
      <c r="D77" s="95"/>
      <c r="E77" s="95"/>
      <c r="F77" s="95"/>
      <c r="G77" s="95"/>
      <c r="H77" s="95"/>
      <c r="I77" s="95"/>
      <c r="J77" s="95"/>
      <c r="K77" s="95"/>
      <c r="L77" s="95"/>
      <c r="M77" s="95"/>
      <c r="N77" s="95"/>
      <c r="O77" s="95"/>
      <c r="P77" s="95"/>
      <c r="Q77" s="95"/>
      <c r="R77" s="95"/>
      <c r="S77"/>
      <c r="T77" s="138"/>
      <c r="U77" s="139"/>
      <c r="V77" s="139"/>
      <c r="W77" s="139"/>
      <c r="X77" s="139"/>
      <c r="Y77" s="139"/>
      <c r="Z77" s="139"/>
      <c r="AA77" s="139"/>
      <c r="AB77" s="139"/>
      <c r="AC77" s="139"/>
      <c r="AD77" s="139"/>
      <c r="AE77" s="139"/>
      <c r="AF77" s="139"/>
      <c r="AG77" s="139"/>
      <c r="AH77" s="139"/>
      <c r="AI77" s="139"/>
      <c r="AJ77" s="139"/>
      <c r="AK77" s="139"/>
      <c r="AL77" s="139"/>
      <c r="AM77" s="139"/>
      <c r="AN77" s="139"/>
      <c r="AO77" s="139"/>
      <c r="AP77" s="140"/>
    </row>
  </sheetData>
  <sheetProtection password="C67E" sheet="1" objects="1" scenarios="1" formatColumns="0" formatRows="0"/>
  <mergeCells count="4">
    <mergeCell ref="E5:F5"/>
    <mergeCell ref="V5:W5"/>
    <mergeCell ref="AK7:AO13"/>
    <mergeCell ref="Y41:Y43"/>
  </mergeCells>
  <dataValidations count="1">
    <dataValidation type="list" allowBlank="1" showInputMessage="1" showErrorMessage="1" sqref="AA21:AF21" xr:uid="{00000000-0002-0000-0500-000000000000}">
      <formula1>ALLSUBANDPROJECTS</formula1>
    </dataValidation>
  </dataValidations>
  <pageMargins left="0.7" right="0.7" top="0.75" bottom="0.75"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6"/>
    <pageSetUpPr fitToPage="1"/>
  </sheetPr>
  <dimension ref="A1:AD71"/>
  <sheetViews>
    <sheetView topLeftCell="C3" workbookViewId="0">
      <selection activeCell="E4" sqref="E4"/>
    </sheetView>
  </sheetViews>
  <sheetFormatPr baseColWidth="10" defaultColWidth="10.6640625" defaultRowHeight="15"/>
  <cols>
    <col min="1" max="2" width="16.33203125" style="95" hidden="1" customWidth="1"/>
    <col min="3" max="3" width="25" style="95" customWidth="1"/>
    <col min="4" max="4" width="3.5546875" style="95" customWidth="1"/>
    <col min="5" max="5" width="22.33203125" style="95" customWidth="1"/>
    <col min="6" max="6" width="13.5546875" style="95" customWidth="1"/>
    <col min="7" max="7" width="7.33203125" style="95" customWidth="1"/>
    <col min="8" max="8" width="10.6640625" style="95"/>
    <col min="9" max="9" width="17.5546875" style="95" customWidth="1"/>
    <col min="10" max="10" width="10.33203125" style="95" customWidth="1"/>
    <col min="11" max="11" width="18.33203125" style="95" customWidth="1"/>
    <col min="12" max="12" width="5.109375" style="95" customWidth="1"/>
    <col min="13" max="16384" width="10.6640625" style="95"/>
  </cols>
  <sheetData>
    <row r="1" spans="1:30" hidden="1">
      <c r="A1" s="95" t="s">
        <v>94</v>
      </c>
      <c r="E1" s="11">
        <f ca="1">IF(ISERROR(INDIRECT("'"&amp;E4&amp;"'!A1")),0,1)</f>
        <v>0</v>
      </c>
      <c r="T1" s="435" t="s">
        <v>347</v>
      </c>
      <c r="U1" s="402">
        <f ca="1">IF($E$1,INDIRECT("'"&amp;$E$4&amp;"'!"&amp;ADDRESS(ROW(U1),COLUMN(U1))),0)</f>
        <v>0</v>
      </c>
      <c r="V1" s="437" t="s">
        <v>348</v>
      </c>
      <c r="W1" s="439">
        <f ca="1">IF($E$1,INDIRECT("'"&amp;$E$4&amp;"'!"&amp;ADDRESS(ROW(W1),COLUMN(W1))),0)</f>
        <v>0</v>
      </c>
      <c r="AA1" s="95" t="s">
        <v>290</v>
      </c>
      <c r="AB1" s="95">
        <f ca="1">IF($E$1,INDIRECT("'"&amp;$E$4&amp;"'!"&amp;ADDRESS(ROW(AB1),COLUMN(AB1))),0)</f>
        <v>0</v>
      </c>
      <c r="AC1" s="95" t="s">
        <v>292</v>
      </c>
      <c r="AD1" s="95">
        <f ca="1">IF(E1,INDIRECT("'"&amp;$E$4&amp;"'!"&amp;ADDRESS(ROW(AD1),COLUMN(AD1))),0)</f>
        <v>0</v>
      </c>
    </row>
    <row r="2" spans="1:30" hidden="1">
      <c r="AA2" s="95" t="s">
        <v>291</v>
      </c>
      <c r="AB2" s="95">
        <f ca="1">IF($E$1,INDIRECT("'"&amp;$E$4&amp;"'!"&amp;ADDRESS(ROW(AB2),COLUMN(AB2))),0)</f>
        <v>0</v>
      </c>
    </row>
    <row r="3" spans="1:30" ht="15.75" thickBot="1"/>
    <row r="4" spans="1:30" ht="16.5" thickBot="1">
      <c r="C4" s="819" t="str">
        <f>Translate!$A$144</f>
        <v>select your project or subproject</v>
      </c>
      <c r="D4" s="820"/>
      <c r="E4" s="339"/>
      <c r="H4" s="685" t="str">
        <f>Translate!$A$148</f>
        <v>Your Company name</v>
      </c>
      <c r="I4" s="340" t="str">
        <f>Translate!$A$149</f>
        <v xml:space="preserve"> </v>
      </c>
    </row>
    <row r="6" spans="1:30" ht="15.75" thickBot="1"/>
    <row r="7" spans="1:30">
      <c r="D7" s="315"/>
      <c r="E7" s="316"/>
      <c r="F7" s="316"/>
      <c r="G7" s="316"/>
      <c r="H7" s="316"/>
      <c r="I7" s="316"/>
      <c r="J7" s="316"/>
      <c r="K7" s="316"/>
      <c r="L7" s="317"/>
    </row>
    <row r="8" spans="1:30" ht="74.099999999999994" customHeight="1">
      <c r="D8" s="318"/>
      <c r="E8" s="11"/>
      <c r="F8" s="11"/>
      <c r="G8" s="11"/>
      <c r="H8" s="11"/>
      <c r="I8" s="11"/>
      <c r="J8" s="11"/>
      <c r="K8" s="11"/>
      <c r="L8" s="319"/>
    </row>
    <row r="9" spans="1:30" ht="27" customHeight="1">
      <c r="D9" s="807" t="str">
        <f>Translate!$A$32</f>
        <v>EFFC DFI Project Carbon Calculator</v>
      </c>
      <c r="E9" s="808"/>
      <c r="F9" s="808"/>
      <c r="G9" s="808"/>
      <c r="H9" s="808"/>
      <c r="I9" s="808"/>
      <c r="J9" s="808"/>
      <c r="K9" s="808"/>
      <c r="L9" s="809"/>
    </row>
    <row r="10" spans="1:30">
      <c r="D10" s="318"/>
      <c r="E10" s="11"/>
      <c r="F10" s="11"/>
      <c r="G10" s="11"/>
      <c r="H10" s="11"/>
      <c r="I10" s="11"/>
      <c r="J10" s="11"/>
      <c r="K10" s="11"/>
      <c r="L10" s="349" t="str">
        <f>'READ ME'!$E$10</f>
        <v>v4.0</v>
      </c>
    </row>
    <row r="11" spans="1:30" ht="15" customHeight="1">
      <c r="D11" s="318"/>
      <c r="E11" s="98" t="str">
        <f>Translate!$A$145</f>
        <v>Company</v>
      </c>
      <c r="F11" s="314" t="str">
        <f>I4</f>
        <v xml:space="preserve"> </v>
      </c>
      <c r="G11" s="109"/>
      <c r="H11" s="26"/>
      <c r="I11" s="11"/>
      <c r="J11" s="810" t="str">
        <f>Translate!$A$152&amp;" :"</f>
        <v>Emission factor database :</v>
      </c>
      <c r="K11" s="811"/>
      <c r="L11" s="319"/>
    </row>
    <row r="12" spans="1:30" ht="20.25">
      <c r="D12" s="318"/>
      <c r="E12" s="312" t="str">
        <f>Translate!$A$35</f>
        <v>Project</v>
      </c>
      <c r="F12" s="313" t="str">
        <f ca="1">IF(E$1,INDIRECT("'"&amp;E$4&amp;"'!E5"),"")</f>
        <v/>
      </c>
      <c r="G12" s="109"/>
      <c r="H12" s="26"/>
      <c r="I12" s="11"/>
      <c r="J12" s="812" t="str">
        <f>'READ ME'!F18</f>
        <v>EFFC DFI methodology recommended emission factors</v>
      </c>
      <c r="K12" s="813"/>
      <c r="L12" s="319"/>
      <c r="P12" s="351"/>
    </row>
    <row r="13" spans="1:30">
      <c r="D13" s="318"/>
      <c r="E13" s="334" t="str">
        <f>Translate!$A$8</f>
        <v>DATE</v>
      </c>
      <c r="F13" s="350" t="str">
        <f ca="1">IF(E$1,INDIRECT("'"&amp;E$4&amp;"'!E7"),"")</f>
        <v/>
      </c>
      <c r="G13" s="11"/>
      <c r="H13" s="11"/>
      <c r="I13" s="11"/>
      <c r="J13" s="814"/>
      <c r="K13" s="815"/>
      <c r="L13" s="319"/>
      <c r="P13" s="352"/>
    </row>
    <row r="14" spans="1:30">
      <c r="D14" s="318"/>
      <c r="E14" s="334" t="str">
        <f>Translate!$A$66</f>
        <v>Author</v>
      </c>
      <c r="F14" s="350" t="str">
        <f ca="1">IF(E$1,INDIRECT("'"&amp;E$4&amp;"'!E8"),"")</f>
        <v/>
      </c>
      <c r="G14" s="11"/>
      <c r="H14" s="11"/>
      <c r="I14" s="11"/>
      <c r="J14" s="326" t="str">
        <f ca="1">IF('Emission factors'!C250=0,"",'Emission factors'!C250)</f>
        <v/>
      </c>
      <c r="K14" s="327" t="str">
        <f ca="1">IF('Emission factors'!C250=0,"",Translate!$A$153)</f>
        <v/>
      </c>
      <c r="L14" s="319"/>
    </row>
    <row r="15" spans="1:30">
      <c r="D15" s="318"/>
      <c r="E15" s="11"/>
      <c r="F15" s="11"/>
      <c r="G15" s="11"/>
      <c r="H15" s="11"/>
      <c r="I15" s="11"/>
      <c r="J15" s="11"/>
      <c r="K15" s="11"/>
      <c r="L15" s="319"/>
    </row>
    <row r="16" spans="1:30" ht="15.75">
      <c r="B16" s="325"/>
      <c r="D16" s="318"/>
      <c r="E16" s="110" t="str">
        <f ca="1">IF(F16="","",Translate!$A$70)</f>
        <v/>
      </c>
      <c r="F16" s="322" t="str">
        <f ca="1">IF(AND($E$1,$AD$1=0),INDIRECT("'"&amp;$E$4&amp;"'!E12"),"")</f>
        <v/>
      </c>
      <c r="G16" s="26"/>
      <c r="H16" s="11"/>
      <c r="I16" s="114" t="str">
        <f>Translate!$A$134</f>
        <v>Total</v>
      </c>
      <c r="J16" s="323" t="str">
        <f ca="1">IF(E1=0,"",IF(B31=0,0,ROUND(B31,-ROUNDDOWN(LOG(ABS(B31)),0)+1)))</f>
        <v/>
      </c>
      <c r="K16" s="115" t="str">
        <f>Translate!$A$115</f>
        <v>tCO2e</v>
      </c>
      <c r="L16" s="319"/>
    </row>
    <row r="17" spans="1:14">
      <c r="A17" s="309">
        <f ca="1">IF(SUM(F17)=0,0,$J$16/F17*1000)</f>
        <v>0</v>
      </c>
      <c r="B17" s="309"/>
      <c r="D17" s="318"/>
      <c r="E17" s="111" t="str">
        <f>Translate!$A$69</f>
        <v>Project value</v>
      </c>
      <c r="F17" s="321" t="str">
        <f ca="1">IF(E$1,INDIRECT("'"&amp;E$4&amp;"'!E11"),"")</f>
        <v/>
      </c>
      <c r="G17" s="112" t="str">
        <f ca="1">IF(E$1,INDIRECT("'"&amp;E$4&amp;"'!F11"),"")</f>
        <v/>
      </c>
      <c r="H17" s="11"/>
      <c r="I17" s="105" t="str">
        <f ca="1">IF($F17=0,"",Translate!$A$150&amp;" "&amp;E17)</f>
        <v>ratio per Project value</v>
      </c>
      <c r="J17" s="324" t="str">
        <f ca="1">IF(A17=0,"",ROUND(A17*IF(N17,1000,1),-ROUNDDOWN(LOG(ABS(A17*IF(N17,1000,1))),0)+1))</f>
        <v/>
      </c>
      <c r="K17" s="26" t="str">
        <f ca="1">IF($F17=0,"",IF(N17,Translate!$A$155,Translate!$A$154)&amp;G17)</f>
        <v xml:space="preserve">kgCO2e / </v>
      </c>
      <c r="L17" s="319"/>
      <c r="N17" s="711" t="b">
        <v>0</v>
      </c>
    </row>
    <row r="18" spans="1:14">
      <c r="A18" s="309">
        <f ca="1">IF(SUM(F18)=0,0,$J$16/F18*1000)</f>
        <v>0</v>
      </c>
      <c r="B18" s="309"/>
      <c r="D18" s="318"/>
      <c r="E18" s="105" t="str">
        <f ca="1">IF(AND($E$1,$AB$1=0),INDIRECT("'"&amp;$E$4&amp;"'!D13"),"")</f>
        <v/>
      </c>
      <c r="F18" s="322" t="str">
        <f ca="1">IF(AND($E$1,$AB$1=0),INDIRECT("'"&amp;$E$4&amp;"'!E13"),"")</f>
        <v/>
      </c>
      <c r="G18" s="26" t="str">
        <f ca="1">IF(AND($E$1,$AB$1=0),INDIRECT("'"&amp;$E$4&amp;"'!F13"),"")</f>
        <v/>
      </c>
      <c r="H18" s="11"/>
      <c r="I18" s="105" t="str">
        <f ca="1">IF(SUM($F18)=0,"",Translate!$A$150&amp;" "&amp;E18)</f>
        <v/>
      </c>
      <c r="J18" s="324" t="str">
        <f ca="1">IF(A18=0,"",ROUND(A18*IF(N18,1000,1),-ROUNDDOWN(LOG(ABS(A18*IF(N18,1000,1))),0)+1))</f>
        <v/>
      </c>
      <c r="K18" s="26" t="str">
        <f ca="1">IF(SUM($F18)=0,"",IF(N18,Translate!$A$155,Translate!$A$154)&amp;G18)</f>
        <v/>
      </c>
      <c r="L18" s="319"/>
      <c r="N18" s="711" t="b">
        <v>0</v>
      </c>
    </row>
    <row r="19" spans="1:14">
      <c r="A19" s="309">
        <f ca="1">IF(SUM(F19)=0,0,$J$16/F19*1000)</f>
        <v>0</v>
      </c>
      <c r="B19" s="309"/>
      <c r="D19" s="318"/>
      <c r="E19" s="105" t="str">
        <f ca="1">IF(AND($E$1,$AB$2=0),INDIRECT("'"&amp;$E$4&amp;"'!D14"),"")</f>
        <v/>
      </c>
      <c r="F19" s="322" t="str">
        <f ca="1">IF(AND($E$1,$AB$2=0),INDIRECT("'"&amp;$E$4&amp;"'!E14"),"")</f>
        <v/>
      </c>
      <c r="G19" s="26" t="str">
        <f ca="1">IF(AND($E$1,$AB$2=0),INDIRECT("'"&amp;$E$4&amp;"'!F14"),"")</f>
        <v/>
      </c>
      <c r="H19" s="11"/>
      <c r="I19" s="105" t="str">
        <f ca="1">IF(SUM($F19)=0,"",Translate!$A$150&amp;" "&amp;E19)</f>
        <v/>
      </c>
      <c r="J19" s="324" t="str">
        <f ca="1">IF(A19=0,"",ROUND(A19*IF(N19,1000,1),-ROUNDDOWN(LOG(ABS(A19*IF(N19,1000,1))),0)+1))</f>
        <v/>
      </c>
      <c r="K19" s="26" t="str">
        <f ca="1">IF(SUM($F19)=0,"",IF(N19,Translate!$A$155,Translate!$A$154)&amp;G19)</f>
        <v/>
      </c>
      <c r="L19" s="319"/>
      <c r="N19" s="711" t="b">
        <v>0</v>
      </c>
    </row>
    <row r="20" spans="1:14">
      <c r="D20" s="318"/>
      <c r="E20" s="11"/>
      <c r="F20" s="11"/>
      <c r="G20" s="11"/>
      <c r="H20" s="11"/>
      <c r="I20" s="11"/>
      <c r="J20" s="11"/>
      <c r="K20" s="11"/>
      <c r="L20" s="319"/>
    </row>
    <row r="21" spans="1:14">
      <c r="A21" s="95" t="str">
        <f>ADDRESS(ROW(P7),COLUMN(P7))</f>
        <v>$P$7</v>
      </c>
      <c r="B21" s="95" t="str">
        <f ca="1">IF(E$1,INDIRECT("'"&amp;E$4&amp;"'!"&amp;$A21),"")</f>
        <v/>
      </c>
      <c r="D21" s="318"/>
      <c r="E21" s="105" t="str">
        <f>Translate!$A$104</f>
        <v>Materials</v>
      </c>
      <c r="F21" s="113" t="str">
        <f ca="1">IF(E1=0,"",IF(B21=0,0,ROUND(B21,-ROUNDDOWN(LOG(ABS(B21)),0)+1)))</f>
        <v/>
      </c>
      <c r="G21" s="11"/>
      <c r="H21" s="11"/>
      <c r="I21" s="11"/>
      <c r="J21" s="11"/>
      <c r="K21" s="11"/>
      <c r="L21" s="319"/>
    </row>
    <row r="22" spans="1:14">
      <c r="A22" s="95" t="str">
        <f>ADDRESS(ROW(AJ2),COLUMN(AJ2))</f>
        <v>$AJ$2</v>
      </c>
      <c r="B22" s="95" t="str">
        <f ca="1">IF(E$1,INDIRECT("'"&amp;E$4&amp;"'!"&amp;$A22),"")</f>
        <v/>
      </c>
      <c r="D22" s="318"/>
      <c r="E22" s="392" t="str">
        <f>Translate!$A$73</f>
        <v>Concrete / Slurry / Grout mix</v>
      </c>
      <c r="F22" s="429" t="str">
        <f ca="1">IF(E1=0,"",IF(B22=0,0,ROUND(B22,-ROUNDDOWN(LOG(ABS(B22)),0)+1)))</f>
        <v/>
      </c>
      <c r="G22" s="11"/>
      <c r="H22" s="11"/>
      <c r="I22" s="11"/>
      <c r="J22" s="11"/>
      <c r="K22" s="11"/>
      <c r="L22" s="319"/>
    </row>
    <row r="23" spans="1:14">
      <c r="A23" s="95" t="str">
        <f>ADDRESS(ROW(AK2),COLUMN(AK2))</f>
        <v>$AK$2</v>
      </c>
      <c r="B23" s="95" t="str">
        <f ca="1">IF(E$1,INDIRECT("'"&amp;E$4&amp;"'!"&amp;$A23),"")</f>
        <v/>
      </c>
      <c r="D23" s="318"/>
      <c r="E23" s="392" t="str">
        <f>Translate!$A$138</f>
        <v>Steel</v>
      </c>
      <c r="F23" s="429" t="str">
        <f ca="1">IF(E1=0,"",IF(B23=0,0,ROUND(B23,-ROUNDDOWN(LOG(ABS(B23)),0)+1)))</f>
        <v/>
      </c>
      <c r="G23" s="11"/>
      <c r="H23" s="11"/>
      <c r="I23" s="11"/>
      <c r="J23" s="11"/>
      <c r="K23" s="11"/>
      <c r="L23" s="319"/>
    </row>
    <row r="24" spans="1:14">
      <c r="A24" s="95" t="str">
        <f>ADDRESS(ROW(AL2),COLUMN(AL2))</f>
        <v>$AL$2</v>
      </c>
      <c r="B24" s="95" t="str">
        <f ca="1">IF(E$1,INDIRECT("'"&amp;E$4&amp;"'!"&amp;$A24),"")</f>
        <v/>
      </c>
      <c r="D24" s="318"/>
      <c r="E24" s="392" t="str">
        <f>Translate!$A$118</f>
        <v>Other</v>
      </c>
      <c r="F24" s="429" t="str">
        <f ca="1">IF(E1=0,"",IF(B24=0,0,ROUND(B24,-ROUNDDOWN(LOG(ABS(B24)),0)+1)))</f>
        <v/>
      </c>
      <c r="G24" s="11"/>
      <c r="H24" s="11"/>
      <c r="I24" s="11"/>
      <c r="J24" s="11"/>
      <c r="K24" s="11"/>
      <c r="L24" s="319"/>
    </row>
    <row r="25" spans="1:14">
      <c r="A25" s="95" t="str">
        <f t="shared" ref="A25:A31" si="0">ADDRESS(ROW(P8),COLUMN(P8))</f>
        <v>$P$8</v>
      </c>
      <c r="B25" s="95" t="str">
        <f t="shared" ref="B25:B31" ca="1" si="1">IF(E$1,INDIRECT("'"&amp;E$4&amp;"'!"&amp;$A25),"")</f>
        <v/>
      </c>
      <c r="D25" s="318"/>
      <c r="E25" s="105" t="str">
        <f>Translate!$A$105</f>
        <v>Energy</v>
      </c>
      <c r="F25" s="113" t="str">
        <f ca="1">IF(E1=0,"",IF(B25=0,0,ROUND(B25,-ROUNDDOWN(LOG(ABS(B25)),0)+1)))</f>
        <v/>
      </c>
      <c r="G25" s="11"/>
      <c r="H25" s="11"/>
      <c r="I25" s="11"/>
      <c r="J25" s="11"/>
      <c r="K25" s="11"/>
      <c r="L25" s="319"/>
    </row>
    <row r="26" spans="1:14">
      <c r="A26" s="95" t="str">
        <f t="shared" si="0"/>
        <v>$P$9</v>
      </c>
      <c r="B26" s="95" t="str">
        <f t="shared" ca="1" si="1"/>
        <v/>
      </c>
      <c r="D26" s="318"/>
      <c r="E26" s="105" t="str">
        <f>Translate!$A$106</f>
        <v>Freight</v>
      </c>
      <c r="F26" s="113" t="str">
        <f ca="1">IF(E1=0,"",IF(B26=0,0,ROUND(B26,-ROUNDDOWN(LOG(ABS(B26)),0)+1)))</f>
        <v/>
      </c>
      <c r="G26" s="11"/>
      <c r="H26" s="11"/>
      <c r="I26" s="11"/>
      <c r="J26" s="11"/>
      <c r="K26" s="11"/>
      <c r="L26" s="319"/>
    </row>
    <row r="27" spans="1:14">
      <c r="A27" s="95" t="str">
        <f t="shared" si="0"/>
        <v>$P$10</v>
      </c>
      <c r="B27" s="95" t="str">
        <f t="shared" ca="1" si="1"/>
        <v/>
      </c>
      <c r="D27" s="318"/>
      <c r="E27" s="105" t="str">
        <f>Translate!$A$107</f>
        <v>Mob/demob</v>
      </c>
      <c r="F27" s="113" t="str">
        <f ca="1">IF(E1=0,"",IF(B27=0,0,ROUND(B27,-ROUNDDOWN(LOG(ABS(B27)),0)+1)))</f>
        <v/>
      </c>
      <c r="G27" s="11"/>
      <c r="H27" s="11"/>
      <c r="I27" s="11"/>
      <c r="J27" s="11"/>
      <c r="K27" s="11"/>
      <c r="L27" s="319"/>
    </row>
    <row r="28" spans="1:14">
      <c r="A28" s="95" t="str">
        <f t="shared" si="0"/>
        <v>$P$11</v>
      </c>
      <c r="B28" s="95" t="str">
        <f t="shared" ca="1" si="1"/>
        <v/>
      </c>
      <c r="D28" s="318"/>
      <c r="E28" s="105" t="str">
        <f>Translate!$A$108</f>
        <v>People's transportation</v>
      </c>
      <c r="F28" s="113" t="str">
        <f ca="1">IF(E1=0,"",IF(B28=0,0,ROUND(B28,-ROUNDDOWN(LOG(ABS(B28)),0)+1)))</f>
        <v/>
      </c>
      <c r="G28" s="11"/>
      <c r="H28" s="11"/>
      <c r="I28" s="11"/>
      <c r="J28" s="11"/>
      <c r="K28" s="11"/>
      <c r="L28" s="319"/>
    </row>
    <row r="29" spans="1:14">
      <c r="A29" s="95" t="str">
        <f t="shared" si="0"/>
        <v>$P$12</v>
      </c>
      <c r="B29" s="95" t="str">
        <f t="shared" ca="1" si="1"/>
        <v/>
      </c>
      <c r="D29" s="318"/>
      <c r="E29" s="105" t="str">
        <f>Translate!$A$109</f>
        <v>Assets</v>
      </c>
      <c r="F29" s="113" t="str">
        <f ca="1">IF(E1=0,"",IF(B29=0,0,ROUND(B29,-ROUNDDOWN(LOG(ABS(B29)),0)+1)))</f>
        <v/>
      </c>
      <c r="G29" s="11"/>
      <c r="H29" s="11"/>
      <c r="I29" s="11"/>
      <c r="J29" s="11"/>
      <c r="K29" s="11"/>
      <c r="L29" s="319"/>
    </row>
    <row r="30" spans="1:14">
      <c r="A30" s="95" t="str">
        <f t="shared" si="0"/>
        <v>$P$13</v>
      </c>
      <c r="B30" s="95" t="str">
        <f t="shared" ca="1" si="1"/>
        <v/>
      </c>
      <c r="D30" s="318"/>
      <c r="E30" s="105" t="str">
        <f>Translate!$A$110</f>
        <v>Waste</v>
      </c>
      <c r="F30" s="113" t="str">
        <f ca="1">IF(E1=0,"",IF(B30=0,0,ROUND(B30,-ROUNDDOWN(LOG(ABS(B30)),0)+1)))</f>
        <v/>
      </c>
      <c r="G30" s="11"/>
      <c r="H30" s="11"/>
      <c r="I30" s="11"/>
      <c r="J30" s="11"/>
      <c r="K30" s="11"/>
      <c r="L30" s="319"/>
    </row>
    <row r="31" spans="1:14">
      <c r="A31" s="95" t="str">
        <f t="shared" si="0"/>
        <v>$P$14</v>
      </c>
      <c r="B31" s="95" t="str">
        <f t="shared" ca="1" si="1"/>
        <v/>
      </c>
      <c r="D31" s="318"/>
      <c r="E31" s="11"/>
      <c r="F31" s="11"/>
      <c r="G31" s="11"/>
      <c r="H31" s="11"/>
      <c r="I31" s="11"/>
      <c r="J31" s="11"/>
      <c r="K31" s="11"/>
      <c r="L31" s="319"/>
    </row>
    <row r="32" spans="1:14">
      <c r="D32" s="318"/>
      <c r="E32" s="11"/>
      <c r="F32" s="11"/>
      <c r="G32" s="11"/>
      <c r="H32" s="11"/>
      <c r="I32" s="11"/>
      <c r="J32" s="11"/>
      <c r="K32" s="11"/>
      <c r="L32" s="319"/>
    </row>
    <row r="33" spans="4:12">
      <c r="D33" s="318"/>
      <c r="E33" s="11"/>
      <c r="F33" s="11"/>
      <c r="G33" s="11"/>
      <c r="H33" s="11"/>
      <c r="I33" s="11"/>
      <c r="J33" s="11"/>
      <c r="K33" s="11"/>
      <c r="L33" s="319"/>
    </row>
    <row r="34" spans="4:12">
      <c r="D34" s="318"/>
      <c r="E34" s="11"/>
      <c r="F34" s="11"/>
      <c r="G34" s="11"/>
      <c r="H34" s="11"/>
      <c r="I34" s="11"/>
      <c r="J34" s="11"/>
      <c r="K34" s="11"/>
      <c r="L34" s="319"/>
    </row>
    <row r="35" spans="4:12">
      <c r="D35" s="318"/>
      <c r="E35" s="11"/>
      <c r="F35" s="11"/>
      <c r="G35" s="11"/>
      <c r="H35" s="11"/>
      <c r="I35" s="11"/>
      <c r="J35" s="11"/>
      <c r="K35" s="11"/>
      <c r="L35" s="319"/>
    </row>
    <row r="36" spans="4:12" ht="72" customHeight="1">
      <c r="D36" s="318"/>
      <c r="E36" s="11"/>
      <c r="F36" s="11"/>
      <c r="G36" s="11"/>
      <c r="H36" s="11"/>
      <c r="I36" s="11"/>
      <c r="J36" s="11"/>
      <c r="K36" s="11"/>
      <c r="L36" s="319"/>
    </row>
    <row r="37" spans="4:12" ht="117" customHeight="1">
      <c r="D37" s="318"/>
      <c r="E37" s="11"/>
      <c r="F37" s="11"/>
      <c r="G37" s="11"/>
      <c r="H37" s="11"/>
      <c r="I37" s="11"/>
      <c r="J37" s="11"/>
      <c r="K37" s="11"/>
      <c r="L37" s="319"/>
    </row>
    <row r="38" spans="4:12" ht="20.100000000000001" customHeight="1">
      <c r="D38" s="318"/>
      <c r="E38" s="653" t="str">
        <f>Translate!$A$11</f>
        <v>Activities covered</v>
      </c>
      <c r="F38" s="11"/>
      <c r="G38" s="11"/>
      <c r="H38" s="11"/>
      <c r="I38" s="11"/>
      <c r="J38" s="11"/>
      <c r="K38" s="11"/>
      <c r="L38" s="319"/>
    </row>
    <row r="39" spans="4:12" ht="60.75" customHeight="1">
      <c r="D39" s="318"/>
      <c r="E39" s="816"/>
      <c r="F39" s="817"/>
      <c r="G39" s="817"/>
      <c r="H39" s="817"/>
      <c r="I39" s="817"/>
      <c r="J39" s="817"/>
      <c r="K39" s="818"/>
      <c r="L39" s="319"/>
    </row>
    <row r="40" spans="4:12">
      <c r="D40" s="318"/>
      <c r="E40" s="11"/>
      <c r="F40" s="11"/>
      <c r="G40" s="11"/>
      <c r="H40" s="11"/>
      <c r="I40" s="11"/>
      <c r="J40" s="11"/>
      <c r="K40" s="11"/>
      <c r="L40" s="319"/>
    </row>
    <row r="41" spans="4:12">
      <c r="D41" s="330"/>
      <c r="E41" s="331" t="str">
        <f ca="1">IF('Emission factors'!C250=0,"",Translate!$A$146)</f>
        <v/>
      </c>
      <c r="F41" s="331"/>
      <c r="G41" s="331"/>
      <c r="H41" s="331"/>
      <c r="I41" s="331"/>
      <c r="J41" s="331"/>
      <c r="K41" s="331"/>
      <c r="L41" s="332"/>
    </row>
    <row r="42" spans="4:12">
      <c r="D42" s="333" t="str">
        <f ca="1">IF('Emission factors'!$C$250&gt;D41,D41+1,"")</f>
        <v/>
      </c>
      <c r="E42" s="11" t="str">
        <f ca="1">IF($D42="","",VLOOKUP($D42,'Emission factors'!$C$251:$G$280,COLUMN('Emission factors'!D$250)-2,0))</f>
        <v/>
      </c>
      <c r="F42" s="11" t="str">
        <f ca="1">IF($D42="","",VLOOKUP($D42,'Emission factors'!$C$251:$G$280,COLUMN('Emission factors'!E$250)-2,0))</f>
        <v/>
      </c>
      <c r="G42" s="11" t="str">
        <f ca="1">IF($D42="","",VLOOKUP($D42,'Emission factors'!$C$251:$G$280,COLUMN('Emission factors'!F$250)-2,0))</f>
        <v/>
      </c>
      <c r="H42" s="133"/>
      <c r="I42" s="11" t="str">
        <f ca="1">IF($D42="","",VLOOKUP($D42,'Emission factors'!$C$251:$G$280,COLUMN('Emission factors'!G$250)-2,0))</f>
        <v/>
      </c>
      <c r="J42" s="11"/>
      <c r="K42" s="11"/>
      <c r="L42" s="319"/>
    </row>
    <row r="43" spans="4:12">
      <c r="D43" s="333" t="str">
        <f ca="1">IF('Emission factors'!$C$250&gt;D42,D42+1,"")</f>
        <v/>
      </c>
      <c r="E43" s="11" t="str">
        <f ca="1">IF($D43="","",VLOOKUP($D43,'Emission factors'!$C$251:$G$280,COLUMN('Emission factors'!D$250)-2,0))</f>
        <v/>
      </c>
      <c r="F43" s="11" t="str">
        <f ca="1">IF($D43="","",VLOOKUP($D43,'Emission factors'!$C$251:$G$280,COLUMN('Emission factors'!E$250)-2,0))</f>
        <v/>
      </c>
      <c r="G43" s="11" t="str">
        <f ca="1">IF($D43="","",VLOOKUP($D43,'Emission factors'!$C$251:$G$280,COLUMN('Emission factors'!F$250)-2,0))</f>
        <v/>
      </c>
      <c r="H43" s="133"/>
      <c r="I43" s="11" t="str">
        <f ca="1">IF($D43="","",VLOOKUP($D43,'Emission factors'!$C$251:$G$280,COLUMN('Emission factors'!G$250)-2,0))</f>
        <v/>
      </c>
      <c r="J43" s="11"/>
      <c r="K43" s="11"/>
      <c r="L43" s="319"/>
    </row>
    <row r="44" spans="4:12">
      <c r="D44" s="333" t="str">
        <f ca="1">IF('Emission factors'!$C$250&gt;D43,D43+1,"")</f>
        <v/>
      </c>
      <c r="E44" s="11" t="str">
        <f ca="1">IF($D44="","",VLOOKUP($D44,'Emission factors'!$C$251:$G$280,COLUMN('Emission factors'!D$250)-2,0))</f>
        <v/>
      </c>
      <c r="F44" s="11" t="str">
        <f ca="1">IF($D44="","",VLOOKUP($D44,'Emission factors'!$C$251:$G$280,COLUMN('Emission factors'!E$250)-2,0))</f>
        <v/>
      </c>
      <c r="G44" s="11" t="str">
        <f ca="1">IF($D44="","",VLOOKUP($D44,'Emission factors'!$C$251:$G$280,COLUMN('Emission factors'!F$250)-2,0))</f>
        <v/>
      </c>
      <c r="H44" s="133"/>
      <c r="I44" s="11" t="str">
        <f ca="1">IF($D44="","",VLOOKUP($D44,'Emission factors'!$C$251:$G$280,COLUMN('Emission factors'!G$250)-2,0))</f>
        <v/>
      </c>
      <c r="J44" s="11"/>
      <c r="K44" s="11"/>
      <c r="L44" s="319"/>
    </row>
    <row r="45" spans="4:12">
      <c r="D45" s="333" t="str">
        <f ca="1">IF('Emission factors'!$C$250&gt;D44,D44+1,"")</f>
        <v/>
      </c>
      <c r="E45" s="11" t="str">
        <f ca="1">IF($D45="","",VLOOKUP($D45,'Emission factors'!$C$251:$G$280,COLUMN('Emission factors'!D$250)-2,0))</f>
        <v/>
      </c>
      <c r="F45" s="11" t="str">
        <f ca="1">IF($D45="","",VLOOKUP($D45,'Emission factors'!$C$251:$G$280,COLUMN('Emission factors'!E$250)-2,0))</f>
        <v/>
      </c>
      <c r="G45" s="11" t="str">
        <f ca="1">IF($D45="","",VLOOKUP($D45,'Emission factors'!$C$251:$G$280,COLUMN('Emission factors'!F$250)-2,0))</f>
        <v/>
      </c>
      <c r="H45" s="133"/>
      <c r="I45" s="11" t="str">
        <f ca="1">IF($D45="","",VLOOKUP($D45,'Emission factors'!$C$251:$G$280,COLUMN('Emission factors'!G$250)-2,0))</f>
        <v/>
      </c>
      <c r="J45" s="11"/>
      <c r="K45" s="11"/>
      <c r="L45" s="319"/>
    </row>
    <row r="46" spans="4:12">
      <c r="D46" s="333" t="str">
        <f ca="1">IF('Emission factors'!$C$250&gt;D45,D45+1,"")</f>
        <v/>
      </c>
      <c r="E46" s="11" t="str">
        <f ca="1">IF($D46="","",VLOOKUP($D46,'Emission factors'!$C$251:$G$280,COLUMN('Emission factors'!D$250)-2,0))</f>
        <v/>
      </c>
      <c r="F46" s="11" t="str">
        <f ca="1">IF($D46="","",VLOOKUP($D46,'Emission factors'!$C$251:$G$280,COLUMN('Emission factors'!E$250)-2,0))</f>
        <v/>
      </c>
      <c r="G46" s="11" t="str">
        <f ca="1">IF($D46="","",VLOOKUP($D46,'Emission factors'!$C$251:$G$280,COLUMN('Emission factors'!F$250)-2,0))</f>
        <v/>
      </c>
      <c r="H46" s="133"/>
      <c r="I46" s="11" t="str">
        <f ca="1">IF($D46="","",VLOOKUP($D46,'Emission factors'!$C$251:$G$280,COLUMN('Emission factors'!G$250)-2,0))</f>
        <v/>
      </c>
      <c r="J46" s="11"/>
      <c r="K46" s="11"/>
      <c r="L46" s="319"/>
    </row>
    <row r="47" spans="4:12">
      <c r="D47" s="333" t="str">
        <f ca="1">IF('Emission factors'!$C$250&gt;D46,D46+1,"")</f>
        <v/>
      </c>
      <c r="E47" s="11" t="str">
        <f ca="1">IF($D47="","",VLOOKUP($D47,'Emission factors'!$C$251:$G$280,COLUMN('Emission factors'!D$250)-2,0))</f>
        <v/>
      </c>
      <c r="F47" s="11" t="str">
        <f ca="1">IF($D47="","",VLOOKUP($D47,'Emission factors'!$C$251:$G$280,COLUMN('Emission factors'!E$250)-2,0))</f>
        <v/>
      </c>
      <c r="G47" s="11" t="str">
        <f ca="1">IF($D47="","",VLOOKUP($D47,'Emission factors'!$C$251:$G$280,COLUMN('Emission factors'!F$250)-2,0))</f>
        <v/>
      </c>
      <c r="H47" s="133"/>
      <c r="I47" s="11" t="str">
        <f ca="1">IF($D47="","",VLOOKUP($D47,'Emission factors'!$C$251:$G$280,COLUMN('Emission factors'!G$250)-2,0))</f>
        <v/>
      </c>
      <c r="J47" s="11"/>
      <c r="K47" s="11"/>
      <c r="L47" s="319"/>
    </row>
    <row r="48" spans="4:12">
      <c r="D48" s="333" t="str">
        <f ca="1">IF('Emission factors'!$C$250&gt;D47,D47+1,"")</f>
        <v/>
      </c>
      <c r="E48" s="11" t="str">
        <f ca="1">IF($D48="","",VLOOKUP($D48,'Emission factors'!$C$251:$G$280,COLUMN('Emission factors'!D$250)-2,0))</f>
        <v/>
      </c>
      <c r="F48" s="11" t="str">
        <f ca="1">IF($D48="","",VLOOKUP($D48,'Emission factors'!$C$251:$G$280,COLUMN('Emission factors'!E$250)-2,0))</f>
        <v/>
      </c>
      <c r="G48" s="11" t="str">
        <f ca="1">IF($D48="","",VLOOKUP($D48,'Emission factors'!$C$251:$G$280,COLUMN('Emission factors'!F$250)-2,0))</f>
        <v/>
      </c>
      <c r="H48" s="133"/>
      <c r="I48" s="11" t="str">
        <f ca="1">IF($D48="","",VLOOKUP($D48,'Emission factors'!$C$251:$G$280,COLUMN('Emission factors'!G$250)-2,0))</f>
        <v/>
      </c>
      <c r="J48" s="11"/>
      <c r="K48" s="11"/>
      <c r="L48" s="319"/>
    </row>
    <row r="49" spans="4:12">
      <c r="D49" s="333" t="str">
        <f ca="1">IF('Emission factors'!$C$250&gt;D48,D48+1,"")</f>
        <v/>
      </c>
      <c r="E49" s="11" t="str">
        <f ca="1">IF($D49="","",VLOOKUP($D49,'Emission factors'!$C$251:$G$280,COLUMN('Emission factors'!D$250)-2,0))</f>
        <v/>
      </c>
      <c r="F49" s="11" t="str">
        <f ca="1">IF($D49="","",VLOOKUP($D49,'Emission factors'!$C$251:$G$280,COLUMN('Emission factors'!E$250)-2,0))</f>
        <v/>
      </c>
      <c r="G49" s="11" t="str">
        <f ca="1">IF($D49="","",VLOOKUP($D49,'Emission factors'!$C$251:$G$280,COLUMN('Emission factors'!F$250)-2,0))</f>
        <v/>
      </c>
      <c r="H49" s="133"/>
      <c r="I49" s="11" t="str">
        <f ca="1">IF($D49="","",VLOOKUP($D49,'Emission factors'!$C$251:$G$280,COLUMN('Emission factors'!G$250)-2,0))</f>
        <v/>
      </c>
      <c r="J49" s="11"/>
      <c r="K49" s="11"/>
      <c r="L49" s="319"/>
    </row>
    <row r="50" spans="4:12" ht="15.75" thickBot="1">
      <c r="D50" s="554"/>
      <c r="E50" s="555"/>
      <c r="F50" s="556" t="str">
        <f ca="1">IF(W1,Translate!$A$147,"")</f>
        <v/>
      </c>
      <c r="G50" s="555"/>
      <c r="H50" s="555"/>
      <c r="I50" s="557" t="str">
        <f ca="1">IF(U1,Translate!$A$151,"")</f>
        <v/>
      </c>
      <c r="J50" s="555"/>
      <c r="K50" s="555"/>
      <c r="L50" s="558"/>
    </row>
    <row r="65" spans="3:8">
      <c r="C65" s="390" t="str">
        <f>Translate!$A$104</f>
        <v>Materials</v>
      </c>
      <c r="D65" s="391"/>
      <c r="E65" s="390" t="str">
        <f ca="1">B22</f>
        <v/>
      </c>
      <c r="F65" s="390" t="str">
        <f ca="1">B23</f>
        <v/>
      </c>
      <c r="G65" s="390" t="str">
        <f ca="1">B24</f>
        <v/>
      </c>
      <c r="H65" s="391" t="e">
        <f ca="1">IF(B21=0,0,ROUND(B21,-ROUNDDOWN(LOG(ABS(B21)),0)+1))</f>
        <v>#VALUE!</v>
      </c>
    </row>
    <row r="66" spans="3:8">
      <c r="C66" s="390" t="str">
        <f>Translate!$A$105</f>
        <v>Energy</v>
      </c>
      <c r="D66" s="391" t="str">
        <f t="shared" ref="D66:D71" ca="1" si="2">B25</f>
        <v/>
      </c>
      <c r="H66" s="391" t="e">
        <f t="shared" ref="H66:H71" ca="1" si="3">IF(D66=0,0,ROUND(D66,-ROUNDDOWN(LOG(ABS(D66)),0)+1))</f>
        <v>#VALUE!</v>
      </c>
    </row>
    <row r="67" spans="3:8">
      <c r="C67" s="390" t="str">
        <f>Translate!$A$106</f>
        <v>Freight</v>
      </c>
      <c r="D67" s="391" t="str">
        <f t="shared" ca="1" si="2"/>
        <v/>
      </c>
      <c r="H67" s="391" t="e">
        <f t="shared" ca="1" si="3"/>
        <v>#VALUE!</v>
      </c>
    </row>
    <row r="68" spans="3:8">
      <c r="C68" s="390" t="str">
        <f>Translate!$A$107</f>
        <v>Mob/demob</v>
      </c>
      <c r="D68" s="391" t="str">
        <f t="shared" ca="1" si="2"/>
        <v/>
      </c>
      <c r="H68" s="391" t="e">
        <f t="shared" ca="1" si="3"/>
        <v>#VALUE!</v>
      </c>
    </row>
    <row r="69" spans="3:8">
      <c r="C69" s="390" t="str">
        <f>Translate!$A$108</f>
        <v>People's transportation</v>
      </c>
      <c r="D69" s="391" t="str">
        <f t="shared" ca="1" si="2"/>
        <v/>
      </c>
      <c r="H69" s="391" t="e">
        <f t="shared" ca="1" si="3"/>
        <v>#VALUE!</v>
      </c>
    </row>
    <row r="70" spans="3:8">
      <c r="C70" s="390" t="str">
        <f>Translate!$A$109</f>
        <v>Assets</v>
      </c>
      <c r="D70" s="391" t="str">
        <f t="shared" ca="1" si="2"/>
        <v/>
      </c>
      <c r="H70" s="391" t="e">
        <f t="shared" ca="1" si="3"/>
        <v>#VALUE!</v>
      </c>
    </row>
    <row r="71" spans="3:8">
      <c r="C71" s="390" t="str">
        <f>Translate!$A$110</f>
        <v>Waste</v>
      </c>
      <c r="D71" s="391" t="str">
        <f t="shared" ca="1" si="2"/>
        <v/>
      </c>
      <c r="H71" s="391" t="e">
        <f t="shared" ca="1" si="3"/>
        <v>#VALUE!</v>
      </c>
    </row>
  </sheetData>
  <sheetProtection password="C67E" sheet="1" objects="1" scenarios="1" formatColumns="0" formatRows="0"/>
  <dataConsolidate/>
  <mergeCells count="5">
    <mergeCell ref="D9:L9"/>
    <mergeCell ref="J11:K11"/>
    <mergeCell ref="J12:K13"/>
    <mergeCell ref="E39:K39"/>
    <mergeCell ref="C4:D4"/>
  </mergeCells>
  <phoneticPr fontId="65" type="noConversion"/>
  <conditionalFormatting sqref="E16:G16">
    <cfRule type="expression" dxfId="144" priority="2">
      <formula>IF($AD$1&gt;0,1,0)</formula>
    </cfRule>
  </conditionalFormatting>
  <conditionalFormatting sqref="E39:K39">
    <cfRule type="expression" dxfId="143" priority="1">
      <formula>ISBLANK($E$39)</formula>
    </cfRule>
  </conditionalFormatting>
  <dataValidations count="1">
    <dataValidation type="list" allowBlank="1" showInputMessage="1" showErrorMessage="1" sqref="E4" xr:uid="{00000000-0002-0000-0600-000000000000}">
      <formula1>ALLSUBANDPROJECTS</formula1>
    </dataValidation>
  </dataValidations>
  <pageMargins left="0.75000000000000011" right="0.75000000000000011" top="0.75" bottom="0.75" header="0.5" footer="0.5"/>
  <pageSetup paperSize="9" scale="66"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2823819" r:id="rId4" name="Check Box 3339">
              <controlPr locked="0" defaultSize="0" autoFill="0" autoLine="0" autoPict="0">
                <anchor moveWithCells="1">
                  <from>
                    <xdr:col>12</xdr:col>
                    <xdr:colOff>161925</xdr:colOff>
                    <xdr:row>15</xdr:row>
                    <xdr:rowOff>180975</xdr:rowOff>
                  </from>
                  <to>
                    <xdr:col>13</xdr:col>
                    <xdr:colOff>238125</xdr:colOff>
                    <xdr:row>17</xdr:row>
                    <xdr:rowOff>0</xdr:rowOff>
                  </to>
                </anchor>
              </controlPr>
            </control>
          </mc:Choice>
        </mc:AlternateContent>
        <mc:AlternateContent xmlns:mc="http://schemas.openxmlformats.org/markup-compatibility/2006">
          <mc:Choice Requires="x14">
            <control shapeId="12823827" r:id="rId5" name="Check Box 3347">
              <controlPr locked="0" defaultSize="0" autoFill="0" autoLine="0" autoPict="0">
                <anchor moveWithCells="1">
                  <from>
                    <xdr:col>12</xdr:col>
                    <xdr:colOff>161925</xdr:colOff>
                    <xdr:row>17</xdr:row>
                    <xdr:rowOff>0</xdr:rowOff>
                  </from>
                  <to>
                    <xdr:col>13</xdr:col>
                    <xdr:colOff>238125</xdr:colOff>
                    <xdr:row>18</xdr:row>
                    <xdr:rowOff>9525</xdr:rowOff>
                  </to>
                </anchor>
              </controlPr>
            </control>
          </mc:Choice>
        </mc:AlternateContent>
        <mc:AlternateContent xmlns:mc="http://schemas.openxmlformats.org/markup-compatibility/2006">
          <mc:Choice Requires="x14">
            <control shapeId="12823830" r:id="rId6" name="Check Box 3350">
              <controlPr locked="0" defaultSize="0" autoFill="0" autoLine="0" autoPict="0">
                <anchor moveWithCells="1">
                  <from>
                    <xdr:col>12</xdr:col>
                    <xdr:colOff>161925</xdr:colOff>
                    <xdr:row>18</xdr:row>
                    <xdr:rowOff>0</xdr:rowOff>
                  </from>
                  <to>
                    <xdr:col>13</xdr:col>
                    <xdr:colOff>238125</xdr:colOff>
                    <xdr:row>19</xdr:row>
                    <xdr:rowOff>9525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1">
    <tabColor theme="1" tint="0.59999389629810485"/>
    <pageSetUpPr fitToPage="1"/>
  </sheetPr>
  <dimension ref="A1:AG221"/>
  <sheetViews>
    <sheetView showGridLines="0" topLeftCell="F12" workbookViewId="0">
      <selection activeCell="J16" sqref="J16"/>
    </sheetView>
  </sheetViews>
  <sheetFormatPr baseColWidth="10" defaultColWidth="10.6640625" defaultRowHeight="15"/>
  <cols>
    <col min="1" max="5" width="10.6640625" style="380" hidden="1" customWidth="1"/>
    <col min="6" max="6" width="2.88671875" style="380" customWidth="1"/>
    <col min="7" max="7" width="7" style="380" customWidth="1"/>
    <col min="8" max="8" width="4.6640625" style="380" customWidth="1"/>
    <col min="9" max="9" width="24.5546875" style="380" customWidth="1"/>
    <col min="10" max="10" width="10.6640625" style="380" customWidth="1"/>
    <col min="11" max="11" width="10.6640625" style="380"/>
    <col min="12" max="12" width="10.6640625" style="380" customWidth="1"/>
    <col min="13" max="13" width="10.6640625" style="380"/>
    <col min="14" max="15" width="10.6640625" style="380" customWidth="1"/>
    <col min="16" max="16" width="8" style="380" hidden="1" customWidth="1"/>
    <col min="17" max="17" width="10.6640625" style="380"/>
    <col min="18" max="18" width="6.5546875" style="380" customWidth="1"/>
    <col min="19" max="19" width="5.5546875" style="380" customWidth="1"/>
    <col min="20" max="20" width="6.33203125" style="380" customWidth="1"/>
    <col min="21" max="21" width="13.33203125" style="380" customWidth="1"/>
    <col min="22" max="22" width="12" style="380" customWidth="1"/>
    <col min="23" max="16384" width="10.6640625" style="380"/>
  </cols>
  <sheetData>
    <row r="1" spans="1:33" hidden="1">
      <c r="A1" s="380" t="s">
        <v>285</v>
      </c>
      <c r="F1" s="95"/>
      <c r="G1" s="96"/>
      <c r="H1" s="96"/>
      <c r="I1" s="96"/>
      <c r="J1" s="96" t="s">
        <v>373</v>
      </c>
      <c r="K1" s="96">
        <f ca="1">SUM(J189:O189,J193:O193)</f>
        <v>0</v>
      </c>
      <c r="L1" s="96"/>
      <c r="M1" s="96"/>
      <c r="N1" s="96"/>
      <c r="O1" s="96"/>
      <c r="P1" s="96"/>
      <c r="Q1" s="96"/>
      <c r="R1" s="96"/>
      <c r="S1" s="96"/>
      <c r="T1" s="96"/>
    </row>
    <row r="2" spans="1:33" hidden="1">
      <c r="F2" s="95"/>
      <c r="G2" s="96"/>
      <c r="H2" s="96"/>
      <c r="I2" s="96"/>
      <c r="J2" s="96" t="s">
        <v>374</v>
      </c>
      <c r="K2" s="96">
        <f ca="1">SUM(J191:O191,J195:O195)</f>
        <v>0</v>
      </c>
      <c r="L2" s="96"/>
      <c r="M2" s="96"/>
      <c r="N2" s="96"/>
      <c r="O2" s="96"/>
      <c r="P2" s="96"/>
      <c r="Q2" s="96"/>
      <c r="R2" s="96"/>
      <c r="S2" s="96"/>
      <c r="T2" s="96"/>
    </row>
    <row r="3" spans="1:33" hidden="1">
      <c r="F3" s="95"/>
      <c r="G3" s="96"/>
      <c r="H3" s="96"/>
      <c r="I3" s="96"/>
      <c r="J3" s="96"/>
      <c r="K3" s="96"/>
      <c r="L3" s="96"/>
      <c r="M3" s="96"/>
      <c r="N3" s="96"/>
      <c r="O3" s="96"/>
      <c r="P3" s="96"/>
      <c r="Q3" s="96"/>
      <c r="R3" s="96"/>
      <c r="S3" s="96"/>
      <c r="T3" s="96"/>
    </row>
    <row r="4" spans="1:33" hidden="1">
      <c r="F4" s="95"/>
      <c r="G4" s="96"/>
      <c r="H4" s="96"/>
      <c r="I4" s="96"/>
      <c r="J4" s="96"/>
      <c r="K4" s="96"/>
      <c r="L4" s="96"/>
      <c r="M4" s="96"/>
      <c r="N4" s="96"/>
      <c r="O4" s="96"/>
      <c r="P4" s="96"/>
      <c r="Q4" s="96"/>
      <c r="R4" s="96"/>
      <c r="S4" s="96"/>
      <c r="T4" s="96"/>
    </row>
    <row r="5" spans="1:33" hidden="1">
      <c r="E5" s="380" t="s">
        <v>447</v>
      </c>
      <c r="F5" s="95"/>
      <c r="G5" s="96"/>
      <c r="H5" s="96"/>
      <c r="I5" s="96"/>
      <c r="J5" s="96"/>
      <c r="K5" s="96"/>
      <c r="L5" s="96"/>
      <c r="M5" s="96"/>
      <c r="N5" s="96"/>
      <c r="O5" s="96"/>
      <c r="P5" s="96"/>
      <c r="Q5" s="96"/>
      <c r="R5" s="96"/>
      <c r="S5" s="96"/>
      <c r="T5" s="96"/>
    </row>
    <row r="6" spans="1:33" hidden="1">
      <c r="E6" s="380" t="s">
        <v>0</v>
      </c>
      <c r="F6" s="95"/>
      <c r="G6" s="96"/>
      <c r="H6" s="96"/>
      <c r="I6" s="96"/>
      <c r="J6" s="96"/>
      <c r="K6" s="96"/>
      <c r="L6" s="96"/>
      <c r="M6" s="96"/>
      <c r="N6" s="96"/>
      <c r="O6" s="96"/>
      <c r="P6" s="96"/>
      <c r="Q6" s="96"/>
      <c r="R6" s="96"/>
      <c r="S6" s="96"/>
      <c r="T6" s="96"/>
    </row>
    <row r="7" spans="1:33" hidden="1">
      <c r="F7" s="95"/>
      <c r="G7" s="96"/>
      <c r="H7" s="96"/>
      <c r="I7" s="96"/>
      <c r="J7" s="96"/>
      <c r="K7" s="96"/>
      <c r="L7" s="96"/>
      <c r="M7" s="96"/>
      <c r="N7" s="96"/>
      <c r="O7" s="96"/>
      <c r="P7" s="96"/>
      <c r="Q7" s="96"/>
      <c r="R7" s="96"/>
      <c r="S7" s="96"/>
      <c r="T7" s="96"/>
    </row>
    <row r="8" spans="1:33" hidden="1">
      <c r="F8" s="95"/>
      <c r="G8" s="96"/>
      <c r="H8" s="96"/>
      <c r="I8" s="96"/>
      <c r="J8" s="96"/>
      <c r="K8" s="96"/>
      <c r="L8" s="96"/>
      <c r="M8" s="96"/>
      <c r="N8" s="96"/>
      <c r="O8" s="96"/>
      <c r="P8" s="96"/>
      <c r="Q8" s="96"/>
      <c r="R8" s="96"/>
      <c r="S8" s="96"/>
      <c r="T8" s="96"/>
    </row>
    <row r="9" spans="1:33" hidden="1">
      <c r="F9" s="95"/>
      <c r="G9" s="96"/>
      <c r="H9" s="96"/>
      <c r="I9" s="96"/>
      <c r="J9" s="96"/>
      <c r="K9" s="96"/>
      <c r="L9" s="96"/>
      <c r="M9" s="96"/>
      <c r="N9" s="96"/>
      <c r="O9" s="96"/>
      <c r="P9" s="96"/>
      <c r="Q9" s="96"/>
      <c r="R9" s="96"/>
      <c r="S9" s="96"/>
      <c r="T9" s="96"/>
    </row>
    <row r="10" spans="1:33" hidden="1">
      <c r="F10" s="95"/>
      <c r="G10" s="96"/>
      <c r="H10" s="96"/>
      <c r="I10" s="96"/>
      <c r="J10" s="96"/>
      <c r="K10" s="96"/>
      <c r="L10" s="96"/>
      <c r="M10" s="96"/>
      <c r="N10" s="96"/>
      <c r="O10" s="96"/>
      <c r="P10" s="96"/>
      <c r="Q10" s="96"/>
      <c r="R10" s="96"/>
      <c r="S10" s="96"/>
      <c r="T10" s="96"/>
    </row>
    <row r="11" spans="1:33" hidden="1">
      <c r="F11" s="95"/>
      <c r="G11" s="96"/>
      <c r="H11" s="96"/>
      <c r="I11" s="96"/>
      <c r="J11" s="96"/>
      <c r="K11" s="96"/>
      <c r="L11" s="96"/>
      <c r="M11" s="96"/>
      <c r="N11" s="96"/>
      <c r="O11" s="96"/>
      <c r="P11" s="96"/>
      <c r="Q11" s="96"/>
      <c r="R11" s="96"/>
      <c r="S11" s="96"/>
      <c r="T11" s="96"/>
    </row>
    <row r="12" spans="1:33" ht="15.75" thickBot="1">
      <c r="F12" s="95"/>
      <c r="G12" s="96"/>
      <c r="H12" s="96"/>
      <c r="I12" s="96"/>
      <c r="J12" s="96"/>
      <c r="K12" s="96"/>
      <c r="L12" s="96"/>
      <c r="M12" s="96"/>
      <c r="N12" s="96"/>
      <c r="O12" s="96"/>
      <c r="P12" s="96"/>
      <c r="Q12" s="96"/>
      <c r="R12" s="96"/>
      <c r="S12" s="96"/>
      <c r="T12" s="96"/>
      <c r="U12" s="95"/>
      <c r="V12" s="95"/>
      <c r="W12" s="95"/>
      <c r="X12" s="95"/>
      <c r="Y12" s="95"/>
      <c r="Z12" s="95"/>
      <c r="AA12" s="95"/>
      <c r="AB12" s="95"/>
      <c r="AG12" s="625" t="str">
        <f>Translate!A496</f>
        <v>Projects emissions</v>
      </c>
    </row>
    <row r="13" spans="1:33" ht="29.1" customHeight="1" thickBot="1">
      <c r="F13" s="95"/>
      <c r="G13" s="533"/>
      <c r="H13" s="534" t="str">
        <f>Translate!$A$156</f>
        <v>Comparison sheet</v>
      </c>
      <c r="I13" s="535"/>
      <c r="J13" s="535"/>
      <c r="K13" s="535"/>
      <c r="L13" s="535"/>
      <c r="M13" s="535"/>
      <c r="N13" s="535"/>
      <c r="O13" s="535"/>
      <c r="P13" s="535"/>
      <c r="Q13" s="535"/>
      <c r="R13" s="535"/>
      <c r="S13" s="535"/>
      <c r="T13" s="536"/>
      <c r="U13" s="95"/>
      <c r="V13" s="95"/>
      <c r="W13" s="95"/>
      <c r="X13" s="95"/>
      <c r="Y13" s="95"/>
      <c r="Z13" s="95"/>
      <c r="AA13" s="95"/>
      <c r="AB13" s="95"/>
      <c r="AG13" s="625" t="str">
        <f>Translate!A173</f>
        <v>emissions repartition</v>
      </c>
    </row>
    <row r="14" spans="1:33" ht="15.75" thickBot="1">
      <c r="A14" s="95"/>
      <c r="B14" s="95"/>
      <c r="C14" s="95"/>
      <c r="D14" s="95"/>
      <c r="E14" s="95"/>
      <c r="F14" s="95"/>
      <c r="G14" s="382"/>
      <c r="H14" s="346"/>
      <c r="I14" s="346"/>
      <c r="J14" s="346"/>
      <c r="K14" s="346"/>
      <c r="L14" s="346"/>
      <c r="M14" s="346"/>
      <c r="N14" s="346"/>
      <c r="O14" s="346"/>
      <c r="P14" s="346"/>
      <c r="Q14" s="346"/>
      <c r="R14" s="346"/>
      <c r="S14" s="346"/>
      <c r="T14" s="347"/>
      <c r="U14" s="95"/>
      <c r="V14" s="95"/>
      <c r="W14" s="95"/>
      <c r="X14" s="95"/>
      <c r="Y14" s="95"/>
      <c r="Z14" s="95"/>
      <c r="AA14" s="95"/>
      <c r="AB14" s="95"/>
      <c r="AG14" s="625" t="str">
        <f>Translate!A172</f>
        <v>Projects emission repartitions</v>
      </c>
    </row>
    <row r="15" spans="1:33" ht="16.5" thickBot="1">
      <c r="A15" s="95"/>
      <c r="B15" s="95"/>
      <c r="C15" s="95"/>
      <c r="D15" s="95"/>
      <c r="E15" s="95"/>
      <c r="F15" s="95"/>
      <c r="G15" s="136"/>
      <c r="H15" s="96"/>
      <c r="I15" s="96"/>
      <c r="J15" s="348" t="str">
        <f>Translate!$A$166</f>
        <v>Select the subprojects and projects that you want to compare</v>
      </c>
      <c r="K15" s="346"/>
      <c r="L15" s="346"/>
      <c r="M15" s="346"/>
      <c r="N15" s="346"/>
      <c r="O15" s="347"/>
      <c r="P15" s="96"/>
      <c r="Q15" s="96"/>
      <c r="R15" s="96"/>
      <c r="S15" s="96"/>
      <c r="T15" s="137"/>
      <c r="U15" s="95"/>
      <c r="V15" s="95"/>
      <c r="W15" s="95"/>
      <c r="X15" s="95"/>
      <c r="Y15" s="95"/>
      <c r="Z15" s="95"/>
      <c r="AA15" s="95"/>
      <c r="AB15" s="95"/>
      <c r="AG15" s="625" t="str">
        <f>Translate!A173</f>
        <v>emissions repartition</v>
      </c>
    </row>
    <row r="16" spans="1:33" ht="15.75" thickBot="1">
      <c r="A16" s="95"/>
      <c r="B16" s="95"/>
      <c r="C16" s="95"/>
      <c r="D16" s="95"/>
      <c r="E16" s="95"/>
      <c r="F16" s="95"/>
      <c r="G16" s="136"/>
      <c r="H16" s="96"/>
      <c r="I16" s="96"/>
      <c r="J16" s="496"/>
      <c r="K16" s="496"/>
      <c r="L16" s="496"/>
      <c r="M16" s="496"/>
      <c r="N16" s="496"/>
      <c r="O16" s="497"/>
      <c r="P16" s="96"/>
      <c r="Q16" s="96"/>
      <c r="R16" s="96"/>
      <c r="S16" s="96"/>
      <c r="T16" s="137"/>
      <c r="U16" s="95"/>
      <c r="V16" s="95"/>
      <c r="W16" s="95"/>
      <c r="X16" s="95"/>
      <c r="Y16" s="95"/>
      <c r="Z16" s="95"/>
      <c r="AA16" s="95"/>
      <c r="AB16" s="95"/>
      <c r="AG16" s="625" t="str">
        <f>Translate!A136</f>
        <v>Materials detail</v>
      </c>
    </row>
    <row r="17" spans="1:33" ht="12" hidden="1" customHeight="1">
      <c r="A17" s="95"/>
      <c r="B17" s="95"/>
      <c r="C17" s="95"/>
      <c r="D17" s="95"/>
      <c r="E17" s="95"/>
      <c r="F17" s="95"/>
      <c r="G17" s="136"/>
      <c r="H17" s="96"/>
      <c r="I17" s="96"/>
      <c r="J17" s="96">
        <f t="shared" ref="J17:O17" ca="1" si="0">IF(ISERROR(INDIRECT("'"&amp;J16&amp;"'!A1")),0,1)</f>
        <v>0</v>
      </c>
      <c r="K17" s="96">
        <f t="shared" ca="1" si="0"/>
        <v>0</v>
      </c>
      <c r="L17" s="96">
        <f t="shared" ca="1" si="0"/>
        <v>0</v>
      </c>
      <c r="M17" s="96">
        <f t="shared" ca="1" si="0"/>
        <v>0</v>
      </c>
      <c r="N17" s="96">
        <f t="shared" ca="1" si="0"/>
        <v>0</v>
      </c>
      <c r="O17" s="96">
        <f t="shared" ca="1" si="0"/>
        <v>0</v>
      </c>
      <c r="P17" s="96">
        <v>1</v>
      </c>
      <c r="Q17" s="96"/>
      <c r="R17" s="96"/>
      <c r="S17" s="96"/>
      <c r="T17" s="137"/>
      <c r="U17" s="95"/>
      <c r="V17" s="95"/>
      <c r="W17" s="95"/>
      <c r="X17" s="95"/>
      <c r="Y17" s="95"/>
      <c r="Z17" s="95"/>
      <c r="AA17" s="95"/>
      <c r="AB17" s="95"/>
    </row>
    <row r="18" spans="1:33">
      <c r="A18" s="95"/>
      <c r="B18" s="95"/>
      <c r="C18" s="95"/>
      <c r="D18" s="95"/>
      <c r="E18" s="95"/>
      <c r="F18" s="95"/>
      <c r="G18" s="136"/>
      <c r="H18" s="96"/>
      <c r="I18" s="96"/>
      <c r="J18" s="96"/>
      <c r="K18" s="96"/>
      <c r="L18" s="96"/>
      <c r="M18" s="96"/>
      <c r="N18" s="96"/>
      <c r="O18" s="96"/>
      <c r="P18" s="96"/>
      <c r="Q18" s="96"/>
      <c r="R18" s="96"/>
      <c r="S18" s="96"/>
      <c r="T18" s="137"/>
      <c r="U18" s="95"/>
      <c r="V18" s="95"/>
      <c r="W18" s="95"/>
      <c r="X18" s="95"/>
      <c r="Y18" s="95"/>
      <c r="Z18" s="95"/>
      <c r="AA18" s="95"/>
      <c r="AB18" s="95"/>
    </row>
    <row r="19" spans="1:33" ht="12" customHeight="1" thickBot="1">
      <c r="A19" s="95"/>
      <c r="B19" s="95"/>
      <c r="C19" s="95"/>
      <c r="D19" s="95"/>
      <c r="E19" s="95"/>
      <c r="F19" s="95"/>
      <c r="G19" s="136"/>
      <c r="H19" s="96"/>
      <c r="I19" s="96"/>
      <c r="J19" s="96"/>
      <c r="K19" s="96"/>
      <c r="L19" s="96"/>
      <c r="M19" s="96"/>
      <c r="N19" s="96"/>
      <c r="O19" s="96"/>
      <c r="P19" s="96"/>
      <c r="Q19" s="96"/>
      <c r="R19" s="96"/>
      <c r="S19" s="96"/>
      <c r="T19" s="137"/>
      <c r="U19" s="95"/>
      <c r="V19" s="95"/>
      <c r="W19" s="95"/>
      <c r="X19" s="95"/>
      <c r="Y19" s="95"/>
      <c r="Z19" s="95"/>
      <c r="AA19" s="95"/>
      <c r="AB19" s="95"/>
    </row>
    <row r="20" spans="1:33" ht="15" customHeight="1">
      <c r="A20" s="320"/>
      <c r="B20" s="95"/>
      <c r="C20" s="95"/>
      <c r="D20" s="95"/>
      <c r="E20" s="95"/>
      <c r="F20" s="95"/>
      <c r="G20" s="560"/>
      <c r="H20" s="561"/>
      <c r="I20" s="821"/>
      <c r="J20" s="821"/>
      <c r="K20" s="821"/>
      <c r="L20" s="561"/>
      <c r="M20" s="561"/>
      <c r="N20" s="561"/>
      <c r="O20" s="561"/>
      <c r="P20" s="561"/>
      <c r="Q20" s="561"/>
      <c r="R20" s="561"/>
      <c r="S20" s="561"/>
      <c r="T20" s="562"/>
      <c r="U20" s="320"/>
      <c r="V20" s="320"/>
      <c r="W20" s="320"/>
      <c r="X20" s="320"/>
      <c r="Y20" s="320"/>
      <c r="Z20" s="320"/>
      <c r="AA20" s="320"/>
      <c r="AB20" s="320"/>
      <c r="AC20" s="320"/>
      <c r="AD20" s="320"/>
      <c r="AG20" s="609" t="str">
        <f>Translate!$A$172</f>
        <v>Projects emission repartitions</v>
      </c>
    </row>
    <row r="21" spans="1:33" ht="15" customHeight="1">
      <c r="A21" s="95"/>
      <c r="B21" s="95"/>
      <c r="C21" s="95"/>
      <c r="D21" s="95"/>
      <c r="E21" s="95"/>
      <c r="F21" s="95"/>
      <c r="G21" s="568"/>
      <c r="H21" s="567"/>
      <c r="I21" s="822"/>
      <c r="J21" s="822"/>
      <c r="K21" s="822"/>
      <c r="L21" s="564"/>
      <c r="M21" s="563"/>
      <c r="N21" s="563"/>
      <c r="O21" s="567"/>
      <c r="P21" s="567"/>
      <c r="Q21" s="567"/>
      <c r="R21" s="567"/>
      <c r="S21" s="567"/>
      <c r="T21" s="566"/>
      <c r="U21" s="565"/>
      <c r="V21" s="565"/>
      <c r="W21" s="565"/>
      <c r="X21" s="565"/>
      <c r="Y21" s="565"/>
      <c r="Z21" s="565"/>
      <c r="AA21" s="565"/>
      <c r="AB21" s="565"/>
      <c r="AC21" s="565"/>
      <c r="AD21" s="565"/>
      <c r="AG21" s="610" t="str">
        <f>Translate!$A$173</f>
        <v>emissions repartition</v>
      </c>
    </row>
    <row r="22" spans="1:33" ht="15" customHeight="1">
      <c r="A22" s="95"/>
      <c r="B22" s="95"/>
      <c r="C22" s="95"/>
      <c r="D22" s="95"/>
      <c r="E22" s="95"/>
      <c r="F22" s="95"/>
      <c r="G22" s="568"/>
      <c r="H22" s="567"/>
      <c r="I22" s="822"/>
      <c r="J22" s="822"/>
      <c r="K22" s="822"/>
      <c r="L22" s="564"/>
      <c r="M22" s="564"/>
      <c r="N22" s="564"/>
      <c r="O22" s="567"/>
      <c r="P22" s="567"/>
      <c r="Q22" s="567"/>
      <c r="R22" s="567"/>
      <c r="S22" s="567"/>
      <c r="T22" s="566"/>
      <c r="U22" s="565"/>
      <c r="V22" s="565"/>
      <c r="W22" s="565"/>
      <c r="X22" s="565"/>
      <c r="Y22" s="565"/>
      <c r="Z22" s="565"/>
      <c r="AA22" s="565"/>
      <c r="AB22" s="565"/>
      <c r="AC22" s="565"/>
      <c r="AD22" s="565"/>
      <c r="AG22" s="609" t="str">
        <f>Translate!$A$136</f>
        <v>Materials detail</v>
      </c>
    </row>
    <row r="23" spans="1:33" ht="15" customHeight="1">
      <c r="A23" s="95"/>
      <c r="B23" s="95"/>
      <c r="C23" s="95"/>
      <c r="D23" s="95"/>
      <c r="E23" s="95"/>
      <c r="F23" s="95"/>
      <c r="G23" s="568"/>
      <c r="H23" s="567"/>
      <c r="I23" s="564"/>
      <c r="J23" s="563"/>
      <c r="K23" s="563"/>
      <c r="L23" s="564"/>
      <c r="M23" s="563"/>
      <c r="N23" s="563"/>
      <c r="O23" s="567"/>
      <c r="P23" s="567"/>
      <c r="Q23" s="567"/>
      <c r="R23" s="567"/>
      <c r="S23" s="567"/>
      <c r="T23" s="566"/>
      <c r="U23" s="565"/>
      <c r="V23" s="565"/>
      <c r="W23" s="565"/>
      <c r="X23" s="565"/>
      <c r="Y23" s="565"/>
      <c r="Z23" s="565"/>
      <c r="AA23" s="565"/>
      <c r="AB23" s="565"/>
      <c r="AC23" s="565"/>
      <c r="AD23" s="565"/>
    </row>
    <row r="24" spans="1:33" ht="15" customHeight="1">
      <c r="A24" s="95"/>
      <c r="B24" s="95"/>
      <c r="C24" s="95"/>
      <c r="D24" s="95"/>
      <c r="E24" s="95"/>
      <c r="F24" s="95"/>
      <c r="G24" s="568"/>
      <c r="H24" s="567"/>
      <c r="I24" s="564"/>
      <c r="J24" s="564"/>
      <c r="K24" s="564"/>
      <c r="L24"/>
      <c r="M24"/>
      <c r="N24"/>
      <c r="O24" s="567"/>
      <c r="P24" s="567"/>
      <c r="Q24" s="567"/>
      <c r="R24" s="567"/>
      <c r="S24" s="567"/>
      <c r="T24" s="566"/>
      <c r="U24" s="565"/>
      <c r="V24" s="565"/>
      <c r="W24" s="565"/>
      <c r="X24" s="565"/>
      <c r="Y24" s="565"/>
      <c r="Z24" s="565"/>
      <c r="AA24" s="565"/>
      <c r="AB24" s="565"/>
      <c r="AC24" s="565"/>
      <c r="AD24" s="565"/>
    </row>
    <row r="25" spans="1:33" ht="15" customHeight="1" thickBot="1">
      <c r="A25" s="95"/>
      <c r="B25" s="95"/>
      <c r="C25" s="95"/>
      <c r="D25" s="95"/>
      <c r="E25" s="95"/>
      <c r="F25" s="95"/>
      <c r="G25" s="568"/>
      <c r="H25" s="567"/>
      <c r="I25" s="564"/>
      <c r="J25" s="563"/>
      <c r="K25" s="563"/>
      <c r="L25"/>
      <c r="M25"/>
      <c r="N25"/>
      <c r="O25" s="567"/>
      <c r="P25" s="567"/>
      <c r="Q25" s="567"/>
      <c r="R25" s="567"/>
      <c r="S25" s="567"/>
      <c r="T25" s="566"/>
      <c r="U25" s="565"/>
      <c r="V25" s="565"/>
      <c r="W25" s="565"/>
      <c r="X25" s="565"/>
      <c r="Y25" s="565"/>
      <c r="Z25" s="565"/>
      <c r="AA25" s="565"/>
      <c r="AB25" s="565"/>
      <c r="AC25" s="565"/>
      <c r="AD25" s="565"/>
    </row>
    <row r="26" spans="1:33" ht="33.75" customHeight="1" thickBot="1">
      <c r="A26" s="95"/>
      <c r="B26" s="95"/>
      <c r="C26" s="95"/>
      <c r="D26" s="95"/>
      <c r="E26" s="95"/>
      <c r="F26" s="95"/>
      <c r="G26" s="533"/>
      <c r="H26" s="534" t="str">
        <f>Translate!$A$157</f>
        <v>Comparison sheet (1/2)</v>
      </c>
      <c r="I26" s="535"/>
      <c r="J26" s="535"/>
      <c r="K26" s="535"/>
      <c r="L26" s="535"/>
      <c r="M26" s="535"/>
      <c r="N26" s="535"/>
      <c r="O26" s="535"/>
      <c r="P26" s="535"/>
      <c r="Q26" s="535"/>
      <c r="R26" s="535"/>
      <c r="S26" s="535"/>
      <c r="T26" s="536"/>
      <c r="U26" s="95"/>
      <c r="V26" s="95"/>
      <c r="W26" s="95"/>
      <c r="X26" s="95"/>
      <c r="Y26" s="95"/>
      <c r="Z26" s="95"/>
      <c r="AA26" s="95"/>
      <c r="AB26" s="95"/>
    </row>
    <row r="27" spans="1:33">
      <c r="A27" s="95"/>
      <c r="B27" s="95"/>
      <c r="C27" s="95"/>
      <c r="D27" s="95"/>
      <c r="E27" s="95"/>
      <c r="F27" s="95"/>
      <c r="G27" s="517"/>
      <c r="H27" s="518"/>
      <c r="I27" s="518"/>
      <c r="J27" s="518"/>
      <c r="K27" s="518"/>
      <c r="L27" s="518"/>
      <c r="M27" s="518"/>
      <c r="N27" s="518"/>
      <c r="O27" s="518"/>
      <c r="P27" s="518"/>
      <c r="Q27" s="518"/>
      <c r="R27" s="518"/>
      <c r="S27" s="518"/>
      <c r="T27" s="519"/>
      <c r="U27" s="95"/>
      <c r="V27" s="95"/>
      <c r="W27" s="95"/>
      <c r="X27" s="95"/>
      <c r="Y27" s="95"/>
      <c r="Z27" s="95"/>
      <c r="AA27" s="95"/>
      <c r="AB27" s="95"/>
    </row>
    <row r="28" spans="1:33" ht="15.75">
      <c r="A28" s="95"/>
      <c r="B28" s="95"/>
      <c r="C28" s="95"/>
      <c r="D28" s="95"/>
      <c r="E28" s="95"/>
      <c r="F28" s="95"/>
      <c r="G28" s="520"/>
      <c r="H28" s="372"/>
      <c r="I28" s="372"/>
      <c r="J28" s="540" t="str">
        <f t="shared" ref="J28:O28" ca="1" si="1">IF(J$17,J16,"")</f>
        <v/>
      </c>
      <c r="K28" s="540" t="str">
        <f t="shared" ca="1" si="1"/>
        <v/>
      </c>
      <c r="L28" s="540" t="str">
        <f t="shared" ca="1" si="1"/>
        <v/>
      </c>
      <c r="M28" s="540" t="str">
        <f t="shared" ca="1" si="1"/>
        <v/>
      </c>
      <c r="N28" s="540" t="str">
        <f t="shared" ca="1" si="1"/>
        <v/>
      </c>
      <c r="O28" s="540" t="str">
        <f t="shared" ca="1" si="1"/>
        <v/>
      </c>
      <c r="P28" s="541" t="s">
        <v>77</v>
      </c>
      <c r="Q28" s="372"/>
      <c r="R28" s="372"/>
      <c r="S28" s="372"/>
      <c r="T28" s="523"/>
      <c r="U28" s="95"/>
      <c r="V28" s="95"/>
      <c r="W28" s="95"/>
      <c r="X28" s="95"/>
      <c r="Y28" s="95"/>
      <c r="Z28" s="95"/>
      <c r="AA28" s="95"/>
      <c r="AB28" s="95"/>
    </row>
    <row r="29" spans="1:33" ht="15.75">
      <c r="A29" s="95" t="s">
        <v>399</v>
      </c>
      <c r="B29" s="95"/>
      <c r="C29" s="95"/>
      <c r="D29" s="95"/>
      <c r="E29" s="95"/>
      <c r="F29" s="95"/>
      <c r="G29" s="520"/>
      <c r="H29" s="372"/>
      <c r="I29" s="433" t="str">
        <f>Translate!$A$104</f>
        <v>Materials</v>
      </c>
      <c r="J29" s="521" t="str">
        <f t="shared" ref="J29:O35" ca="1" si="2">IF(J$17,INDIRECT("'"&amp;J$16&amp;"'!"&amp;$A29),"")</f>
        <v/>
      </c>
      <c r="K29" s="521" t="str">
        <f t="shared" ca="1" si="2"/>
        <v/>
      </c>
      <c r="L29" s="521" t="str">
        <f t="shared" ca="1" si="2"/>
        <v/>
      </c>
      <c r="M29" s="521" t="str">
        <f t="shared" ca="1" si="2"/>
        <v/>
      </c>
      <c r="N29" s="521" t="str">
        <f t="shared" ca="1" si="2"/>
        <v/>
      </c>
      <c r="O29" s="521" t="str">
        <f t="shared" ca="1" si="2"/>
        <v/>
      </c>
      <c r="P29" s="524">
        <f t="shared" ref="P29:P35" ca="1" si="3">IF(ISERROR(AVERAGE(J29:O29)),0,AVERAGE(J29:O29))</f>
        <v>0</v>
      </c>
      <c r="Q29" s="525" t="str">
        <f>Translate!$A$115</f>
        <v>tCO2e</v>
      </c>
      <c r="R29" s="372"/>
      <c r="S29" s="372"/>
      <c r="T29" s="523"/>
      <c r="U29" s="95"/>
      <c r="V29" s="95"/>
      <c r="W29" s="95"/>
      <c r="X29" s="95"/>
      <c r="Y29" s="95"/>
      <c r="Z29" s="95"/>
      <c r="AA29" s="95"/>
      <c r="AB29" s="95"/>
    </row>
    <row r="30" spans="1:33" ht="15.75">
      <c r="A30" s="95" t="s">
        <v>400</v>
      </c>
      <c r="B30" s="95"/>
      <c r="C30" s="95"/>
      <c r="D30" s="95"/>
      <c r="E30" s="95"/>
      <c r="F30" s="95"/>
      <c r="G30" s="520"/>
      <c r="H30" s="372"/>
      <c r="I30" s="433" t="str">
        <f>Translate!$A$105</f>
        <v>Energy</v>
      </c>
      <c r="J30" s="521" t="str">
        <f t="shared" ca="1" si="2"/>
        <v/>
      </c>
      <c r="K30" s="521" t="str">
        <f t="shared" ca="1" si="2"/>
        <v/>
      </c>
      <c r="L30" s="521" t="str">
        <f t="shared" ca="1" si="2"/>
        <v/>
      </c>
      <c r="M30" s="521" t="str">
        <f t="shared" ca="1" si="2"/>
        <v/>
      </c>
      <c r="N30" s="521" t="str">
        <f t="shared" ca="1" si="2"/>
        <v/>
      </c>
      <c r="O30" s="521" t="str">
        <f t="shared" ca="1" si="2"/>
        <v/>
      </c>
      <c r="P30" s="524">
        <f t="shared" ca="1" si="3"/>
        <v>0</v>
      </c>
      <c r="Q30" s="525" t="str">
        <f>Translate!$A$115</f>
        <v>tCO2e</v>
      </c>
      <c r="R30" s="372"/>
      <c r="S30" s="372"/>
      <c r="T30" s="523"/>
      <c r="U30" s="95"/>
      <c r="V30" s="95"/>
      <c r="W30" s="95"/>
      <c r="X30" s="95"/>
      <c r="Y30" s="95"/>
      <c r="Z30" s="95"/>
      <c r="AA30" s="95"/>
      <c r="AB30" s="95"/>
    </row>
    <row r="31" spans="1:33" ht="15.75">
      <c r="A31" s="95" t="s">
        <v>401</v>
      </c>
      <c r="B31" s="95"/>
      <c r="C31" s="95"/>
      <c r="D31" s="95"/>
      <c r="E31" s="95"/>
      <c r="F31" s="95"/>
      <c r="G31" s="520"/>
      <c r="H31" s="372"/>
      <c r="I31" s="433" t="str">
        <f>Translate!$A$106</f>
        <v>Freight</v>
      </c>
      <c r="J31" s="521" t="str">
        <f t="shared" ca="1" si="2"/>
        <v/>
      </c>
      <c r="K31" s="521" t="str">
        <f t="shared" ca="1" si="2"/>
        <v/>
      </c>
      <c r="L31" s="521" t="str">
        <f t="shared" ca="1" si="2"/>
        <v/>
      </c>
      <c r="M31" s="521" t="str">
        <f t="shared" ca="1" si="2"/>
        <v/>
      </c>
      <c r="N31" s="521" t="str">
        <f t="shared" ca="1" si="2"/>
        <v/>
      </c>
      <c r="O31" s="521" t="str">
        <f t="shared" ca="1" si="2"/>
        <v/>
      </c>
      <c r="P31" s="524">
        <f t="shared" ca="1" si="3"/>
        <v>0</v>
      </c>
      <c r="Q31" s="525" t="str">
        <f>Translate!$A$115</f>
        <v>tCO2e</v>
      </c>
      <c r="R31" s="372"/>
      <c r="S31" s="372"/>
      <c r="T31" s="523"/>
      <c r="U31" s="95"/>
      <c r="V31" s="95"/>
      <c r="W31" s="95"/>
      <c r="X31" s="95"/>
      <c r="Y31" s="95"/>
      <c r="Z31" s="95"/>
      <c r="AA31" s="95"/>
      <c r="AB31" s="95"/>
    </row>
    <row r="32" spans="1:33" ht="15.75">
      <c r="A32" s="95" t="s">
        <v>402</v>
      </c>
      <c r="B32" s="95"/>
      <c r="C32" s="95"/>
      <c r="D32" s="95"/>
      <c r="E32" s="95"/>
      <c r="F32" s="95"/>
      <c r="G32" s="520"/>
      <c r="H32" s="372"/>
      <c r="I32" s="433" t="str">
        <f>Translate!$A$107</f>
        <v>Mob/demob</v>
      </c>
      <c r="J32" s="521" t="str">
        <f t="shared" ca="1" si="2"/>
        <v/>
      </c>
      <c r="K32" s="521" t="str">
        <f t="shared" ca="1" si="2"/>
        <v/>
      </c>
      <c r="L32" s="521" t="str">
        <f t="shared" ca="1" si="2"/>
        <v/>
      </c>
      <c r="M32" s="521" t="str">
        <f t="shared" ca="1" si="2"/>
        <v/>
      </c>
      <c r="N32" s="521" t="str">
        <f t="shared" ca="1" si="2"/>
        <v/>
      </c>
      <c r="O32" s="521" t="str">
        <f t="shared" ca="1" si="2"/>
        <v/>
      </c>
      <c r="P32" s="524">
        <f t="shared" ca="1" si="3"/>
        <v>0</v>
      </c>
      <c r="Q32" s="525" t="str">
        <f>Translate!$A$115</f>
        <v>tCO2e</v>
      </c>
      <c r="R32" s="372"/>
      <c r="S32" s="372"/>
      <c r="T32" s="523"/>
      <c r="U32" s="95"/>
      <c r="V32" s="95"/>
      <c r="W32" s="95"/>
      <c r="X32" s="95"/>
      <c r="Y32" s="95"/>
      <c r="Z32" s="95"/>
      <c r="AA32" s="95"/>
      <c r="AB32" s="95"/>
    </row>
    <row r="33" spans="1:28" ht="15.75">
      <c r="A33" s="95" t="s">
        <v>403</v>
      </c>
      <c r="B33" s="95"/>
      <c r="C33" s="95"/>
      <c r="D33" s="95"/>
      <c r="E33" s="95"/>
      <c r="F33" s="95"/>
      <c r="G33" s="520"/>
      <c r="H33" s="372"/>
      <c r="I33" s="433" t="str">
        <f>Translate!$A$108</f>
        <v>People's transportation</v>
      </c>
      <c r="J33" s="521" t="str">
        <f t="shared" ca="1" si="2"/>
        <v/>
      </c>
      <c r="K33" s="521" t="str">
        <f t="shared" ca="1" si="2"/>
        <v/>
      </c>
      <c r="L33" s="521" t="str">
        <f t="shared" ca="1" si="2"/>
        <v/>
      </c>
      <c r="M33" s="521" t="str">
        <f t="shared" ca="1" si="2"/>
        <v/>
      </c>
      <c r="N33" s="521" t="str">
        <f t="shared" ca="1" si="2"/>
        <v/>
      </c>
      <c r="O33" s="521" t="str">
        <f t="shared" ca="1" si="2"/>
        <v/>
      </c>
      <c r="P33" s="524">
        <f t="shared" ca="1" si="3"/>
        <v>0</v>
      </c>
      <c r="Q33" s="525" t="str">
        <f>Translate!$A$115</f>
        <v>tCO2e</v>
      </c>
      <c r="R33" s="372"/>
      <c r="S33" s="372"/>
      <c r="T33" s="523"/>
      <c r="U33" s="95"/>
      <c r="V33" s="95"/>
      <c r="W33" s="95"/>
      <c r="X33" s="95"/>
      <c r="Y33" s="95"/>
      <c r="Z33" s="95"/>
      <c r="AA33" s="95"/>
      <c r="AB33" s="95"/>
    </row>
    <row r="34" spans="1:28" ht="15.75">
      <c r="A34" s="95" t="s">
        <v>404</v>
      </c>
      <c r="B34" s="95"/>
      <c r="C34" s="95"/>
      <c r="D34" s="95"/>
      <c r="E34" s="95"/>
      <c r="F34" s="95"/>
      <c r="G34" s="520"/>
      <c r="H34" s="372"/>
      <c r="I34" s="433" t="str">
        <f>Translate!$A$109</f>
        <v>Assets</v>
      </c>
      <c r="J34" s="521" t="str">
        <f t="shared" ca="1" si="2"/>
        <v/>
      </c>
      <c r="K34" s="521" t="str">
        <f t="shared" ca="1" si="2"/>
        <v/>
      </c>
      <c r="L34" s="521" t="str">
        <f t="shared" ca="1" si="2"/>
        <v/>
      </c>
      <c r="M34" s="521" t="str">
        <f t="shared" ca="1" si="2"/>
        <v/>
      </c>
      <c r="N34" s="521" t="str">
        <f t="shared" ca="1" si="2"/>
        <v/>
      </c>
      <c r="O34" s="521" t="str">
        <f t="shared" ca="1" si="2"/>
        <v/>
      </c>
      <c r="P34" s="524">
        <f t="shared" ca="1" si="3"/>
        <v>0</v>
      </c>
      <c r="Q34" s="525" t="str">
        <f>Translate!$A$115</f>
        <v>tCO2e</v>
      </c>
      <c r="R34" s="372"/>
      <c r="S34" s="372"/>
      <c r="T34" s="523"/>
      <c r="U34" s="95"/>
      <c r="V34" s="95"/>
      <c r="W34" s="95"/>
      <c r="X34" s="95"/>
      <c r="Y34" s="95"/>
      <c r="Z34" s="95"/>
      <c r="AA34" s="95"/>
      <c r="AB34" s="95"/>
    </row>
    <row r="35" spans="1:28" ht="15.75">
      <c r="A35" s="95" t="s">
        <v>405</v>
      </c>
      <c r="B35" s="95"/>
      <c r="C35" s="95"/>
      <c r="D35" s="95"/>
      <c r="E35" s="95"/>
      <c r="F35" s="95"/>
      <c r="G35" s="520"/>
      <c r="H35" s="372"/>
      <c r="I35" s="433" t="str">
        <f>Translate!$A$110</f>
        <v>Waste</v>
      </c>
      <c r="J35" s="521" t="str">
        <f t="shared" ca="1" si="2"/>
        <v/>
      </c>
      <c r="K35" s="521" t="str">
        <f t="shared" ca="1" si="2"/>
        <v/>
      </c>
      <c r="L35" s="521" t="str">
        <f t="shared" ca="1" si="2"/>
        <v/>
      </c>
      <c r="M35" s="521" t="str">
        <f t="shared" ca="1" si="2"/>
        <v/>
      </c>
      <c r="N35" s="521" t="str">
        <f t="shared" ca="1" si="2"/>
        <v/>
      </c>
      <c r="O35" s="521" t="str">
        <f t="shared" ca="1" si="2"/>
        <v/>
      </c>
      <c r="P35" s="524">
        <f t="shared" ca="1" si="3"/>
        <v>0</v>
      </c>
      <c r="Q35" s="525" t="str">
        <f>Translate!$A$115</f>
        <v>tCO2e</v>
      </c>
      <c r="R35" s="372"/>
      <c r="S35" s="372"/>
      <c r="T35" s="523"/>
      <c r="U35" s="95"/>
      <c r="V35" s="95"/>
      <c r="W35" s="95"/>
      <c r="X35" s="95"/>
      <c r="Y35" s="95"/>
      <c r="Z35" s="95"/>
      <c r="AA35" s="95"/>
      <c r="AB35" s="95"/>
    </row>
    <row r="36" spans="1:28" ht="15.75">
      <c r="A36" s="95"/>
      <c r="B36" s="95"/>
      <c r="C36" s="95"/>
      <c r="D36" s="95"/>
      <c r="E36" s="95"/>
      <c r="F36" s="95"/>
      <c r="G36" s="520"/>
      <c r="H36" s="372"/>
      <c r="I36" s="526" t="str">
        <f>Translate!$A$134</f>
        <v>Total</v>
      </c>
      <c r="J36" s="524">
        <f t="shared" ref="J36:P36" ca="1" si="4">IF(SUM(J29:J35)=0,0,ROUND(SUM(J29:J35),-ROUNDDOWN(LOG(ABS(SUM(J29:J35))),0)+1))</f>
        <v>0</v>
      </c>
      <c r="K36" s="524">
        <f t="shared" ca="1" si="4"/>
        <v>0</v>
      </c>
      <c r="L36" s="524">
        <f t="shared" ca="1" si="4"/>
        <v>0</v>
      </c>
      <c r="M36" s="524">
        <f t="shared" ca="1" si="4"/>
        <v>0</v>
      </c>
      <c r="N36" s="524">
        <f t="shared" ca="1" si="4"/>
        <v>0</v>
      </c>
      <c r="O36" s="524">
        <f t="shared" ca="1" si="4"/>
        <v>0</v>
      </c>
      <c r="P36" s="524">
        <f t="shared" ca="1" si="4"/>
        <v>0</v>
      </c>
      <c r="Q36" s="525" t="str">
        <f>Translate!$A$115</f>
        <v>tCO2e</v>
      </c>
      <c r="R36" s="372"/>
      <c r="S36" s="372"/>
      <c r="T36" s="523"/>
      <c r="U36" s="95"/>
      <c r="V36" s="95"/>
      <c r="W36" s="95"/>
      <c r="X36" s="95"/>
      <c r="Y36" s="95"/>
      <c r="Z36" s="95"/>
      <c r="AA36" s="95"/>
      <c r="AB36" s="95"/>
    </row>
    <row r="37" spans="1:28" hidden="1">
      <c r="A37" s="95"/>
      <c r="B37" s="95"/>
      <c r="C37" s="95"/>
      <c r="D37" s="95"/>
      <c r="E37" s="95"/>
      <c r="F37" s="95"/>
      <c r="G37" s="520"/>
      <c r="H37" s="372"/>
      <c r="I37" s="372"/>
      <c r="J37" s="372"/>
      <c r="K37" s="372"/>
      <c r="L37" s="372"/>
      <c r="M37" s="372"/>
      <c r="N37" s="372"/>
      <c r="O37" s="372"/>
      <c r="P37" s="372"/>
      <c r="Q37" s="372"/>
      <c r="R37" s="372"/>
      <c r="S37" s="372"/>
      <c r="T37" s="523"/>
      <c r="U37" s="95"/>
      <c r="V37" s="95"/>
      <c r="W37" s="95"/>
      <c r="X37" s="95"/>
      <c r="Y37" s="95"/>
      <c r="Z37" s="95"/>
      <c r="AA37" s="95"/>
      <c r="AB37" s="95"/>
    </row>
    <row r="38" spans="1:28">
      <c r="A38" s="95"/>
      <c r="B38" s="95"/>
      <c r="C38" s="95"/>
      <c r="D38" s="95"/>
      <c r="E38" s="95"/>
      <c r="F38" s="95"/>
      <c r="G38" s="520"/>
      <c r="H38" s="372"/>
      <c r="I38" s="372"/>
      <c r="J38" s="372"/>
      <c r="K38" s="372"/>
      <c r="L38" s="372"/>
      <c r="M38" s="372"/>
      <c r="N38" s="372"/>
      <c r="O38" s="372"/>
      <c r="P38" s="372"/>
      <c r="Q38" s="372"/>
      <c r="R38" s="372"/>
      <c r="S38" s="372"/>
      <c r="T38" s="523"/>
      <c r="U38" s="95"/>
      <c r="V38" s="95"/>
      <c r="W38" s="95"/>
      <c r="X38" s="95"/>
      <c r="Y38" s="95"/>
      <c r="Z38" s="95"/>
      <c r="AA38" s="95"/>
      <c r="AB38" s="95"/>
    </row>
    <row r="39" spans="1:28">
      <c r="A39" s="95" t="s">
        <v>406</v>
      </c>
      <c r="B39" s="95"/>
      <c r="C39" s="95"/>
      <c r="D39" s="95"/>
      <c r="E39" s="95"/>
      <c r="F39" s="95"/>
      <c r="G39" s="520"/>
      <c r="H39" s="372"/>
      <c r="I39" s="527" t="str">
        <f>Translate!$A$67</f>
        <v>Working days</v>
      </c>
      <c r="J39" s="521" t="str">
        <f t="shared" ref="J39:O43" ca="1" si="5">IF(J$17,INDIRECT("'"&amp;J$16&amp;"'!"&amp;$A39),"")</f>
        <v/>
      </c>
      <c r="K39" s="521" t="str">
        <f t="shared" ca="1" si="5"/>
        <v/>
      </c>
      <c r="L39" s="521" t="str">
        <f t="shared" ca="1" si="5"/>
        <v/>
      </c>
      <c r="M39" s="521" t="str">
        <f t="shared" ca="1" si="5"/>
        <v/>
      </c>
      <c r="N39" s="521" t="str">
        <f t="shared" ca="1" si="5"/>
        <v/>
      </c>
      <c r="O39" s="521" t="str">
        <f t="shared" ca="1" si="5"/>
        <v/>
      </c>
      <c r="P39" s="539">
        <f ca="1">IF(ISERROR(AVERAGE(J39:O39)),0,AVERAGE(J39:O39))</f>
        <v>0</v>
      </c>
      <c r="Q39" s="525" t="str">
        <f>Translate!$A$129</f>
        <v>days</v>
      </c>
      <c r="R39" s="372"/>
      <c r="S39" s="372"/>
      <c r="T39" s="523"/>
      <c r="U39" s="95"/>
      <c r="V39" s="95"/>
      <c r="W39" s="95"/>
      <c r="X39" s="95"/>
      <c r="Y39" s="95"/>
      <c r="Z39" s="95"/>
      <c r="AA39" s="95"/>
      <c r="AB39" s="95"/>
    </row>
    <row r="40" spans="1:28">
      <c r="A40" s="95" t="s">
        <v>407</v>
      </c>
      <c r="B40" s="95"/>
      <c r="C40" s="95"/>
      <c r="D40" s="95"/>
      <c r="E40" s="95"/>
      <c r="F40" s="95"/>
      <c r="G40" s="520"/>
      <c r="H40" s="372"/>
      <c r="I40" s="527" t="str">
        <f>Translate!$A$68</f>
        <v>Workforce</v>
      </c>
      <c r="J40" s="521" t="str">
        <f t="shared" ca="1" si="5"/>
        <v/>
      </c>
      <c r="K40" s="521" t="str">
        <f t="shared" ca="1" si="5"/>
        <v/>
      </c>
      <c r="L40" s="521" t="str">
        <f t="shared" ca="1" si="5"/>
        <v/>
      </c>
      <c r="M40" s="521" t="str">
        <f t="shared" ca="1" si="5"/>
        <v/>
      </c>
      <c r="N40" s="521" t="str">
        <f t="shared" ca="1" si="5"/>
        <v/>
      </c>
      <c r="O40" s="521" t="str">
        <f t="shared" ca="1" si="5"/>
        <v/>
      </c>
      <c r="P40" s="539">
        <f ca="1">IF(ISERROR(AVERAGE(J40:O40)),0,AVERAGE(J40:O40))</f>
        <v>0</v>
      </c>
      <c r="Q40" s="538" t="str">
        <f>Translate!$A$94</f>
        <v>Full-time equivalent</v>
      </c>
      <c r="R40" s="372"/>
      <c r="S40" s="372"/>
      <c r="T40" s="523"/>
      <c r="U40" s="95"/>
      <c r="V40" s="95"/>
      <c r="W40" s="95"/>
      <c r="X40" s="95"/>
      <c r="Y40" s="95"/>
      <c r="Z40" s="95"/>
      <c r="AA40" s="95"/>
      <c r="AB40" s="95"/>
    </row>
    <row r="41" spans="1:28" ht="15.75">
      <c r="A41" s="95" t="s">
        <v>408</v>
      </c>
      <c r="B41" s="95"/>
      <c r="C41" s="95"/>
      <c r="D41" s="95"/>
      <c r="E41" s="95"/>
      <c r="F41" s="95"/>
      <c r="G41" s="520"/>
      <c r="H41" s="372"/>
      <c r="I41" s="527" t="str">
        <f>Translate!$A$69</f>
        <v>Project value</v>
      </c>
      <c r="J41" s="521" t="str">
        <f t="shared" ca="1" si="5"/>
        <v/>
      </c>
      <c r="K41" s="521" t="str">
        <f t="shared" ca="1" si="5"/>
        <v/>
      </c>
      <c r="L41" s="521" t="str">
        <f t="shared" ca="1" si="5"/>
        <v/>
      </c>
      <c r="M41" s="521" t="str">
        <f t="shared" ca="1" si="5"/>
        <v/>
      </c>
      <c r="N41" s="521" t="str">
        <f t="shared" ca="1" si="5"/>
        <v/>
      </c>
      <c r="O41" s="521" t="str">
        <f t="shared" ca="1" si="5"/>
        <v/>
      </c>
      <c r="P41" s="524">
        <f ca="1">IF(ISERROR(AVERAGE(J41:O41)),0,AVERAGE(J41:O41))</f>
        <v>0</v>
      </c>
      <c r="Q41" s="525" t="str">
        <f ca="1">IF(P187&gt;0,Translate!$A$143,J186)</f>
        <v/>
      </c>
      <c r="R41" s="372"/>
      <c r="S41" s="372"/>
      <c r="T41" s="523"/>
      <c r="U41" s="95"/>
      <c r="V41" s="95"/>
      <c r="W41" s="95"/>
      <c r="X41" s="95"/>
      <c r="Y41" s="95"/>
      <c r="Z41" s="95"/>
      <c r="AA41" s="95"/>
      <c r="AB41" s="95"/>
    </row>
    <row r="42" spans="1:28" ht="15.75">
      <c r="A42" s="95" t="s">
        <v>409</v>
      </c>
      <c r="B42" s="95"/>
      <c r="C42" s="95"/>
      <c r="D42" s="95"/>
      <c r="E42" s="95"/>
      <c r="F42" s="95"/>
      <c r="G42" s="520"/>
      <c r="H42" s="372"/>
      <c r="I42" s="527" t="str">
        <f ca="1">IF(P189&gt;0,Translate!$A$71,J188)</f>
        <v/>
      </c>
      <c r="J42" s="521" t="str">
        <f t="shared" ca="1" si="5"/>
        <v/>
      </c>
      <c r="K42" s="521" t="str">
        <f t="shared" ca="1" si="5"/>
        <v/>
      </c>
      <c r="L42" s="521" t="str">
        <f t="shared" ca="1" si="5"/>
        <v/>
      </c>
      <c r="M42" s="521" t="str">
        <f t="shared" ca="1" si="5"/>
        <v/>
      </c>
      <c r="N42" s="521" t="str">
        <f t="shared" ca="1" si="5"/>
        <v/>
      </c>
      <c r="O42" s="521" t="str">
        <f t="shared" ca="1" si="5"/>
        <v/>
      </c>
      <c r="P42" s="526">
        <f ca="1">IF(SUM(J189:O189)&gt;0,"Functional units 1 are not the same",IF(SUM(J193:O193)&gt;0,"Check the unit",IF(ISERROR(AVERAGE(J42:O42)),0,AVERAGE(J42:O42))))</f>
        <v>0</v>
      </c>
      <c r="Q42" s="525" t="str">
        <f ca="1">IF(P193&gt;0,Translate!$A$143,J192)</f>
        <v/>
      </c>
      <c r="R42" s="372"/>
      <c r="S42" s="372"/>
      <c r="T42" s="523"/>
      <c r="U42" s="95"/>
      <c r="V42" s="95"/>
      <c r="W42" s="95"/>
      <c r="X42" s="95"/>
      <c r="Y42" s="95"/>
      <c r="Z42" s="95"/>
      <c r="AA42" s="95"/>
      <c r="AB42" s="95"/>
    </row>
    <row r="43" spans="1:28" ht="15.75">
      <c r="A43" s="95" t="s">
        <v>410</v>
      </c>
      <c r="B43" s="95"/>
      <c r="C43" s="95"/>
      <c r="D43" s="95"/>
      <c r="E43" s="95"/>
      <c r="F43" s="95"/>
      <c r="G43" s="520"/>
      <c r="H43" s="372"/>
      <c r="I43" s="527" t="str">
        <f ca="1">IF(P191&gt;0,Translate!$A$72,J190)</f>
        <v/>
      </c>
      <c r="J43" s="521" t="str">
        <f t="shared" ca="1" si="5"/>
        <v/>
      </c>
      <c r="K43" s="521" t="str">
        <f t="shared" ca="1" si="5"/>
        <v/>
      </c>
      <c r="L43" s="521" t="str">
        <f t="shared" ca="1" si="5"/>
        <v/>
      </c>
      <c r="M43" s="521" t="str">
        <f t="shared" ca="1" si="5"/>
        <v/>
      </c>
      <c r="N43" s="521" t="str">
        <f t="shared" ca="1" si="5"/>
        <v/>
      </c>
      <c r="O43" s="521" t="str">
        <f t="shared" ca="1" si="5"/>
        <v/>
      </c>
      <c r="P43" s="526">
        <f ca="1">IF(SUM(J191:O191)&gt;0,"Functional units 2 are not the same",IF(SUM(J195:O195)&gt;0,"Check the unit",IF(ISERROR(AVERAGE(J43:O43)),0,AVERAGE(J43:O43))))</f>
        <v>0</v>
      </c>
      <c r="Q43" s="525" t="str">
        <f ca="1">IF(P195&gt;0,Translate!$A$143,J194)</f>
        <v/>
      </c>
      <c r="R43" s="372"/>
      <c r="S43" s="372"/>
      <c r="T43" s="523"/>
      <c r="U43" s="95"/>
      <c r="V43" s="95"/>
      <c r="W43" s="95"/>
      <c r="X43" s="95"/>
      <c r="Y43" s="95"/>
      <c r="Z43" s="95"/>
      <c r="AA43" s="95"/>
      <c r="AB43" s="95"/>
    </row>
    <row r="44" spans="1:28">
      <c r="A44" s="95"/>
      <c r="B44" s="95"/>
      <c r="C44" s="95"/>
      <c r="D44" s="95"/>
      <c r="E44" s="95"/>
      <c r="F44" s="95"/>
      <c r="G44" s="520"/>
      <c r="H44" s="372"/>
      <c r="I44" s="372"/>
      <c r="J44" s="372"/>
      <c r="K44" s="372"/>
      <c r="L44" s="372"/>
      <c r="M44" s="372"/>
      <c r="N44" s="372"/>
      <c r="O44" s="372"/>
      <c r="P44" s="372"/>
      <c r="Q44" s="372"/>
      <c r="R44" s="372"/>
      <c r="S44" s="372"/>
      <c r="T44" s="523"/>
      <c r="U44" s="95"/>
      <c r="V44" s="95"/>
      <c r="W44" s="95"/>
      <c r="X44" s="95"/>
      <c r="Y44" s="95"/>
      <c r="Z44" s="95"/>
      <c r="AA44" s="95"/>
      <c r="AB44" s="95"/>
    </row>
    <row r="45" spans="1:28">
      <c r="A45" s="95"/>
      <c r="B45" s="95"/>
      <c r="C45" s="95"/>
      <c r="D45" s="95"/>
      <c r="E45" s="95"/>
      <c r="F45" s="95"/>
      <c r="G45" s="520"/>
      <c r="H45" s="372"/>
      <c r="I45" s="372"/>
      <c r="J45" s="372"/>
      <c r="K45" s="372"/>
      <c r="L45" s="372"/>
      <c r="M45" s="372"/>
      <c r="N45" s="372"/>
      <c r="O45" s="372"/>
      <c r="P45" s="372"/>
      <c r="Q45" s="372"/>
      <c r="R45" s="372"/>
      <c r="S45" s="372"/>
      <c r="T45" s="523"/>
      <c r="U45" s="95"/>
      <c r="V45" s="95"/>
      <c r="W45" s="95"/>
      <c r="X45" s="95"/>
      <c r="Y45" s="95"/>
      <c r="Z45" s="95"/>
      <c r="AA45" s="95"/>
      <c r="AB45" s="95"/>
    </row>
    <row r="46" spans="1:28">
      <c r="A46" s="95"/>
      <c r="B46" s="95"/>
      <c r="C46" s="95"/>
      <c r="D46" s="95"/>
      <c r="E46" s="95"/>
      <c r="F46" s="95"/>
      <c r="G46" s="520"/>
      <c r="H46" s="372"/>
      <c r="I46" s="372"/>
      <c r="J46" s="372"/>
      <c r="K46" s="379"/>
      <c r="L46" s="372"/>
      <c r="M46" s="372"/>
      <c r="N46" s="372"/>
      <c r="O46" s="372"/>
      <c r="P46" s="372"/>
      <c r="Q46" s="372"/>
      <c r="R46" s="372"/>
      <c r="S46" s="372"/>
      <c r="T46" s="523"/>
      <c r="U46" s="95"/>
      <c r="V46" s="95"/>
      <c r="W46" s="95"/>
      <c r="X46" s="95"/>
      <c r="Y46" s="95"/>
      <c r="Z46" s="95"/>
      <c r="AA46" s="95"/>
      <c r="AB46" s="95"/>
    </row>
    <row r="47" spans="1:28">
      <c r="A47" s="95"/>
      <c r="B47" s="95"/>
      <c r="C47" s="95"/>
      <c r="D47" s="95"/>
      <c r="E47" s="95"/>
      <c r="F47" s="95"/>
      <c r="G47" s="520"/>
      <c r="H47" s="372"/>
      <c r="I47" s="372"/>
      <c r="J47" s="372"/>
      <c r="K47" s="372"/>
      <c r="L47" s="372"/>
      <c r="M47" s="372"/>
      <c r="N47" s="372"/>
      <c r="O47" s="372"/>
      <c r="P47" s="372"/>
      <c r="Q47" s="372"/>
      <c r="R47" s="372"/>
      <c r="S47" s="372"/>
      <c r="T47" s="523"/>
      <c r="U47" s="95"/>
      <c r="V47" s="95"/>
      <c r="W47" s="95"/>
      <c r="X47" s="95"/>
      <c r="Y47" s="95"/>
      <c r="Z47" s="95"/>
      <c r="AA47" s="95"/>
      <c r="AB47" s="95"/>
    </row>
    <row r="48" spans="1:28">
      <c r="A48" s="95"/>
      <c r="B48" s="95"/>
      <c r="C48" s="95"/>
      <c r="D48" s="95"/>
      <c r="E48" s="95"/>
      <c r="F48" s="95"/>
      <c r="G48" s="520"/>
      <c r="H48" s="372"/>
      <c r="I48" s="372"/>
      <c r="J48" s="372"/>
      <c r="K48" s="372"/>
      <c r="L48" s="372"/>
      <c r="M48" s="372"/>
      <c r="N48" s="372"/>
      <c r="O48" s="372"/>
      <c r="P48" s="372"/>
      <c r="Q48" s="372"/>
      <c r="R48" s="372"/>
      <c r="S48" s="372"/>
      <c r="T48" s="523"/>
      <c r="U48" s="95"/>
      <c r="V48" s="95"/>
      <c r="W48" s="95"/>
      <c r="X48" s="95"/>
      <c r="Y48" s="95"/>
      <c r="Z48" s="95"/>
      <c r="AA48" s="95"/>
      <c r="AB48" s="95"/>
    </row>
    <row r="49" spans="1:28">
      <c r="A49" s="95"/>
      <c r="B49" s="95"/>
      <c r="C49" s="95"/>
      <c r="D49" s="95"/>
      <c r="E49" s="95"/>
      <c r="F49" s="95"/>
      <c r="G49" s="520"/>
      <c r="H49" s="372"/>
      <c r="I49" s="372"/>
      <c r="J49" s="372"/>
      <c r="K49" s="372"/>
      <c r="L49" s="372"/>
      <c r="M49" s="372"/>
      <c r="N49" s="372"/>
      <c r="O49" s="372"/>
      <c r="P49" s="372"/>
      <c r="Q49" s="372"/>
      <c r="R49" s="372"/>
      <c r="S49" s="372"/>
      <c r="T49" s="523"/>
      <c r="U49" s="95"/>
      <c r="V49" s="95"/>
      <c r="W49" s="95"/>
      <c r="X49" s="95"/>
      <c r="Y49" s="95"/>
      <c r="Z49" s="95"/>
      <c r="AA49" s="95"/>
      <c r="AB49" s="95"/>
    </row>
    <row r="50" spans="1:28">
      <c r="A50" s="95"/>
      <c r="B50" s="95"/>
      <c r="C50" s="95"/>
      <c r="D50" s="95"/>
      <c r="E50" s="95"/>
      <c r="F50" s="95"/>
      <c r="G50" s="520"/>
      <c r="H50" s="372"/>
      <c r="I50" s="372"/>
      <c r="J50" s="372"/>
      <c r="K50" s="372"/>
      <c r="L50" s="372"/>
      <c r="M50" s="372"/>
      <c r="N50" s="372"/>
      <c r="O50" s="372"/>
      <c r="P50" s="372"/>
      <c r="Q50" s="372"/>
      <c r="R50" s="372"/>
      <c r="S50" s="372"/>
      <c r="T50" s="523"/>
      <c r="U50" s="95"/>
      <c r="V50" s="95"/>
      <c r="W50" s="95"/>
      <c r="X50" s="95"/>
      <c r="Y50" s="95"/>
      <c r="Z50" s="95"/>
      <c r="AA50" s="95"/>
      <c r="AB50" s="95"/>
    </row>
    <row r="51" spans="1:28">
      <c r="A51" s="95"/>
      <c r="B51" s="95"/>
      <c r="C51" s="95"/>
      <c r="D51" s="95"/>
      <c r="E51" s="95"/>
      <c r="F51" s="95"/>
      <c r="G51" s="520"/>
      <c r="H51" s="372"/>
      <c r="I51" s="372"/>
      <c r="J51" s="372"/>
      <c r="K51" s="372"/>
      <c r="L51" s="372"/>
      <c r="M51" s="372"/>
      <c r="N51" s="372"/>
      <c r="O51" s="372"/>
      <c r="P51" s="372"/>
      <c r="Q51" s="372"/>
      <c r="R51" s="372"/>
      <c r="S51" s="372"/>
      <c r="T51" s="523"/>
      <c r="U51" s="95"/>
      <c r="V51" s="95"/>
      <c r="W51" s="95"/>
      <c r="X51" s="95"/>
      <c r="Y51" s="95"/>
      <c r="Z51" s="95"/>
      <c r="AA51" s="95"/>
      <c r="AB51" s="95"/>
    </row>
    <row r="52" spans="1:28">
      <c r="A52" s="95"/>
      <c r="B52" s="95"/>
      <c r="C52" s="95"/>
      <c r="D52" s="95"/>
      <c r="E52" s="95"/>
      <c r="F52" s="95"/>
      <c r="G52" s="520"/>
      <c r="H52" s="372"/>
      <c r="I52" s="372"/>
      <c r="J52" s="372"/>
      <c r="K52" s="372"/>
      <c r="L52" s="372"/>
      <c r="M52" s="372"/>
      <c r="N52" s="372"/>
      <c r="O52" s="372"/>
      <c r="P52" s="372"/>
      <c r="Q52" s="372"/>
      <c r="R52" s="372"/>
      <c r="S52" s="372"/>
      <c r="T52" s="523"/>
      <c r="U52" s="95"/>
      <c r="V52" s="95"/>
      <c r="W52" s="95"/>
      <c r="X52" s="95"/>
      <c r="Y52" s="95"/>
      <c r="Z52" s="95"/>
      <c r="AA52" s="95"/>
      <c r="AB52" s="95"/>
    </row>
    <row r="53" spans="1:28">
      <c r="A53" s="95"/>
      <c r="B53" s="95"/>
      <c r="C53" s="95"/>
      <c r="D53" s="95"/>
      <c r="E53" s="95"/>
      <c r="F53" s="95"/>
      <c r="G53" s="520"/>
      <c r="H53" s="372"/>
      <c r="I53" s="372"/>
      <c r="J53" s="372"/>
      <c r="K53" s="372"/>
      <c r="L53" s="372"/>
      <c r="M53" s="372"/>
      <c r="N53" s="372"/>
      <c r="O53" s="372"/>
      <c r="P53" s="372"/>
      <c r="Q53" s="372"/>
      <c r="R53" s="372"/>
      <c r="S53" s="372"/>
      <c r="T53" s="523"/>
      <c r="U53" s="95"/>
      <c r="V53" s="95"/>
      <c r="W53" s="95"/>
      <c r="X53" s="95"/>
      <c r="Y53" s="95"/>
      <c r="Z53" s="95"/>
      <c r="AA53" s="95"/>
      <c r="AB53" s="95"/>
    </row>
    <row r="54" spans="1:28">
      <c r="A54" s="95"/>
      <c r="B54" s="95"/>
      <c r="C54" s="95"/>
      <c r="D54" s="95"/>
      <c r="E54" s="95"/>
      <c r="F54" s="95"/>
      <c r="G54" s="520"/>
      <c r="H54" s="372"/>
      <c r="I54" s="372"/>
      <c r="J54" s="372"/>
      <c r="K54" s="372"/>
      <c r="L54" s="372"/>
      <c r="M54" s="372"/>
      <c r="N54" s="372"/>
      <c r="O54" s="372"/>
      <c r="P54" s="372"/>
      <c r="Q54" s="372"/>
      <c r="R54" s="372"/>
      <c r="S54" s="372"/>
      <c r="T54" s="523"/>
      <c r="U54" s="95"/>
      <c r="V54" s="95"/>
      <c r="W54" s="95"/>
      <c r="X54" s="95"/>
      <c r="Y54" s="95"/>
      <c r="Z54" s="95"/>
      <c r="AA54" s="95"/>
      <c r="AB54" s="95"/>
    </row>
    <row r="55" spans="1:28">
      <c r="A55" s="95"/>
      <c r="B55" s="95"/>
      <c r="C55" s="95"/>
      <c r="D55" s="95"/>
      <c r="E55" s="95"/>
      <c r="F55" s="95"/>
      <c r="G55" s="520"/>
      <c r="H55" s="372"/>
      <c r="I55" s="372"/>
      <c r="J55" s="372"/>
      <c r="K55" s="372"/>
      <c r="L55" s="372"/>
      <c r="M55" s="372"/>
      <c r="N55" s="372"/>
      <c r="O55" s="372"/>
      <c r="P55" s="372"/>
      <c r="Q55" s="372"/>
      <c r="R55" s="372"/>
      <c r="S55" s="372"/>
      <c r="T55" s="523"/>
      <c r="U55" s="95"/>
      <c r="V55" s="95"/>
      <c r="W55" s="95"/>
      <c r="X55" s="95"/>
      <c r="Y55" s="95"/>
      <c r="Z55" s="95"/>
      <c r="AA55" s="95"/>
      <c r="AB55" s="95"/>
    </row>
    <row r="56" spans="1:28">
      <c r="A56" s="95"/>
      <c r="B56" s="95"/>
      <c r="C56" s="95"/>
      <c r="D56" s="95"/>
      <c r="E56" s="95"/>
      <c r="F56" s="95"/>
      <c r="G56" s="520"/>
      <c r="H56" s="372"/>
      <c r="I56" s="372"/>
      <c r="J56" s="372"/>
      <c r="K56" s="372"/>
      <c r="L56" s="372"/>
      <c r="M56" s="372"/>
      <c r="N56" s="372"/>
      <c r="O56" s="372"/>
      <c r="P56" s="372"/>
      <c r="Q56" s="372"/>
      <c r="R56" s="372"/>
      <c r="S56" s="372"/>
      <c r="T56" s="523"/>
      <c r="U56" s="95"/>
      <c r="V56" s="95"/>
      <c r="W56" s="95"/>
      <c r="X56" s="95"/>
      <c r="Y56" s="95"/>
      <c r="Z56" s="95"/>
      <c r="AA56" s="95"/>
      <c r="AB56" s="95"/>
    </row>
    <row r="57" spans="1:28">
      <c r="A57" s="95"/>
      <c r="B57" s="95"/>
      <c r="C57" s="95"/>
      <c r="D57" s="95"/>
      <c r="E57" s="95"/>
      <c r="F57" s="95"/>
      <c r="G57" s="520"/>
      <c r="H57" s="372"/>
      <c r="I57" s="372"/>
      <c r="J57" s="372"/>
      <c r="K57" s="372"/>
      <c r="L57" s="372"/>
      <c r="M57" s="372"/>
      <c r="N57" s="372"/>
      <c r="O57" s="372"/>
      <c r="P57" s="372"/>
      <c r="Q57" s="372"/>
      <c r="R57" s="372"/>
      <c r="S57" s="372"/>
      <c r="T57" s="523"/>
      <c r="U57" s="95"/>
      <c r="V57" s="95"/>
      <c r="W57" s="95"/>
      <c r="X57" s="95"/>
      <c r="Y57" s="95"/>
      <c r="Z57" s="95"/>
      <c r="AA57" s="95"/>
      <c r="AB57" s="95"/>
    </row>
    <row r="58" spans="1:28">
      <c r="A58" s="95"/>
      <c r="B58" s="95"/>
      <c r="C58" s="95"/>
      <c r="D58" s="95"/>
      <c r="E58" s="95"/>
      <c r="F58" s="95"/>
      <c r="G58" s="520"/>
      <c r="H58" s="372"/>
      <c r="I58" s="372"/>
      <c r="J58" s="372"/>
      <c r="K58" s="372"/>
      <c r="L58" s="372"/>
      <c r="M58" s="372"/>
      <c r="N58" s="372"/>
      <c r="O58" s="372"/>
      <c r="P58" s="372"/>
      <c r="Q58" s="372"/>
      <c r="R58" s="372"/>
      <c r="S58" s="372"/>
      <c r="T58" s="523"/>
      <c r="U58" s="95"/>
      <c r="V58" s="95"/>
      <c r="W58" s="95"/>
      <c r="X58" s="95"/>
      <c r="Y58" s="95"/>
      <c r="Z58" s="95"/>
      <c r="AA58" s="95"/>
      <c r="AB58" s="95"/>
    </row>
    <row r="59" spans="1:28">
      <c r="A59" s="95"/>
      <c r="B59" s="95"/>
      <c r="C59" s="95"/>
      <c r="D59" s="95"/>
      <c r="E59" s="95"/>
      <c r="F59" s="95"/>
      <c r="G59" s="520"/>
      <c r="H59" s="372"/>
      <c r="I59" s="372"/>
      <c r="J59" s="372"/>
      <c r="K59" s="372"/>
      <c r="L59" s="372"/>
      <c r="M59" s="372"/>
      <c r="N59" s="372"/>
      <c r="O59" s="372"/>
      <c r="P59" s="372"/>
      <c r="Q59" s="372"/>
      <c r="R59" s="372"/>
      <c r="S59" s="372"/>
      <c r="T59" s="523"/>
      <c r="U59" s="95"/>
      <c r="V59" s="95"/>
      <c r="W59" s="95"/>
      <c r="X59" s="95"/>
      <c r="Y59" s="95"/>
      <c r="Z59" s="95"/>
      <c r="AA59" s="95"/>
      <c r="AB59" s="95"/>
    </row>
    <row r="60" spans="1:28">
      <c r="A60" s="95"/>
      <c r="B60" s="95"/>
      <c r="C60" s="95"/>
      <c r="D60" s="95"/>
      <c r="E60" s="95"/>
      <c r="F60" s="95"/>
      <c r="G60" s="520"/>
      <c r="H60" s="372"/>
      <c r="I60" s="372"/>
      <c r="J60" s="372"/>
      <c r="K60" s="372"/>
      <c r="L60" s="372"/>
      <c r="M60" s="372"/>
      <c r="N60" s="372"/>
      <c r="O60" s="372"/>
      <c r="P60" s="372"/>
      <c r="Q60" s="372"/>
      <c r="R60" s="372"/>
      <c r="S60" s="372"/>
      <c r="T60" s="523"/>
      <c r="U60" s="95"/>
      <c r="V60" s="95"/>
      <c r="W60" s="95"/>
      <c r="X60" s="95"/>
      <c r="Y60" s="95"/>
      <c r="Z60" s="95"/>
      <c r="AA60" s="95"/>
      <c r="AB60" s="95"/>
    </row>
    <row r="61" spans="1:28">
      <c r="A61" s="95"/>
      <c r="B61" s="95"/>
      <c r="C61" s="95"/>
      <c r="D61" s="95"/>
      <c r="E61" s="95"/>
      <c r="F61" s="95"/>
      <c r="G61" s="520"/>
      <c r="H61" s="372"/>
      <c r="I61" s="372"/>
      <c r="J61" s="372"/>
      <c r="K61" s="372"/>
      <c r="L61" s="372"/>
      <c r="M61" s="372"/>
      <c r="N61" s="372"/>
      <c r="O61" s="372"/>
      <c r="P61" s="372"/>
      <c r="Q61" s="372"/>
      <c r="R61" s="372"/>
      <c r="S61" s="372"/>
      <c r="T61" s="523"/>
      <c r="U61" s="95"/>
      <c r="V61" s="95"/>
      <c r="W61" s="95"/>
      <c r="X61" s="95"/>
      <c r="Y61" s="95"/>
      <c r="Z61" s="95"/>
      <c r="AA61" s="95"/>
      <c r="AB61" s="95"/>
    </row>
    <row r="62" spans="1:28">
      <c r="A62" s="95"/>
      <c r="B62" s="95"/>
      <c r="C62" s="95"/>
      <c r="D62" s="95"/>
      <c r="E62" s="95"/>
      <c r="F62" s="95"/>
      <c r="G62" s="520"/>
      <c r="H62" s="372"/>
      <c r="I62" s="372"/>
      <c r="J62" s="372"/>
      <c r="K62" s="372"/>
      <c r="L62" s="372"/>
      <c r="M62" s="372"/>
      <c r="N62" s="372"/>
      <c r="O62" s="372"/>
      <c r="P62" s="372"/>
      <c r="Q62" s="372"/>
      <c r="R62" s="372"/>
      <c r="S62" s="372"/>
      <c r="T62" s="523"/>
      <c r="U62" s="95"/>
      <c r="V62" s="95"/>
      <c r="W62" s="95"/>
      <c r="X62" s="95"/>
      <c r="Y62" s="95"/>
      <c r="Z62" s="95"/>
      <c r="AA62" s="95"/>
      <c r="AB62" s="95"/>
    </row>
    <row r="63" spans="1:28">
      <c r="A63" s="95"/>
      <c r="B63" s="95"/>
      <c r="C63" s="95"/>
      <c r="D63" s="95"/>
      <c r="E63" s="95"/>
      <c r="F63" s="95"/>
      <c r="G63" s="520"/>
      <c r="H63" s="372"/>
      <c r="I63" s="372"/>
      <c r="J63" s="372"/>
      <c r="K63" s="372"/>
      <c r="L63" s="372"/>
      <c r="M63" s="372"/>
      <c r="N63" s="372"/>
      <c r="O63" s="372"/>
      <c r="P63" s="372"/>
      <c r="Q63" s="372"/>
      <c r="R63" s="372"/>
      <c r="S63" s="372"/>
      <c r="T63" s="523"/>
      <c r="U63" s="95"/>
      <c r="V63" s="95"/>
      <c r="W63" s="95"/>
      <c r="X63" s="95"/>
      <c r="Y63" s="95"/>
      <c r="Z63" s="95"/>
      <c r="AA63" s="95"/>
      <c r="AB63" s="95"/>
    </row>
    <row r="64" spans="1:28">
      <c r="A64" s="95"/>
      <c r="B64" s="95"/>
      <c r="C64" s="95"/>
      <c r="D64" s="95"/>
      <c r="E64" s="95"/>
      <c r="F64" s="95"/>
      <c r="G64" s="520"/>
      <c r="H64" s="372"/>
      <c r="I64" s="372"/>
      <c r="J64" s="372"/>
      <c r="K64" s="372"/>
      <c r="L64" s="372"/>
      <c r="M64" s="372"/>
      <c r="N64" s="372"/>
      <c r="O64" s="372"/>
      <c r="P64" s="372"/>
      <c r="Q64" s="372"/>
      <c r="R64" s="372"/>
      <c r="S64" s="372"/>
      <c r="T64" s="523"/>
      <c r="U64" s="95"/>
      <c r="V64" s="95"/>
      <c r="W64" s="95"/>
      <c r="X64" s="95"/>
      <c r="Y64" s="95"/>
      <c r="Z64" s="95"/>
      <c r="AA64" s="95"/>
      <c r="AB64" s="95"/>
    </row>
    <row r="65" spans="1:28">
      <c r="A65" s="95"/>
      <c r="B65" s="95"/>
      <c r="C65" s="95"/>
      <c r="D65" s="95"/>
      <c r="E65" s="95"/>
      <c r="F65" s="95"/>
      <c r="G65" s="520"/>
      <c r="H65" s="372"/>
      <c r="I65" s="372"/>
      <c r="J65" s="372"/>
      <c r="K65" s="372"/>
      <c r="L65" s="372"/>
      <c r="M65" s="372"/>
      <c r="N65" s="372"/>
      <c r="O65" s="372"/>
      <c r="P65" s="372"/>
      <c r="Q65" s="372"/>
      <c r="R65" s="372"/>
      <c r="S65" s="372"/>
      <c r="T65" s="523"/>
      <c r="U65" s="95"/>
      <c r="V65" s="95"/>
      <c r="W65" s="95"/>
      <c r="X65" s="95"/>
      <c r="Y65" s="95"/>
      <c r="Z65" s="95"/>
      <c r="AA65" s="95"/>
      <c r="AB65" s="95"/>
    </row>
    <row r="66" spans="1:28">
      <c r="A66" s="95"/>
      <c r="B66" s="95"/>
      <c r="C66" s="95"/>
      <c r="D66" s="95"/>
      <c r="E66" s="95"/>
      <c r="F66" s="95"/>
      <c r="G66" s="520"/>
      <c r="H66" s="372"/>
      <c r="I66" s="372"/>
      <c r="J66" s="372"/>
      <c r="K66" s="372"/>
      <c r="L66" s="372"/>
      <c r="M66" s="372"/>
      <c r="N66" s="372"/>
      <c r="O66" s="372"/>
      <c r="P66" s="372"/>
      <c r="Q66" s="372"/>
      <c r="R66" s="372"/>
      <c r="S66" s="372"/>
      <c r="T66" s="523"/>
      <c r="U66" s="95"/>
      <c r="V66" s="95"/>
      <c r="W66" s="95"/>
      <c r="X66" s="95"/>
      <c r="Y66" s="95"/>
      <c r="Z66" s="95"/>
      <c r="AA66" s="95"/>
      <c r="AB66" s="95"/>
    </row>
    <row r="67" spans="1:28">
      <c r="A67" s="95"/>
      <c r="B67" s="95"/>
      <c r="C67" s="95"/>
      <c r="D67" s="95"/>
      <c r="E67" s="95"/>
      <c r="F67" s="95"/>
      <c r="G67" s="520"/>
      <c r="H67" s="372"/>
      <c r="I67" s="372"/>
      <c r="J67" s="372"/>
      <c r="K67" s="372"/>
      <c r="L67" s="372"/>
      <c r="M67" s="372"/>
      <c r="N67" s="372"/>
      <c r="O67" s="372"/>
      <c r="P67" s="372"/>
      <c r="Q67" s="372"/>
      <c r="R67" s="372"/>
      <c r="S67" s="372"/>
      <c r="T67" s="523"/>
      <c r="U67" s="95"/>
      <c r="V67" s="95"/>
      <c r="W67" s="95"/>
      <c r="X67" s="95"/>
      <c r="Y67" s="95"/>
      <c r="Z67" s="95"/>
      <c r="AA67" s="95"/>
      <c r="AB67" s="95"/>
    </row>
    <row r="68" spans="1:28">
      <c r="A68" s="95"/>
      <c r="B68" s="95"/>
      <c r="C68" s="95"/>
      <c r="D68" s="95"/>
      <c r="E68" s="95"/>
      <c r="F68" s="95"/>
      <c r="G68" s="520"/>
      <c r="H68" s="372"/>
      <c r="I68" s="372"/>
      <c r="J68" s="372"/>
      <c r="K68" s="372"/>
      <c r="L68" s="372"/>
      <c r="M68" s="372"/>
      <c r="N68" s="372"/>
      <c r="O68" s="372"/>
      <c r="P68" s="372"/>
      <c r="Q68" s="372"/>
      <c r="R68" s="372"/>
      <c r="S68" s="372"/>
      <c r="T68" s="523"/>
      <c r="U68" s="95"/>
      <c r="V68" s="95"/>
      <c r="W68" s="95"/>
      <c r="X68" s="95"/>
      <c r="Y68" s="95"/>
      <c r="Z68" s="95"/>
      <c r="AA68" s="95"/>
      <c r="AB68" s="95"/>
    </row>
    <row r="69" spans="1:28">
      <c r="A69" s="95"/>
      <c r="B69" s="95"/>
      <c r="C69" s="95"/>
      <c r="D69" s="95"/>
      <c r="E69" s="95"/>
      <c r="F69" s="95"/>
      <c r="G69" s="520"/>
      <c r="H69" s="372"/>
      <c r="I69" s="372"/>
      <c r="J69" s="372"/>
      <c r="K69" s="372"/>
      <c r="L69" s="372"/>
      <c r="M69" s="372"/>
      <c r="N69" s="372"/>
      <c r="O69" s="372"/>
      <c r="P69" s="372"/>
      <c r="Q69" s="372"/>
      <c r="R69" s="372"/>
      <c r="S69" s="372"/>
      <c r="T69" s="523"/>
      <c r="U69" s="95"/>
      <c r="V69" s="95"/>
      <c r="W69" s="95"/>
      <c r="X69" s="95"/>
      <c r="Y69" s="95"/>
      <c r="Z69" s="95"/>
      <c r="AA69" s="95"/>
      <c r="AB69" s="95"/>
    </row>
    <row r="70" spans="1:28">
      <c r="A70" s="95"/>
      <c r="B70" s="95"/>
      <c r="C70" s="95"/>
      <c r="D70" s="95"/>
      <c r="E70" s="95"/>
      <c r="F70" s="95"/>
      <c r="G70" s="520"/>
      <c r="H70" s="372"/>
      <c r="I70" s="372"/>
      <c r="J70" s="372"/>
      <c r="K70" s="372"/>
      <c r="L70" s="372"/>
      <c r="M70" s="372"/>
      <c r="N70" s="372"/>
      <c r="O70" s="372"/>
      <c r="P70" s="372"/>
      <c r="Q70" s="372"/>
      <c r="R70" s="372"/>
      <c r="S70" s="372"/>
      <c r="T70" s="523"/>
      <c r="U70" s="95"/>
      <c r="V70" s="95"/>
      <c r="W70" s="95"/>
      <c r="X70" s="95"/>
      <c r="Y70" s="95"/>
      <c r="Z70" s="95"/>
      <c r="AA70" s="95"/>
      <c r="AB70" s="95"/>
    </row>
    <row r="71" spans="1:28">
      <c r="A71" s="95"/>
      <c r="B71" s="95"/>
      <c r="C71" s="95"/>
      <c r="D71" s="95"/>
      <c r="E71" s="95"/>
      <c r="F71" s="95"/>
      <c r="G71" s="520"/>
      <c r="H71" s="372"/>
      <c r="I71" s="372"/>
      <c r="J71" s="372"/>
      <c r="K71" s="372"/>
      <c r="L71" s="372"/>
      <c r="M71" s="372"/>
      <c r="N71" s="372"/>
      <c r="O71" s="372"/>
      <c r="P71" s="372"/>
      <c r="Q71" s="372"/>
      <c r="R71" s="372"/>
      <c r="S71" s="372"/>
      <c r="T71" s="523"/>
      <c r="U71" s="95"/>
      <c r="V71" s="95"/>
      <c r="W71" s="95"/>
      <c r="X71" s="95"/>
      <c r="Y71" s="95"/>
      <c r="Z71" s="95"/>
      <c r="AA71" s="95"/>
      <c r="AB71" s="95"/>
    </row>
    <row r="72" spans="1:28">
      <c r="A72" s="95"/>
      <c r="B72" s="95"/>
      <c r="C72" s="95"/>
      <c r="D72" s="95"/>
      <c r="E72" s="95"/>
      <c r="F72" s="95"/>
      <c r="G72" s="520"/>
      <c r="H72" s="372"/>
      <c r="I72" s="372"/>
      <c r="J72" s="372"/>
      <c r="K72" s="372"/>
      <c r="L72" s="372"/>
      <c r="M72" s="372"/>
      <c r="N72" s="372"/>
      <c r="O72" s="372"/>
      <c r="P72" s="372"/>
      <c r="Q72" s="372"/>
      <c r="R72" s="372"/>
      <c r="S72" s="372"/>
      <c r="T72" s="523"/>
      <c r="U72" s="95"/>
      <c r="V72" s="95"/>
      <c r="W72" s="95"/>
      <c r="X72" s="95"/>
      <c r="Y72" s="95"/>
      <c r="Z72" s="95"/>
      <c r="AA72" s="95"/>
      <c r="AB72" s="95"/>
    </row>
    <row r="73" spans="1:28">
      <c r="A73" s="95"/>
      <c r="B73" s="95"/>
      <c r="C73" s="95"/>
      <c r="D73" s="95"/>
      <c r="E73" s="95"/>
      <c r="F73" s="95"/>
      <c r="G73" s="520"/>
      <c r="H73" s="372"/>
      <c r="I73" s="372"/>
      <c r="J73" s="372"/>
      <c r="K73" s="372"/>
      <c r="L73" s="372"/>
      <c r="M73" s="372"/>
      <c r="N73" s="372"/>
      <c r="O73" s="372"/>
      <c r="P73" s="372"/>
      <c r="Q73" s="372"/>
      <c r="R73" s="372"/>
      <c r="S73" s="372"/>
      <c r="T73" s="523"/>
      <c r="U73" s="95"/>
      <c r="V73" s="95"/>
      <c r="W73" s="95"/>
      <c r="X73" s="95"/>
      <c r="Y73" s="95"/>
      <c r="Z73" s="95"/>
      <c r="AA73" s="95"/>
      <c r="AB73" s="95"/>
    </row>
    <row r="74" spans="1:28">
      <c r="A74" s="95"/>
      <c r="B74" s="95"/>
      <c r="C74" s="95"/>
      <c r="D74" s="95"/>
      <c r="E74" s="95"/>
      <c r="F74" s="95"/>
      <c r="G74" s="520"/>
      <c r="H74" s="372"/>
      <c r="I74" s="372"/>
      <c r="J74" s="372"/>
      <c r="K74" s="372"/>
      <c r="L74" s="372"/>
      <c r="M74" s="372"/>
      <c r="N74" s="372"/>
      <c r="O74" s="372"/>
      <c r="P74" s="372"/>
      <c r="Q74" s="372"/>
      <c r="R74" s="372"/>
      <c r="S74" s="372"/>
      <c r="T74" s="523"/>
      <c r="U74" s="95"/>
      <c r="V74" s="95"/>
      <c r="W74" s="95"/>
      <c r="X74" s="95"/>
      <c r="Y74" s="95"/>
      <c r="Z74" s="95"/>
      <c r="AA74" s="95"/>
      <c r="AB74" s="95"/>
    </row>
    <row r="75" spans="1:28">
      <c r="A75" s="95"/>
      <c r="B75" s="95"/>
      <c r="C75" s="95"/>
      <c r="D75" s="95"/>
      <c r="E75" s="95"/>
      <c r="F75" s="95"/>
      <c r="G75" s="520"/>
      <c r="H75" s="372"/>
      <c r="I75" s="372"/>
      <c r="J75" s="372"/>
      <c r="K75" s="372"/>
      <c r="L75" s="372"/>
      <c r="M75" s="372"/>
      <c r="N75" s="372"/>
      <c r="O75" s="372"/>
      <c r="P75" s="372"/>
      <c r="Q75" s="372"/>
      <c r="R75" s="372"/>
      <c r="S75" s="372"/>
      <c r="T75" s="523"/>
      <c r="U75" s="95"/>
      <c r="V75" s="95"/>
      <c r="W75" s="95"/>
      <c r="X75" s="95"/>
      <c r="Y75" s="95"/>
      <c r="Z75" s="95"/>
      <c r="AA75" s="95"/>
      <c r="AB75" s="95"/>
    </row>
    <row r="76" spans="1:28">
      <c r="A76" s="95"/>
      <c r="B76" s="95"/>
      <c r="C76" s="95"/>
      <c r="D76" s="95"/>
      <c r="E76" s="95"/>
      <c r="F76" s="95"/>
      <c r="G76" s="520"/>
      <c r="H76" s="372"/>
      <c r="I76" s="372"/>
      <c r="J76" s="372"/>
      <c r="K76" s="372"/>
      <c r="L76" s="372"/>
      <c r="M76" s="372"/>
      <c r="N76" s="372"/>
      <c r="O76" s="372"/>
      <c r="P76" s="372"/>
      <c r="Q76" s="372"/>
      <c r="R76" s="372"/>
      <c r="S76" s="372"/>
      <c r="T76" s="523"/>
      <c r="U76" s="95"/>
      <c r="V76" s="95"/>
      <c r="W76" s="95"/>
      <c r="X76" s="95"/>
      <c r="Y76" s="95"/>
      <c r="Z76" s="95"/>
      <c r="AA76" s="95"/>
      <c r="AB76" s="95"/>
    </row>
    <row r="77" spans="1:28">
      <c r="A77" s="95"/>
      <c r="B77" s="95"/>
      <c r="C77" s="95"/>
      <c r="D77" s="95"/>
      <c r="E77" s="95"/>
      <c r="F77" s="95"/>
      <c r="G77" s="520"/>
      <c r="H77" s="372"/>
      <c r="I77" s="372"/>
      <c r="J77" s="372"/>
      <c r="K77" s="372"/>
      <c r="L77" s="372"/>
      <c r="M77" s="372"/>
      <c r="N77" s="372"/>
      <c r="O77" s="372"/>
      <c r="P77" s="372"/>
      <c r="Q77" s="372"/>
      <c r="R77" s="372"/>
      <c r="S77" s="372"/>
      <c r="T77" s="523"/>
      <c r="U77" s="95"/>
      <c r="V77" s="95"/>
      <c r="W77" s="95"/>
      <c r="X77" s="95"/>
      <c r="Y77" s="95"/>
      <c r="Z77" s="95"/>
      <c r="AA77" s="95"/>
      <c r="AB77" s="95"/>
    </row>
    <row r="78" spans="1:28">
      <c r="A78" s="95"/>
      <c r="B78" s="95"/>
      <c r="C78" s="95"/>
      <c r="D78" s="95"/>
      <c r="E78" s="95"/>
      <c r="F78" s="95"/>
      <c r="G78" s="520"/>
      <c r="H78" s="372"/>
      <c r="I78" s="372"/>
      <c r="J78" s="372"/>
      <c r="K78" s="372"/>
      <c r="L78" s="372"/>
      <c r="M78" s="372"/>
      <c r="N78" s="372"/>
      <c r="O78" s="372"/>
      <c r="P78" s="372"/>
      <c r="Q78" s="372"/>
      <c r="R78" s="372"/>
      <c r="S78" s="372"/>
      <c r="T78" s="523"/>
      <c r="U78" s="95"/>
      <c r="V78" s="95"/>
      <c r="W78" s="95"/>
      <c r="X78" s="95"/>
      <c r="Y78" s="95"/>
      <c r="Z78" s="95"/>
      <c r="AA78" s="95"/>
      <c r="AB78" s="95"/>
    </row>
    <row r="79" spans="1:28">
      <c r="A79" s="95"/>
      <c r="B79" s="95"/>
      <c r="C79" s="95"/>
      <c r="D79" s="95"/>
      <c r="E79" s="95"/>
      <c r="F79" s="95"/>
      <c r="G79" s="520"/>
      <c r="H79" s="372"/>
      <c r="I79" s="372"/>
      <c r="J79" s="372"/>
      <c r="K79" s="372"/>
      <c r="L79" s="372"/>
      <c r="M79" s="372"/>
      <c r="N79" s="372"/>
      <c r="O79" s="372"/>
      <c r="P79" s="372"/>
      <c r="Q79" s="372"/>
      <c r="R79" s="372"/>
      <c r="S79" s="372"/>
      <c r="T79" s="523"/>
      <c r="U79" s="95"/>
      <c r="V79" s="95"/>
      <c r="W79" s="95"/>
      <c r="X79" s="95"/>
      <c r="Y79" s="95"/>
      <c r="Z79" s="95"/>
      <c r="AA79" s="95"/>
      <c r="AB79" s="95"/>
    </row>
    <row r="80" spans="1:28">
      <c r="A80" s="95"/>
      <c r="B80" s="95"/>
      <c r="C80" s="95"/>
      <c r="D80" s="95"/>
      <c r="E80" s="95"/>
      <c r="F80" s="95"/>
      <c r="G80" s="520"/>
      <c r="H80" s="372"/>
      <c r="I80" s="372"/>
      <c r="J80" s="372"/>
      <c r="K80" s="372"/>
      <c r="L80" s="372"/>
      <c r="M80" s="372"/>
      <c r="N80" s="372"/>
      <c r="O80" s="372"/>
      <c r="P80" s="372"/>
      <c r="Q80" s="372"/>
      <c r="R80" s="372"/>
      <c r="S80" s="372"/>
      <c r="T80" s="523"/>
      <c r="U80" s="95"/>
      <c r="V80" s="95"/>
      <c r="W80" s="95"/>
      <c r="X80" s="95"/>
      <c r="Y80" s="95"/>
      <c r="Z80" s="95"/>
      <c r="AA80" s="95"/>
      <c r="AB80" s="95"/>
    </row>
    <row r="81" spans="1:28">
      <c r="A81" s="95"/>
      <c r="B81" s="95"/>
      <c r="C81" s="95"/>
      <c r="D81" s="95"/>
      <c r="E81" s="95"/>
      <c r="F81" s="95"/>
      <c r="G81" s="520"/>
      <c r="H81" s="372"/>
      <c r="I81" s="372"/>
      <c r="J81" s="372"/>
      <c r="K81" s="372"/>
      <c r="L81" s="372"/>
      <c r="M81" s="372"/>
      <c r="N81" s="372"/>
      <c r="O81" s="372"/>
      <c r="P81" s="372"/>
      <c r="Q81" s="372"/>
      <c r="R81" s="372"/>
      <c r="S81" s="372"/>
      <c r="T81" s="523"/>
      <c r="U81" s="95"/>
      <c r="V81" s="95"/>
      <c r="W81" s="95"/>
      <c r="X81" s="95"/>
      <c r="Y81" s="95"/>
      <c r="Z81" s="95"/>
      <c r="AA81" s="95"/>
      <c r="AB81" s="95"/>
    </row>
    <row r="82" spans="1:28">
      <c r="A82" s="95"/>
      <c r="B82" s="95"/>
      <c r="C82" s="95"/>
      <c r="D82" s="95"/>
      <c r="E82" s="95"/>
      <c r="F82" s="95"/>
      <c r="G82" s="520"/>
      <c r="H82" s="372"/>
      <c r="I82" s="372"/>
      <c r="J82" s="372"/>
      <c r="K82" s="372"/>
      <c r="L82" s="372"/>
      <c r="M82" s="372"/>
      <c r="N82" s="372"/>
      <c r="O82" s="372"/>
      <c r="P82" s="372"/>
      <c r="Q82" s="372"/>
      <c r="R82" s="372"/>
      <c r="S82" s="372"/>
      <c r="T82" s="523"/>
      <c r="U82" s="95"/>
      <c r="V82" s="95"/>
      <c r="W82" s="95"/>
      <c r="X82" s="95"/>
      <c r="Y82" s="95"/>
      <c r="Z82" s="95"/>
      <c r="AA82" s="95"/>
      <c r="AB82" s="95"/>
    </row>
    <row r="83" spans="1:28">
      <c r="A83" s="95"/>
      <c r="B83" s="95"/>
      <c r="C83" s="95"/>
      <c r="D83" s="95"/>
      <c r="E83" s="95"/>
      <c r="F83" s="95"/>
      <c r="G83" s="520"/>
      <c r="H83" s="372"/>
      <c r="I83" s="372"/>
      <c r="J83" s="372"/>
      <c r="K83" s="372"/>
      <c r="L83" s="372"/>
      <c r="M83" s="372"/>
      <c r="N83" s="372"/>
      <c r="O83" s="372"/>
      <c r="P83" s="372"/>
      <c r="Q83" s="372"/>
      <c r="R83" s="372"/>
      <c r="S83" s="372"/>
      <c r="T83" s="523"/>
      <c r="U83" s="95"/>
      <c r="V83" s="95"/>
      <c r="W83" s="95"/>
      <c r="X83" s="95"/>
      <c r="Y83" s="95"/>
      <c r="Z83" s="95"/>
      <c r="AA83" s="95"/>
      <c r="AB83" s="95"/>
    </row>
    <row r="84" spans="1:28">
      <c r="A84" s="95"/>
      <c r="B84" s="95"/>
      <c r="C84" s="95"/>
      <c r="D84" s="95"/>
      <c r="E84" s="95"/>
      <c r="F84" s="95"/>
      <c r="G84" s="520"/>
      <c r="H84" s="372"/>
      <c r="I84" s="372"/>
      <c r="J84" s="372"/>
      <c r="K84" s="372"/>
      <c r="L84" s="372"/>
      <c r="M84" s="372"/>
      <c r="N84" s="372"/>
      <c r="O84" s="372"/>
      <c r="P84" s="372"/>
      <c r="Q84" s="372"/>
      <c r="R84" s="372"/>
      <c r="S84" s="372"/>
      <c r="T84" s="523"/>
      <c r="U84" s="95"/>
      <c r="V84" s="95"/>
      <c r="W84" s="95"/>
      <c r="X84" s="95"/>
      <c r="Y84" s="95"/>
      <c r="Z84" s="95"/>
      <c r="AA84" s="95"/>
      <c r="AB84" s="95"/>
    </row>
    <row r="85" spans="1:28">
      <c r="A85" s="95"/>
      <c r="B85" s="95"/>
      <c r="C85" s="95"/>
      <c r="D85" s="95"/>
      <c r="E85" s="95"/>
      <c r="F85" s="95"/>
      <c r="G85" s="520"/>
      <c r="H85" s="372"/>
      <c r="I85" s="372"/>
      <c r="J85" s="372"/>
      <c r="K85" s="372"/>
      <c r="L85" s="372"/>
      <c r="M85" s="372"/>
      <c r="N85" s="372"/>
      <c r="O85" s="372"/>
      <c r="P85" s="372"/>
      <c r="Q85" s="372"/>
      <c r="R85" s="372"/>
      <c r="S85" s="372"/>
      <c r="T85" s="523"/>
      <c r="U85" s="95"/>
      <c r="V85" s="95"/>
      <c r="W85" s="95"/>
      <c r="X85" s="95"/>
      <c r="Y85" s="95"/>
      <c r="Z85" s="95"/>
      <c r="AA85" s="95"/>
      <c r="AB85" s="95"/>
    </row>
    <row r="86" spans="1:28">
      <c r="A86" s="95"/>
      <c r="B86" s="95"/>
      <c r="C86" s="95"/>
      <c r="D86" s="95"/>
      <c r="E86" s="95"/>
      <c r="F86" s="95"/>
      <c r="G86" s="520"/>
      <c r="H86" s="372"/>
      <c r="I86" s="372"/>
      <c r="J86" s="372"/>
      <c r="K86" s="372"/>
      <c r="L86" s="372"/>
      <c r="M86" s="372"/>
      <c r="N86" s="372"/>
      <c r="O86" s="372"/>
      <c r="P86" s="372"/>
      <c r="Q86" s="372"/>
      <c r="R86" s="372"/>
      <c r="S86" s="372"/>
      <c r="T86" s="523"/>
      <c r="U86" s="95"/>
      <c r="V86" s="95"/>
      <c r="W86" s="95"/>
      <c r="X86" s="95"/>
      <c r="Y86" s="95"/>
      <c r="Z86" s="95"/>
      <c r="AA86" s="95"/>
      <c r="AB86" s="95"/>
    </row>
    <row r="87" spans="1:28">
      <c r="A87" s="95"/>
      <c r="B87" s="95"/>
      <c r="C87" s="95"/>
      <c r="D87" s="95"/>
      <c r="E87" s="95"/>
      <c r="F87" s="95"/>
      <c r="G87" s="520"/>
      <c r="H87" s="372"/>
      <c r="I87" s="372"/>
      <c r="J87" s="372"/>
      <c r="K87" s="372"/>
      <c r="L87" s="372"/>
      <c r="M87" s="372"/>
      <c r="N87" s="372"/>
      <c r="O87" s="372"/>
      <c r="P87" s="372"/>
      <c r="Q87" s="372"/>
      <c r="R87" s="372"/>
      <c r="S87" s="372"/>
      <c r="T87" s="523"/>
      <c r="U87" s="95"/>
      <c r="V87" s="95"/>
      <c r="W87" s="95"/>
      <c r="X87" s="95"/>
      <c r="Y87" s="95"/>
      <c r="Z87" s="95"/>
      <c r="AA87" s="95"/>
      <c r="AB87" s="95"/>
    </row>
    <row r="88" spans="1:28">
      <c r="A88" s="95"/>
      <c r="B88" s="95"/>
      <c r="C88" s="95"/>
      <c r="D88" s="95"/>
      <c r="E88" s="95"/>
      <c r="F88" s="95"/>
      <c r="G88" s="520"/>
      <c r="I88" s="372"/>
      <c r="J88" s="528"/>
      <c r="K88" s="372"/>
      <c r="L88" s="372"/>
      <c r="M88" s="372"/>
      <c r="N88" s="372"/>
      <c r="O88" s="372"/>
      <c r="P88" s="372"/>
      <c r="Q88" s="372"/>
      <c r="R88" s="372"/>
      <c r="S88" s="372"/>
      <c r="T88" s="523"/>
      <c r="U88" s="95"/>
      <c r="V88" s="95"/>
      <c r="W88" s="95"/>
      <c r="X88" s="95"/>
      <c r="Y88" s="95"/>
      <c r="Z88" s="95"/>
      <c r="AA88" s="95"/>
      <c r="AB88" s="95"/>
    </row>
    <row r="89" spans="1:28">
      <c r="A89" s="95"/>
      <c r="B89" s="95"/>
      <c r="C89" s="95"/>
      <c r="D89" s="95"/>
      <c r="E89" s="95"/>
      <c r="F89" s="95"/>
      <c r="G89" s="520"/>
      <c r="H89" s="372"/>
      <c r="I89" s="372"/>
      <c r="J89" s="372"/>
      <c r="K89" s="372"/>
      <c r="L89" s="372"/>
      <c r="M89" s="372"/>
      <c r="N89" s="372"/>
      <c r="O89" s="372"/>
      <c r="P89" s="372"/>
      <c r="Q89" s="372"/>
      <c r="R89" s="372"/>
      <c r="S89" s="372"/>
      <c r="T89" s="523"/>
      <c r="U89" s="95"/>
      <c r="V89" s="95"/>
      <c r="W89" s="95"/>
      <c r="X89" s="95"/>
      <c r="Y89" s="95"/>
      <c r="Z89" s="95"/>
      <c r="AA89" s="95"/>
      <c r="AB89" s="95"/>
    </row>
    <row r="90" spans="1:28">
      <c r="A90" s="95"/>
      <c r="B90" s="95"/>
      <c r="C90" s="95"/>
      <c r="D90" s="95"/>
      <c r="E90" s="95"/>
      <c r="F90" s="95"/>
      <c r="G90" s="520"/>
      <c r="H90" s="372"/>
      <c r="I90" s="372"/>
      <c r="J90" s="372"/>
      <c r="K90" s="372"/>
      <c r="L90" s="372"/>
      <c r="M90" s="372"/>
      <c r="N90" s="372"/>
      <c r="O90" s="372"/>
      <c r="P90" s="372"/>
      <c r="Q90" s="372"/>
      <c r="R90" s="372"/>
      <c r="S90" s="372"/>
      <c r="T90" s="523"/>
      <c r="U90" s="95"/>
      <c r="V90" s="95"/>
      <c r="W90" s="95"/>
      <c r="X90" s="95"/>
      <c r="Y90" s="95"/>
      <c r="Z90" s="95"/>
      <c r="AA90" s="95"/>
      <c r="AB90" s="95"/>
    </row>
    <row r="91" spans="1:28">
      <c r="A91" s="95"/>
      <c r="B91" s="95"/>
      <c r="C91" s="95"/>
      <c r="D91" s="95"/>
      <c r="E91" s="95"/>
      <c r="F91" s="95"/>
      <c r="G91" s="520"/>
      <c r="H91" s="372"/>
      <c r="I91" s="372"/>
      <c r="J91" s="372"/>
      <c r="K91" s="372"/>
      <c r="L91" s="372"/>
      <c r="M91" s="372"/>
      <c r="N91" s="372"/>
      <c r="O91" s="372"/>
      <c r="P91" s="372"/>
      <c r="Q91" s="372"/>
      <c r="R91" s="372"/>
      <c r="S91" s="372"/>
      <c r="T91" s="523"/>
      <c r="U91" s="95"/>
      <c r="V91" s="95"/>
      <c r="W91" s="95"/>
      <c r="X91" s="95"/>
      <c r="Y91" s="95"/>
      <c r="Z91" s="95"/>
      <c r="AA91" s="95"/>
      <c r="AB91" s="95"/>
    </row>
    <row r="92" spans="1:28">
      <c r="A92" s="95"/>
      <c r="B92" s="95"/>
      <c r="C92" s="95"/>
      <c r="D92" s="95"/>
      <c r="E92" s="95"/>
      <c r="F92" s="95"/>
      <c r="G92" s="520"/>
      <c r="H92" s="372"/>
      <c r="I92" s="372"/>
      <c r="J92" s="372"/>
      <c r="K92" s="372"/>
      <c r="L92" s="372"/>
      <c r="M92" s="372"/>
      <c r="N92" s="372"/>
      <c r="O92" s="372"/>
      <c r="P92" s="372"/>
      <c r="Q92" s="372"/>
      <c r="R92" s="372"/>
      <c r="S92" s="372"/>
      <c r="T92" s="523"/>
      <c r="U92" s="95"/>
      <c r="V92" s="95"/>
      <c r="W92" s="95"/>
      <c r="X92" s="95"/>
      <c r="Y92" s="95"/>
      <c r="Z92" s="95"/>
      <c r="AA92" s="95"/>
      <c r="AB92" s="95"/>
    </row>
    <row r="93" spans="1:28">
      <c r="A93" s="95"/>
      <c r="B93" s="95"/>
      <c r="C93" s="95"/>
      <c r="D93" s="95"/>
      <c r="E93" s="95"/>
      <c r="F93" s="95"/>
      <c r="G93" s="520"/>
      <c r="H93" s="372"/>
      <c r="I93" s="372"/>
      <c r="J93" s="372"/>
      <c r="K93" s="372"/>
      <c r="L93" s="372"/>
      <c r="M93" s="372"/>
      <c r="N93" s="372"/>
      <c r="O93" s="372"/>
      <c r="P93" s="372"/>
      <c r="Q93" s="372"/>
      <c r="R93" s="372"/>
      <c r="S93" s="372"/>
      <c r="T93" s="523"/>
      <c r="U93" s="95"/>
      <c r="V93" s="95"/>
      <c r="W93" s="95"/>
      <c r="X93" s="95"/>
      <c r="Y93" s="95"/>
      <c r="Z93" s="95"/>
      <c r="AA93" s="95"/>
      <c r="AB93" s="95"/>
    </row>
    <row r="94" spans="1:28">
      <c r="A94" s="95"/>
      <c r="B94" s="95"/>
      <c r="C94" s="95"/>
      <c r="D94" s="95"/>
      <c r="E94" s="95"/>
      <c r="F94" s="95"/>
      <c r="G94" s="520"/>
      <c r="H94" s="372"/>
      <c r="I94" s="372"/>
      <c r="J94" s="372"/>
      <c r="K94" s="372"/>
      <c r="L94" s="372"/>
      <c r="M94" s="372"/>
      <c r="N94" s="372"/>
      <c r="O94" s="372"/>
      <c r="P94" s="372"/>
      <c r="Q94" s="372"/>
      <c r="R94" s="372"/>
      <c r="S94" s="372"/>
      <c r="T94" s="523"/>
      <c r="U94" s="95"/>
      <c r="V94" s="96" t="str">
        <f>Translate!$A$169</f>
        <v xml:space="preserve">Show other </v>
      </c>
      <c r="W94" s="95"/>
      <c r="X94" s="95"/>
      <c r="Y94" s="95"/>
      <c r="Z94" s="95"/>
      <c r="AA94" s="95"/>
      <c r="AB94" s="95"/>
    </row>
    <row r="95" spans="1:28">
      <c r="A95" s="95"/>
      <c r="B95" s="95"/>
      <c r="C95" s="95"/>
      <c r="D95" s="95"/>
      <c r="E95" s="95"/>
      <c r="F95" s="95"/>
      <c r="G95" s="520"/>
      <c r="H95" s="372"/>
      <c r="I95" s="372"/>
      <c r="J95" s="372"/>
      <c r="K95" s="372"/>
      <c r="L95" s="372"/>
      <c r="M95" s="372"/>
      <c r="N95" s="372"/>
      <c r="O95" s="372"/>
      <c r="P95" s="372"/>
      <c r="Q95" s="372"/>
      <c r="R95" s="372"/>
      <c r="S95" s="372"/>
      <c r="T95" s="523"/>
      <c r="U95" s="95"/>
      <c r="V95" s="96" t="str">
        <f>Translate!$A$170</f>
        <v xml:space="preserve">emission </v>
      </c>
      <c r="W95" s="95"/>
      <c r="X95" s="95"/>
      <c r="Y95" s="95"/>
      <c r="Z95" s="95"/>
      <c r="AA95" s="95"/>
      <c r="AB95" s="95"/>
    </row>
    <row r="96" spans="1:28">
      <c r="A96" s="95"/>
      <c r="B96" s="95"/>
      <c r="C96" s="95"/>
      <c r="D96" s="95"/>
      <c r="E96" s="95"/>
      <c r="F96" s="95"/>
      <c r="G96" s="520"/>
      <c r="H96" s="372"/>
      <c r="I96" s="372"/>
      <c r="J96" s="372"/>
      <c r="K96" s="372"/>
      <c r="L96" s="372"/>
      <c r="M96" s="372"/>
      <c r="N96" s="372"/>
      <c r="O96" s="372"/>
      <c r="P96" s="372"/>
      <c r="Q96" s="372"/>
      <c r="R96" s="372"/>
      <c r="S96" s="372"/>
      <c r="T96" s="523"/>
      <c r="U96" s="95"/>
      <c r="V96" s="96" t="str">
        <f>Translate!$A$103</f>
        <v>Sources</v>
      </c>
      <c r="W96" s="95"/>
      <c r="X96" s="95"/>
      <c r="Y96" s="95"/>
      <c r="Z96" s="95"/>
      <c r="AA96" s="95"/>
      <c r="AB96" s="95"/>
    </row>
    <row r="97" spans="1:28">
      <c r="A97" s="95"/>
      <c r="B97" s="95"/>
      <c r="C97" s="95"/>
      <c r="D97" s="95"/>
      <c r="E97" s="95"/>
      <c r="F97" s="95"/>
      <c r="G97" s="520"/>
      <c r="H97" s="372"/>
      <c r="I97" s="372"/>
      <c r="J97" s="372"/>
      <c r="K97" s="372"/>
      <c r="L97" s="372"/>
      <c r="M97" s="372"/>
      <c r="N97" s="372"/>
      <c r="O97" s="372"/>
      <c r="P97" s="372"/>
      <c r="Q97" s="372"/>
      <c r="R97" s="372"/>
      <c r="S97" s="372"/>
      <c r="T97" s="523"/>
      <c r="U97" s="95"/>
      <c r="V97" s="529" t="str">
        <f>Translate!$A$163</f>
        <v>Yes</v>
      </c>
      <c r="W97" s="95"/>
      <c r="X97" s="95"/>
      <c r="Y97" s="95"/>
      <c r="Z97" s="95"/>
      <c r="AA97" s="95"/>
      <c r="AB97" s="95"/>
    </row>
    <row r="98" spans="1:28">
      <c r="A98" s="95"/>
      <c r="B98" s="95"/>
      <c r="C98" s="95"/>
      <c r="D98" s="95"/>
      <c r="E98" s="95"/>
      <c r="F98" s="95"/>
      <c r="G98" s="520"/>
      <c r="I98" s="372"/>
      <c r="J98" s="372"/>
      <c r="K98" s="372"/>
      <c r="L98" s="372"/>
      <c r="M98" s="372"/>
      <c r="N98" s="372"/>
      <c r="O98" s="372"/>
      <c r="P98" s="372"/>
      <c r="Q98" s="372"/>
      <c r="R98" s="372"/>
      <c r="S98" s="372"/>
      <c r="T98" s="523"/>
      <c r="U98" s="95"/>
      <c r="V98" s="95"/>
      <c r="W98" s="95"/>
      <c r="X98" s="95"/>
      <c r="Y98" s="95"/>
      <c r="Z98" s="95"/>
      <c r="AA98" s="95"/>
      <c r="AB98" s="95"/>
    </row>
    <row r="99" spans="1:28">
      <c r="A99" s="95"/>
      <c r="B99" s="95"/>
      <c r="C99" s="95"/>
      <c r="D99" s="95"/>
      <c r="E99" s="95"/>
      <c r="F99" s="95"/>
      <c r="G99" s="520"/>
      <c r="I99" s="372"/>
      <c r="J99" s="372"/>
      <c r="K99" s="372"/>
      <c r="L99" s="372"/>
      <c r="M99" s="372"/>
      <c r="N99" s="372"/>
      <c r="O99" s="372"/>
      <c r="P99" s="372"/>
      <c r="Q99" s="372"/>
      <c r="R99" s="372"/>
      <c r="S99" s="372"/>
      <c r="T99" s="523"/>
      <c r="U99" s="95"/>
      <c r="V99" s="95"/>
      <c r="W99" s="95"/>
      <c r="X99" s="95"/>
      <c r="Y99" s="95"/>
      <c r="Z99" s="95"/>
      <c r="AA99" s="95"/>
      <c r="AB99" s="95"/>
    </row>
    <row r="100" spans="1:28">
      <c r="A100" s="95"/>
      <c r="B100" s="95"/>
      <c r="C100" s="95"/>
      <c r="D100" s="95"/>
      <c r="E100" s="95"/>
      <c r="F100" s="95"/>
      <c r="G100" s="520"/>
      <c r="I100" s="372"/>
      <c r="J100" s="372"/>
      <c r="K100" s="372"/>
      <c r="L100" s="372"/>
      <c r="M100" s="372"/>
      <c r="N100" s="372"/>
      <c r="O100" s="372"/>
      <c r="P100" s="372"/>
      <c r="Q100" s="372"/>
      <c r="R100" s="372"/>
      <c r="S100" s="372"/>
      <c r="T100" s="523"/>
      <c r="U100" s="95"/>
      <c r="V100" s="95"/>
      <c r="W100" s="95"/>
      <c r="X100" s="95"/>
      <c r="Y100" s="95"/>
      <c r="Z100" s="95"/>
      <c r="AA100" s="95"/>
      <c r="AB100" s="95"/>
    </row>
    <row r="101" spans="1:28">
      <c r="A101" s="95"/>
      <c r="B101" s="95"/>
      <c r="C101" s="95"/>
      <c r="D101" s="95"/>
      <c r="E101" s="95"/>
      <c r="F101" s="95"/>
      <c r="G101" s="520"/>
      <c r="I101" s="372"/>
      <c r="J101" s="372"/>
      <c r="K101" s="372"/>
      <c r="L101" s="372"/>
      <c r="M101" s="372"/>
      <c r="N101" s="372"/>
      <c r="O101" s="372"/>
      <c r="P101" s="372"/>
      <c r="Q101" s="372"/>
      <c r="R101" s="372"/>
      <c r="S101" s="372"/>
      <c r="T101" s="523"/>
      <c r="U101" s="95"/>
      <c r="V101" s="95"/>
      <c r="W101" s="95"/>
      <c r="X101" s="95"/>
      <c r="Y101" s="95"/>
      <c r="Z101" s="95"/>
      <c r="AA101" s="95"/>
      <c r="AB101" s="95"/>
    </row>
    <row r="102" spans="1:28">
      <c r="A102" s="95"/>
      <c r="B102" s="95"/>
      <c r="C102" s="95"/>
      <c r="D102" s="95"/>
      <c r="E102" s="95"/>
      <c r="F102" s="95"/>
      <c r="G102" s="520"/>
      <c r="H102" s="372"/>
      <c r="I102" s="372"/>
      <c r="J102" s="372"/>
      <c r="K102" s="372"/>
      <c r="L102" s="372"/>
      <c r="M102" s="372"/>
      <c r="N102" s="372"/>
      <c r="O102" s="372"/>
      <c r="P102" s="372"/>
      <c r="Q102" s="372"/>
      <c r="R102" s="372"/>
      <c r="S102" s="372"/>
      <c r="T102" s="523"/>
      <c r="U102" s="95"/>
      <c r="V102" s="95"/>
      <c r="W102" s="95"/>
      <c r="X102" s="95"/>
      <c r="Y102" s="95"/>
      <c r="Z102" s="95"/>
      <c r="AA102" s="95"/>
      <c r="AB102" s="95"/>
    </row>
    <row r="103" spans="1:28">
      <c r="A103" s="95"/>
      <c r="B103" s="95"/>
      <c r="C103" s="95"/>
      <c r="D103" s="95"/>
      <c r="E103" s="95"/>
      <c r="F103" s="95"/>
      <c r="G103" s="520"/>
      <c r="H103" s="372"/>
      <c r="I103" s="372"/>
      <c r="J103" s="372"/>
      <c r="K103" s="372"/>
      <c r="L103" s="372"/>
      <c r="M103" s="372"/>
      <c r="N103" s="372"/>
      <c r="O103" s="372"/>
      <c r="P103" s="372"/>
      <c r="Q103" s="372"/>
      <c r="R103" s="372"/>
      <c r="S103" s="372"/>
      <c r="T103" s="523"/>
      <c r="U103" s="95"/>
      <c r="V103" s="95"/>
      <c r="W103" s="95"/>
      <c r="X103" s="95"/>
      <c r="Y103" s="95"/>
      <c r="Z103" s="95"/>
      <c r="AA103" s="95"/>
      <c r="AB103" s="95"/>
    </row>
    <row r="104" spans="1:28">
      <c r="A104" s="95"/>
      <c r="B104" s="95"/>
      <c r="C104" s="95"/>
      <c r="D104" s="95"/>
      <c r="E104" s="95"/>
      <c r="F104" s="95"/>
      <c r="G104" s="520"/>
      <c r="H104" s="372"/>
      <c r="I104" s="372"/>
      <c r="J104" s="372"/>
      <c r="K104" s="372"/>
      <c r="L104" s="372"/>
      <c r="M104" s="372"/>
      <c r="N104" s="372"/>
      <c r="O104" s="372"/>
      <c r="P104" s="372"/>
      <c r="Q104" s="372"/>
      <c r="R104" s="372"/>
      <c r="S104" s="372"/>
      <c r="T104" s="523"/>
      <c r="U104" s="95"/>
      <c r="V104" s="95"/>
      <c r="W104" s="95"/>
      <c r="X104" s="95"/>
      <c r="Y104" s="95"/>
      <c r="Z104" s="95"/>
      <c r="AA104" s="95"/>
      <c r="AB104" s="95"/>
    </row>
    <row r="105" spans="1:28">
      <c r="A105" s="95"/>
      <c r="B105" s="95"/>
      <c r="C105" s="95"/>
      <c r="D105" s="95"/>
      <c r="E105" s="95"/>
      <c r="F105" s="95"/>
      <c r="G105" s="520"/>
      <c r="H105" s="372"/>
      <c r="I105" s="372"/>
      <c r="J105" s="372"/>
      <c r="K105" s="372"/>
      <c r="L105" s="372"/>
      <c r="M105" s="372"/>
      <c r="N105" s="372"/>
      <c r="O105" s="372"/>
      <c r="P105" s="372"/>
      <c r="Q105" s="372"/>
      <c r="R105" s="372"/>
      <c r="S105" s="372"/>
      <c r="T105" s="523"/>
      <c r="U105" s="95"/>
      <c r="V105" s="95"/>
      <c r="W105" s="95"/>
      <c r="X105" s="95"/>
      <c r="Y105" s="95"/>
      <c r="Z105" s="95"/>
      <c r="AA105" s="95"/>
      <c r="AB105" s="95"/>
    </row>
    <row r="106" spans="1:28">
      <c r="A106" s="95"/>
      <c r="B106" s="95"/>
      <c r="C106" s="95"/>
      <c r="D106" s="95"/>
      <c r="E106" s="95"/>
      <c r="F106" s="95"/>
      <c r="G106" s="520"/>
      <c r="H106" s="372"/>
      <c r="I106" s="372"/>
      <c r="J106" s="372"/>
      <c r="K106" s="372"/>
      <c r="L106" s="372"/>
      <c r="M106" s="372"/>
      <c r="N106" s="372"/>
      <c r="O106" s="372"/>
      <c r="P106" s="372"/>
      <c r="Q106" s="372"/>
      <c r="R106" s="372"/>
      <c r="S106" s="372"/>
      <c r="T106" s="523"/>
      <c r="U106" s="95"/>
      <c r="V106" s="95"/>
      <c r="W106" s="95"/>
      <c r="X106" s="95"/>
      <c r="Y106" s="95"/>
      <c r="Z106" s="95"/>
      <c r="AA106" s="95"/>
      <c r="AB106" s="95"/>
    </row>
    <row r="107" spans="1:28">
      <c r="A107" s="95"/>
      <c r="B107" s="95"/>
      <c r="C107" s="95"/>
      <c r="D107" s="95"/>
      <c r="E107" s="95"/>
      <c r="F107" s="95"/>
      <c r="G107" s="520"/>
      <c r="H107" s="372"/>
      <c r="I107" s="372"/>
      <c r="J107" s="372"/>
      <c r="K107" s="372"/>
      <c r="L107" s="372"/>
      <c r="M107" s="372"/>
      <c r="N107" s="372"/>
      <c r="O107" s="372"/>
      <c r="P107" s="372"/>
      <c r="Q107" s="372"/>
      <c r="R107" s="372"/>
      <c r="S107" s="372"/>
      <c r="T107" s="523"/>
      <c r="U107" s="95"/>
      <c r="V107" s="95"/>
      <c r="W107" s="95"/>
      <c r="X107" s="95"/>
      <c r="Y107" s="95"/>
      <c r="Z107" s="95"/>
      <c r="AA107" s="95"/>
      <c r="AB107" s="95"/>
    </row>
    <row r="108" spans="1:28">
      <c r="A108" s="95"/>
      <c r="B108" s="95"/>
      <c r="C108" s="95"/>
      <c r="D108" s="95"/>
      <c r="E108" s="95"/>
      <c r="F108" s="95"/>
      <c r="G108" s="520"/>
      <c r="J108" s="372"/>
      <c r="L108" s="372"/>
      <c r="M108" s="372"/>
      <c r="N108" s="372"/>
      <c r="O108" s="372"/>
      <c r="P108" s="372"/>
      <c r="Q108" s="372"/>
      <c r="R108" s="372"/>
      <c r="S108" s="372"/>
      <c r="T108" s="523"/>
      <c r="U108" s="537" t="str">
        <f>Translate!$A$167&amp;" "&amp;V123</f>
        <v xml:space="preserve">Projects emissions per  </v>
      </c>
      <c r="V108" s="95"/>
      <c r="W108" s="95"/>
      <c r="X108" s="95"/>
      <c r="Y108" s="95"/>
      <c r="Z108" s="95"/>
      <c r="AA108" s="95"/>
      <c r="AB108" s="95"/>
    </row>
    <row r="109" spans="1:28">
      <c r="A109" s="95"/>
      <c r="B109" s="95"/>
      <c r="C109" s="95"/>
      <c r="D109" s="95"/>
      <c r="E109" s="95"/>
      <c r="F109" s="95"/>
      <c r="G109" s="520"/>
      <c r="H109" s="372"/>
      <c r="I109" s="372"/>
      <c r="J109" s="372"/>
      <c r="K109" s="372"/>
      <c r="L109" s="372"/>
      <c r="M109" s="372"/>
      <c r="N109" s="372"/>
      <c r="O109" s="372"/>
      <c r="P109" s="372"/>
      <c r="Q109" s="372"/>
      <c r="R109" s="372"/>
      <c r="S109" s="372"/>
      <c r="T109" s="523"/>
      <c r="U109" s="95"/>
      <c r="V109" s="95"/>
      <c r="W109" s="95"/>
      <c r="X109" s="95"/>
      <c r="Y109" s="95"/>
      <c r="Z109" s="95"/>
      <c r="AA109" s="95"/>
      <c r="AB109" s="95"/>
    </row>
    <row r="110" spans="1:28">
      <c r="A110" s="95"/>
      <c r="B110" s="95"/>
      <c r="C110" s="95"/>
      <c r="D110" s="95"/>
      <c r="E110" s="95"/>
      <c r="F110" s="95"/>
      <c r="G110" s="520"/>
      <c r="J110" s="372"/>
      <c r="L110" s="372"/>
      <c r="M110" s="372"/>
      <c r="N110" s="372"/>
      <c r="O110" s="372"/>
      <c r="P110" s="372"/>
      <c r="Q110" s="372"/>
      <c r="R110" s="372"/>
      <c r="S110" s="372"/>
      <c r="T110" s="523"/>
      <c r="U110" s="537" t="str">
        <f>Translate!$A$167&amp;" "&amp;V125</f>
        <v>Projects emissions per  Project value</v>
      </c>
      <c r="V110" s="95"/>
      <c r="W110" s="95"/>
      <c r="X110" s="95"/>
      <c r="Y110" s="95"/>
      <c r="Z110" s="95"/>
      <c r="AA110" s="95"/>
      <c r="AB110" s="95"/>
    </row>
    <row r="111" spans="1:28">
      <c r="A111" s="95"/>
      <c r="B111" s="95"/>
      <c r="C111" s="95"/>
      <c r="D111" s="95"/>
      <c r="E111" s="95"/>
      <c r="F111" s="95"/>
      <c r="G111" s="520"/>
      <c r="H111" s="372"/>
      <c r="I111" s="372"/>
      <c r="J111" s="372"/>
      <c r="K111" s="372"/>
      <c r="L111" s="372"/>
      <c r="M111" s="372"/>
      <c r="N111" s="372"/>
      <c r="O111" s="372"/>
      <c r="P111" s="372"/>
      <c r="Q111" s="372"/>
      <c r="R111" s="372"/>
      <c r="S111" s="372"/>
      <c r="T111" s="523"/>
      <c r="U111" s="95"/>
      <c r="V111" s="95"/>
      <c r="W111" s="95"/>
      <c r="X111" s="95"/>
      <c r="Y111" s="95"/>
      <c r="Z111" s="95"/>
      <c r="AA111" s="95"/>
      <c r="AB111" s="95"/>
    </row>
    <row r="112" spans="1:28" ht="15.75" thickBot="1">
      <c r="A112" s="95"/>
      <c r="B112" s="95"/>
      <c r="C112" s="95"/>
      <c r="D112" s="95"/>
      <c r="E112" s="95"/>
      <c r="F112" s="95"/>
      <c r="G112" s="532"/>
      <c r="H112" s="387"/>
      <c r="I112" s="387"/>
      <c r="J112" s="387"/>
      <c r="K112" s="387"/>
      <c r="L112" s="387"/>
      <c r="M112" s="387"/>
      <c r="N112" s="387"/>
      <c r="O112" s="387"/>
      <c r="P112" s="387"/>
      <c r="Q112" s="387"/>
      <c r="R112" s="387"/>
      <c r="S112" s="387"/>
      <c r="T112" s="612" t="str">
        <f>'READ ME'!E5</f>
        <v>EFFC DFI Carbon Calculator Tool v4.0</v>
      </c>
      <c r="U112" s="95"/>
      <c r="V112" s="95"/>
      <c r="W112" s="95"/>
      <c r="X112" s="95"/>
      <c r="Y112" s="95"/>
      <c r="Z112" s="95"/>
      <c r="AA112" s="95"/>
      <c r="AB112" s="95"/>
    </row>
    <row r="113" spans="1:30" ht="15.75" thickBot="1">
      <c r="A113" s="95"/>
      <c r="B113" s="95"/>
      <c r="C113" s="95"/>
      <c r="D113" s="95"/>
      <c r="E113" s="95"/>
      <c r="F113" s="95"/>
      <c r="G113" s="95"/>
      <c r="H113" s="95"/>
      <c r="I113" s="95"/>
      <c r="J113" s="95"/>
      <c r="K113" s="95"/>
      <c r="L113" s="95"/>
      <c r="M113" s="95"/>
      <c r="N113" s="95"/>
      <c r="O113" s="95"/>
      <c r="P113" s="95"/>
      <c r="Q113" s="95"/>
      <c r="R113" s="95"/>
      <c r="S113" s="95"/>
      <c r="T113" s="95"/>
      <c r="U113" s="95"/>
      <c r="V113" s="95"/>
      <c r="W113" s="95"/>
      <c r="X113" s="95"/>
      <c r="Y113" s="95"/>
      <c r="Z113" s="95"/>
      <c r="AA113" s="95"/>
      <c r="AB113" s="95"/>
    </row>
    <row r="114" spans="1:30" ht="15" customHeight="1">
      <c r="A114" s="320"/>
      <c r="B114" s="95"/>
      <c r="C114" s="95"/>
      <c r="D114" s="95"/>
      <c r="E114" s="95"/>
      <c r="F114" s="95"/>
      <c r="G114" s="560"/>
      <c r="H114" s="561"/>
      <c r="I114" s="821"/>
      <c r="J114" s="821"/>
      <c r="K114" s="821"/>
      <c r="L114" s="561"/>
      <c r="M114" s="561"/>
      <c r="N114" s="561"/>
      <c r="O114" s="561"/>
      <c r="P114" s="561"/>
      <c r="Q114" s="561"/>
      <c r="R114" s="561"/>
      <c r="S114" s="561"/>
      <c r="T114" s="562"/>
      <c r="U114" s="320"/>
      <c r="V114" s="320"/>
      <c r="W114" s="320"/>
      <c r="X114" s="320"/>
      <c r="Y114" s="320"/>
      <c r="Z114" s="320"/>
      <c r="AA114" s="320"/>
      <c r="AB114" s="320"/>
      <c r="AC114" s="320"/>
      <c r="AD114" s="320"/>
    </row>
    <row r="115" spans="1:30" ht="15" customHeight="1">
      <c r="A115" s="95"/>
      <c r="B115" s="95"/>
      <c r="C115" s="95"/>
      <c r="D115" s="95"/>
      <c r="E115" s="95"/>
      <c r="F115" s="95"/>
      <c r="G115" s="568"/>
      <c r="H115" s="567"/>
      <c r="I115" s="822"/>
      <c r="J115" s="822"/>
      <c r="K115" s="822"/>
      <c r="L115" s="564"/>
      <c r="M115" s="563"/>
      <c r="N115" s="563"/>
      <c r="O115" s="567"/>
      <c r="P115" s="567"/>
      <c r="Q115" s="567"/>
      <c r="R115" s="567"/>
      <c r="S115" s="567"/>
      <c r="T115" s="566"/>
      <c r="U115" s="565"/>
      <c r="V115" s="565"/>
      <c r="W115" s="565"/>
      <c r="X115" s="565"/>
      <c r="Y115" s="565"/>
      <c r="Z115" s="565"/>
      <c r="AA115" s="565"/>
      <c r="AB115" s="565"/>
      <c r="AC115" s="565"/>
      <c r="AD115" s="565"/>
    </row>
    <row r="116" spans="1:30" ht="15" customHeight="1">
      <c r="A116" s="95"/>
      <c r="B116" s="95"/>
      <c r="C116" s="95"/>
      <c r="D116" s="95"/>
      <c r="E116" s="95"/>
      <c r="F116" s="95"/>
      <c r="G116" s="568"/>
      <c r="H116" s="567"/>
      <c r="I116" s="822"/>
      <c r="J116" s="822"/>
      <c r="K116" s="822"/>
      <c r="L116" s="564"/>
      <c r="M116" s="564"/>
      <c r="N116" s="564"/>
      <c r="O116" s="567"/>
      <c r="P116" s="567"/>
      <c r="Q116" s="567"/>
      <c r="R116" s="567"/>
      <c r="S116" s="567"/>
      <c r="T116" s="566"/>
      <c r="U116" s="565"/>
      <c r="V116" s="565"/>
      <c r="W116" s="565"/>
      <c r="X116" s="565"/>
      <c r="Y116" s="565"/>
      <c r="Z116" s="565"/>
      <c r="AA116" s="565"/>
      <c r="AB116" s="565"/>
      <c r="AC116" s="565"/>
      <c r="AD116" s="565"/>
    </row>
    <row r="117" spans="1:30" ht="15" customHeight="1">
      <c r="A117" s="95"/>
      <c r="B117" s="95"/>
      <c r="C117" s="95"/>
      <c r="D117" s="95"/>
      <c r="E117" s="95"/>
      <c r="F117" s="95"/>
      <c r="G117" s="568"/>
      <c r="H117" s="567"/>
      <c r="I117" s="564"/>
      <c r="J117" s="563"/>
      <c r="K117" s="563"/>
      <c r="L117" s="564"/>
      <c r="M117" s="563"/>
      <c r="N117" s="563"/>
      <c r="O117" s="567"/>
      <c r="P117" s="567"/>
      <c r="Q117" s="567"/>
      <c r="R117" s="567"/>
      <c r="S117" s="567"/>
      <c r="T117" s="566"/>
      <c r="U117" s="565"/>
      <c r="V117" s="565"/>
      <c r="W117" s="565"/>
      <c r="X117" s="565"/>
      <c r="Y117" s="565"/>
      <c r="Z117" s="565"/>
      <c r="AA117" s="565"/>
      <c r="AB117" s="565"/>
      <c r="AC117" s="565"/>
      <c r="AD117" s="565"/>
    </row>
    <row r="118" spans="1:30" ht="15" customHeight="1">
      <c r="A118" s="95"/>
      <c r="B118" s="95"/>
      <c r="C118" s="95"/>
      <c r="D118" s="95"/>
      <c r="E118" s="95"/>
      <c r="F118" s="95"/>
      <c r="G118" s="568"/>
      <c r="H118" s="567"/>
      <c r="I118" s="564"/>
      <c r="J118" s="564"/>
      <c r="K118" s="564"/>
      <c r="L118"/>
      <c r="M118"/>
      <c r="N118"/>
      <c r="O118" s="567"/>
      <c r="P118" s="567"/>
      <c r="Q118" s="567"/>
      <c r="R118" s="567"/>
      <c r="S118" s="567"/>
      <c r="T118" s="566"/>
      <c r="U118" s="565"/>
      <c r="V118" s="565"/>
      <c r="W118" s="565"/>
      <c r="X118" s="565"/>
      <c r="Y118" s="565"/>
      <c r="Z118" s="565"/>
      <c r="AA118" s="565"/>
      <c r="AB118" s="565"/>
      <c r="AC118" s="565"/>
      <c r="AD118" s="565"/>
    </row>
    <row r="119" spans="1:30" ht="15" customHeight="1" thickBot="1">
      <c r="A119" s="95"/>
      <c r="B119" s="95"/>
      <c r="C119" s="95"/>
      <c r="D119" s="95"/>
      <c r="E119" s="95"/>
      <c r="F119" s="95"/>
      <c r="G119" s="568"/>
      <c r="H119" s="567"/>
      <c r="I119" s="564"/>
      <c r="J119" s="563"/>
      <c r="K119" s="563"/>
      <c r="L119"/>
      <c r="M119"/>
      <c r="N119"/>
      <c r="O119" s="567"/>
      <c r="P119" s="567"/>
      <c r="Q119" s="567"/>
      <c r="R119" s="567"/>
      <c r="S119" s="567"/>
      <c r="T119" s="566"/>
      <c r="U119" s="565"/>
      <c r="V119" s="565"/>
      <c r="W119" s="565"/>
      <c r="X119" s="565"/>
      <c r="Y119" s="565"/>
      <c r="Z119" s="565"/>
      <c r="AA119" s="565"/>
      <c r="AB119" s="565"/>
      <c r="AC119" s="565"/>
      <c r="AD119" s="565"/>
    </row>
    <row r="120" spans="1:30" ht="33.75" customHeight="1" thickBot="1">
      <c r="A120" s="95"/>
      <c r="B120" s="95"/>
      <c r="C120" s="95"/>
      <c r="D120" s="95"/>
      <c r="E120" s="95"/>
      <c r="F120" s="95"/>
      <c r="G120" s="533"/>
      <c r="H120" s="534" t="str">
        <f>Translate!$A$158</f>
        <v>Comparison sheet (2/2)</v>
      </c>
      <c r="I120" s="535"/>
      <c r="J120" s="535"/>
      <c r="K120" s="535"/>
      <c r="L120" s="535"/>
      <c r="M120" s="535"/>
      <c r="N120" s="535"/>
      <c r="O120" s="535"/>
      <c r="P120" s="535"/>
      <c r="Q120" s="535"/>
      <c r="R120" s="535"/>
      <c r="S120" s="535"/>
      <c r="T120" s="536"/>
      <c r="U120" s="95"/>
      <c r="V120" s="95"/>
      <c r="W120" s="95"/>
      <c r="X120" s="95"/>
      <c r="Y120" s="95"/>
      <c r="Z120" s="95"/>
      <c r="AA120" s="95"/>
      <c r="AB120" s="95"/>
    </row>
    <row r="121" spans="1:30">
      <c r="A121" s="95"/>
      <c r="B121" s="95"/>
      <c r="C121" s="95"/>
      <c r="D121" s="95"/>
      <c r="E121" s="95"/>
      <c r="F121" s="95"/>
      <c r="G121" s="520"/>
      <c r="H121" s="372"/>
      <c r="I121" s="372"/>
      <c r="J121" s="372"/>
      <c r="K121" s="372"/>
      <c r="L121" s="372"/>
      <c r="M121" s="372"/>
      <c r="N121" s="372"/>
      <c r="O121" s="372"/>
      <c r="P121" s="372"/>
      <c r="Q121" s="372"/>
      <c r="R121" s="372"/>
      <c r="S121" s="372"/>
      <c r="T121" s="523"/>
      <c r="U121" s="95"/>
      <c r="V121" s="95"/>
      <c r="W121" s="95"/>
      <c r="X121" s="95"/>
      <c r="Y121" s="95"/>
      <c r="Z121" s="95"/>
      <c r="AA121" s="95"/>
      <c r="AB121" s="95"/>
    </row>
    <row r="122" spans="1:30">
      <c r="A122" s="95"/>
      <c r="B122" s="95"/>
      <c r="C122" s="95"/>
      <c r="D122" s="95"/>
      <c r="E122" s="95"/>
      <c r="F122" s="95"/>
      <c r="G122" s="520"/>
      <c r="H122" s="372"/>
      <c r="I122" s="372"/>
      <c r="J122" s="372"/>
      <c r="K122" s="372"/>
      <c r="L122" s="372"/>
      <c r="M122" s="372"/>
      <c r="N122" s="372"/>
      <c r="O122" s="372"/>
      <c r="P122" s="372"/>
      <c r="Q122" s="372"/>
      <c r="R122" s="372"/>
      <c r="S122" s="372"/>
      <c r="T122" s="523"/>
      <c r="U122" s="95"/>
      <c r="V122" s="95"/>
      <c r="W122" s="95"/>
      <c r="X122" s="95"/>
      <c r="Y122" s="95"/>
      <c r="Z122" s="95"/>
      <c r="AA122" s="95"/>
      <c r="AB122" s="95"/>
    </row>
    <row r="123" spans="1:30">
      <c r="A123" s="95"/>
      <c r="B123" s="95"/>
      <c r="C123" s="95"/>
      <c r="D123" s="95"/>
      <c r="E123" s="95"/>
      <c r="F123" s="95"/>
      <c r="G123" s="520"/>
      <c r="H123" s="372"/>
      <c r="I123" s="372"/>
      <c r="J123" s="372"/>
      <c r="K123" s="372"/>
      <c r="L123" s="372"/>
      <c r="M123" s="372"/>
      <c r="N123" s="372"/>
      <c r="O123" s="372"/>
      <c r="P123" s="372"/>
      <c r="Q123" s="372"/>
      <c r="R123" s="372"/>
      <c r="S123" s="372"/>
      <c r="T123" s="523"/>
      <c r="U123" s="95"/>
      <c r="V123" s="95"/>
      <c r="W123" s="95"/>
      <c r="X123" s="95"/>
      <c r="Y123" s="95"/>
      <c r="Z123" s="95"/>
      <c r="AA123" s="95"/>
      <c r="AB123" s="95"/>
    </row>
    <row r="124" spans="1:30">
      <c r="A124" s="95"/>
      <c r="B124" s="95"/>
      <c r="C124" s="95"/>
      <c r="D124" s="95"/>
      <c r="E124" s="95"/>
      <c r="F124" s="95"/>
      <c r="G124" s="520"/>
      <c r="H124" s="372"/>
      <c r="I124" s="372"/>
      <c r="J124" s="372"/>
      <c r="K124" s="372"/>
      <c r="L124" s="372"/>
      <c r="M124" s="372"/>
      <c r="N124" s="372"/>
      <c r="O124" s="372"/>
      <c r="P124" s="372"/>
      <c r="Q124" s="372"/>
      <c r="R124" s="372"/>
      <c r="S124" s="372"/>
      <c r="T124" s="523"/>
      <c r="U124" s="95"/>
      <c r="V124" s="95"/>
      <c r="W124" s="95"/>
      <c r="X124" s="95"/>
      <c r="Y124" s="95"/>
      <c r="Z124" s="95"/>
      <c r="AA124" s="95"/>
      <c r="AB124" s="95"/>
    </row>
    <row r="125" spans="1:30">
      <c r="A125" s="95"/>
      <c r="B125" s="95"/>
      <c r="C125" s="95"/>
      <c r="D125" s="95"/>
      <c r="E125" s="95"/>
      <c r="F125" s="95"/>
      <c r="G125" s="520"/>
      <c r="H125" s="372"/>
      <c r="I125" s="372"/>
      <c r="J125" s="372"/>
      <c r="K125" s="372"/>
      <c r="L125" s="372"/>
      <c r="M125" s="372"/>
      <c r="N125" s="372"/>
      <c r="O125" s="372"/>
      <c r="P125" s="372"/>
      <c r="Q125" s="372"/>
      <c r="R125" s="372"/>
      <c r="S125" s="372"/>
      <c r="T125" s="523"/>
      <c r="U125" s="569" t="str">
        <f>Translate!$A$168</f>
        <v>ratio variable :</v>
      </c>
      <c r="V125" s="529" t="s">
        <v>436</v>
      </c>
      <c r="W125" s="95"/>
      <c r="X125" s="95"/>
      <c r="Y125" s="95"/>
      <c r="Z125" s="95"/>
      <c r="AA125" s="95"/>
      <c r="AB125" s="95"/>
    </row>
    <row r="126" spans="1:30">
      <c r="A126" s="95"/>
      <c r="B126" s="95"/>
      <c r="C126" s="95"/>
      <c r="D126" s="95"/>
      <c r="E126" s="95"/>
      <c r="F126" s="95"/>
      <c r="G126" s="520"/>
      <c r="H126" s="372"/>
      <c r="I126" s="372"/>
      <c r="J126" s="372"/>
      <c r="K126" s="372"/>
      <c r="L126" s="372"/>
      <c r="M126" s="372"/>
      <c r="N126" s="372"/>
      <c r="O126" s="372"/>
      <c r="P126" s="372"/>
      <c r="Q126" s="372"/>
      <c r="R126" s="372"/>
      <c r="S126" s="372"/>
      <c r="T126" s="523"/>
      <c r="U126" s="95"/>
      <c r="V126" s="95"/>
      <c r="W126" s="95"/>
      <c r="X126" s="95"/>
      <c r="Y126" s="95"/>
      <c r="Z126" s="95"/>
      <c r="AA126" s="95"/>
      <c r="AB126" s="95"/>
    </row>
    <row r="127" spans="1:30">
      <c r="A127" s="95"/>
      <c r="B127" s="95"/>
      <c r="C127" s="95"/>
      <c r="D127" s="95"/>
      <c r="E127" s="95"/>
      <c r="F127" s="95"/>
      <c r="G127" s="520"/>
      <c r="H127" s="372"/>
      <c r="I127" s="372"/>
      <c r="J127" s="372"/>
      <c r="K127" s="372"/>
      <c r="L127" s="372"/>
      <c r="M127" s="372"/>
      <c r="N127" s="372"/>
      <c r="O127" s="372"/>
      <c r="P127" s="372"/>
      <c r="Q127" s="372"/>
      <c r="R127" s="372"/>
      <c r="S127" s="372"/>
      <c r="T127" s="523"/>
      <c r="U127" s="95"/>
      <c r="V127" s="96" t="str">
        <f>Translate!$A$171</f>
        <v>Functional units have to be the exactly the same</v>
      </c>
      <c r="W127" s="95"/>
      <c r="X127" s="95"/>
      <c r="Y127" s="95"/>
      <c r="Z127" s="95"/>
      <c r="AA127" s="95"/>
      <c r="AB127" s="95"/>
    </row>
    <row r="128" spans="1:30">
      <c r="A128" s="95"/>
      <c r="B128" s="95"/>
      <c r="C128" s="95"/>
      <c r="D128" s="95"/>
      <c r="E128" s="95"/>
      <c r="F128" s="95"/>
      <c r="G128" s="520"/>
      <c r="H128" s="372"/>
      <c r="I128" s="372"/>
      <c r="J128" s="372"/>
      <c r="K128" s="372"/>
      <c r="L128" s="372"/>
      <c r="M128" s="372"/>
      <c r="N128" s="372"/>
      <c r="O128" s="372"/>
      <c r="P128" s="372"/>
      <c r="Q128" s="372"/>
      <c r="R128" s="372"/>
      <c r="S128" s="372"/>
      <c r="T128" s="523"/>
      <c r="U128" s="95"/>
      <c r="V128" s="95"/>
      <c r="W128" s="95"/>
      <c r="X128" s="95"/>
      <c r="Y128" s="95"/>
      <c r="Z128" s="95"/>
      <c r="AA128" s="95"/>
      <c r="AB128" s="95"/>
    </row>
    <row r="129" spans="1:28">
      <c r="A129" s="95"/>
      <c r="B129" s="95"/>
      <c r="C129" s="95"/>
      <c r="D129" s="95"/>
      <c r="E129" s="95"/>
      <c r="F129" s="95"/>
      <c r="G129" s="520"/>
      <c r="H129" s="372"/>
      <c r="I129" s="372"/>
      <c r="J129" s="372"/>
      <c r="K129" s="372"/>
      <c r="L129" s="372"/>
      <c r="M129" s="372"/>
      <c r="N129" s="372"/>
      <c r="O129" s="372"/>
      <c r="P129" s="372"/>
      <c r="Q129" s="372"/>
      <c r="R129" s="372"/>
      <c r="S129" s="372"/>
      <c r="T129" s="523"/>
      <c r="U129" s="95"/>
      <c r="V129" s="95"/>
      <c r="W129" s="95"/>
      <c r="X129" s="95"/>
      <c r="Y129" s="95"/>
      <c r="Z129" s="95"/>
      <c r="AA129" s="95"/>
      <c r="AB129" s="95"/>
    </row>
    <row r="130" spans="1:28">
      <c r="A130" s="95"/>
      <c r="B130" s="95"/>
      <c r="C130" s="95"/>
      <c r="D130" s="95"/>
      <c r="E130" s="95"/>
      <c r="F130" s="95"/>
      <c r="G130" s="520"/>
      <c r="H130" s="372"/>
      <c r="I130" s="372"/>
      <c r="J130" s="372"/>
      <c r="K130" s="372"/>
      <c r="L130" s="372"/>
      <c r="M130" s="372"/>
      <c r="N130" s="372"/>
      <c r="O130" s="372"/>
      <c r="P130" s="372"/>
      <c r="Q130" s="372"/>
      <c r="R130" s="372"/>
      <c r="S130" s="372"/>
      <c r="T130" s="523"/>
      <c r="U130" s="320"/>
      <c r="V130" s="712" t="b">
        <v>1</v>
      </c>
      <c r="W130" s="95"/>
      <c r="X130" s="95"/>
      <c r="Y130" s="95"/>
      <c r="Z130" s="95"/>
      <c r="AA130" s="95"/>
      <c r="AB130" s="95"/>
    </row>
    <row r="131" spans="1:28">
      <c r="A131" s="95"/>
      <c r="B131" s="95"/>
      <c r="C131" s="95"/>
      <c r="D131" s="95"/>
      <c r="E131" s="95"/>
      <c r="F131" s="95"/>
      <c r="G131" s="520"/>
      <c r="H131" s="372"/>
      <c r="I131" s="372"/>
      <c r="J131" s="372"/>
      <c r="K131" s="372"/>
      <c r="L131" s="372"/>
      <c r="M131" s="372"/>
      <c r="N131" s="372"/>
      <c r="O131" s="372"/>
      <c r="P131" s="372"/>
      <c r="Q131" s="372"/>
      <c r="R131" s="372"/>
      <c r="S131" s="372"/>
      <c r="T131" s="523"/>
      <c r="U131" s="95"/>
      <c r="V131" s="95"/>
      <c r="W131" s="95"/>
      <c r="X131" s="95"/>
      <c r="Y131" s="95"/>
      <c r="Z131" s="95"/>
      <c r="AA131" s="95"/>
      <c r="AB131" s="95"/>
    </row>
    <row r="132" spans="1:28">
      <c r="A132" s="95"/>
      <c r="B132" s="95"/>
      <c r="C132" s="95"/>
      <c r="D132" s="95"/>
      <c r="E132" s="95"/>
      <c r="F132" s="95"/>
      <c r="G132" s="520"/>
      <c r="H132" s="372"/>
      <c r="I132" s="372"/>
      <c r="J132" s="372"/>
      <c r="K132" s="372"/>
      <c r="L132" s="372"/>
      <c r="M132" s="372"/>
      <c r="N132" s="372"/>
      <c r="O132" s="372"/>
      <c r="P132" s="372"/>
      <c r="Q132" s="372"/>
      <c r="R132" s="372"/>
      <c r="S132" s="372"/>
      <c r="T132" s="523"/>
      <c r="U132" s="95"/>
      <c r="V132" s="95"/>
      <c r="W132" s="95"/>
      <c r="X132" s="95"/>
      <c r="Y132" s="95"/>
      <c r="Z132" s="95"/>
      <c r="AA132" s="95"/>
      <c r="AB132" s="95"/>
    </row>
    <row r="133" spans="1:28">
      <c r="A133" s="95"/>
      <c r="B133" s="95"/>
      <c r="C133" s="95"/>
      <c r="D133" s="95"/>
      <c r="E133" s="95"/>
      <c r="F133" s="95"/>
      <c r="G133" s="520"/>
      <c r="H133" s="372"/>
      <c r="I133" s="372"/>
      <c r="J133" s="372"/>
      <c r="K133" s="372"/>
      <c r="L133" s="372"/>
      <c r="M133" s="372"/>
      <c r="N133" s="372"/>
      <c r="O133" s="372"/>
      <c r="P133" s="372"/>
      <c r="Q133" s="372"/>
      <c r="R133" s="372"/>
      <c r="S133" s="372"/>
      <c r="T133" s="523"/>
      <c r="U133" s="95"/>
      <c r="V133" s="95"/>
      <c r="W133" s="95"/>
      <c r="X133" s="95"/>
      <c r="Y133" s="95"/>
      <c r="Z133" s="95"/>
      <c r="AA133" s="95"/>
      <c r="AB133" s="95"/>
    </row>
    <row r="134" spans="1:28">
      <c r="A134" s="95"/>
      <c r="B134" s="95"/>
      <c r="C134" s="95"/>
      <c r="D134" s="95"/>
      <c r="E134" s="95"/>
      <c r="F134" s="95"/>
      <c r="G134" s="520"/>
      <c r="H134" s="372"/>
      <c r="I134" s="372"/>
      <c r="J134" s="372"/>
      <c r="K134" s="372"/>
      <c r="L134" s="372"/>
      <c r="M134" s="372"/>
      <c r="N134" s="372"/>
      <c r="O134" s="372"/>
      <c r="P134" s="372"/>
      <c r="Q134" s="372"/>
      <c r="R134" s="372"/>
      <c r="S134" s="372"/>
      <c r="T134" s="523"/>
      <c r="U134" s="95"/>
      <c r="V134" s="95"/>
      <c r="W134" s="95"/>
      <c r="X134" s="95"/>
      <c r="Y134" s="95"/>
      <c r="Z134" s="95"/>
      <c r="AA134" s="95"/>
      <c r="AB134" s="95"/>
    </row>
    <row r="135" spans="1:28">
      <c r="A135" s="95"/>
      <c r="B135" s="95"/>
      <c r="C135" s="95"/>
      <c r="D135" s="95"/>
      <c r="E135" s="95"/>
      <c r="F135" s="95"/>
      <c r="G135" s="520"/>
      <c r="H135" s="372"/>
      <c r="I135" s="372"/>
      <c r="J135" s="372"/>
      <c r="K135" s="372"/>
      <c r="L135" s="372"/>
      <c r="M135" s="372"/>
      <c r="N135" s="372"/>
      <c r="O135" s="372"/>
      <c r="P135" s="372"/>
      <c r="Q135" s="372"/>
      <c r="R135" s="372"/>
      <c r="S135" s="372"/>
      <c r="T135" s="523"/>
      <c r="U135" s="95"/>
      <c r="V135" s="95"/>
      <c r="W135" s="95"/>
      <c r="X135" s="95"/>
      <c r="Y135" s="95"/>
      <c r="Z135" s="95"/>
      <c r="AA135" s="95"/>
      <c r="AB135" s="95"/>
    </row>
    <row r="136" spans="1:28">
      <c r="A136" s="95"/>
      <c r="B136" s="95"/>
      <c r="C136" s="95"/>
      <c r="D136" s="95"/>
      <c r="E136" s="95"/>
      <c r="F136" s="95"/>
      <c r="G136" s="520"/>
      <c r="H136" s="372"/>
      <c r="I136" s="372"/>
      <c r="J136" s="372"/>
      <c r="K136" s="372"/>
      <c r="L136" s="372"/>
      <c r="M136" s="372"/>
      <c r="N136" s="372"/>
      <c r="O136" s="372"/>
      <c r="P136" s="372"/>
      <c r="Q136" s="372"/>
      <c r="R136" s="372"/>
      <c r="S136" s="372"/>
      <c r="T136" s="523"/>
      <c r="U136" s="95"/>
      <c r="V136" s="95"/>
      <c r="W136" s="95"/>
      <c r="X136" s="95"/>
      <c r="Y136" s="95"/>
      <c r="Z136" s="95"/>
      <c r="AA136" s="95"/>
      <c r="AB136" s="95"/>
    </row>
    <row r="137" spans="1:28">
      <c r="A137" s="95"/>
      <c r="B137" s="95"/>
      <c r="C137" s="95"/>
      <c r="D137" s="95"/>
      <c r="E137" s="95"/>
      <c r="F137" s="95"/>
      <c r="G137" s="520"/>
      <c r="H137" s="372"/>
      <c r="I137" s="372"/>
      <c r="J137" s="372"/>
      <c r="K137" s="372"/>
      <c r="L137" s="372"/>
      <c r="M137" s="372"/>
      <c r="N137" s="372"/>
      <c r="O137" s="372"/>
      <c r="P137" s="372"/>
      <c r="Q137" s="372"/>
      <c r="R137" s="372"/>
      <c r="S137" s="372"/>
      <c r="T137" s="523"/>
      <c r="U137" s="95"/>
      <c r="V137" s="95"/>
      <c r="W137" s="95"/>
      <c r="X137" s="95"/>
      <c r="Y137" s="95"/>
      <c r="Z137" s="95"/>
      <c r="AA137" s="95"/>
      <c r="AB137" s="95"/>
    </row>
    <row r="138" spans="1:28">
      <c r="A138" s="95"/>
      <c r="B138" s="95"/>
      <c r="C138" s="95"/>
      <c r="D138" s="95"/>
      <c r="E138" s="95"/>
      <c r="F138" s="95"/>
      <c r="G138" s="520"/>
      <c r="H138" s="372"/>
      <c r="I138" s="372"/>
      <c r="J138" s="372"/>
      <c r="K138" s="372"/>
      <c r="L138" s="372"/>
      <c r="M138" s="372"/>
      <c r="N138" s="372"/>
      <c r="O138" s="372"/>
      <c r="P138" s="372"/>
      <c r="Q138" s="372"/>
      <c r="R138" s="372"/>
      <c r="S138" s="372"/>
      <c r="T138" s="523"/>
      <c r="U138" s="95"/>
      <c r="V138" s="95"/>
      <c r="W138" s="95"/>
      <c r="X138" s="95"/>
      <c r="Y138" s="95"/>
      <c r="Z138" s="95"/>
      <c r="AA138" s="95"/>
      <c r="AB138" s="95"/>
    </row>
    <row r="139" spans="1:28">
      <c r="A139" s="95"/>
      <c r="B139" s="95"/>
      <c r="C139" s="95"/>
      <c r="D139" s="95"/>
      <c r="E139" s="95"/>
      <c r="F139" s="95"/>
      <c r="G139" s="520"/>
      <c r="H139" s="372"/>
      <c r="I139" s="372"/>
      <c r="J139" s="372"/>
      <c r="K139" s="372"/>
      <c r="L139" s="372"/>
      <c r="M139" s="372"/>
      <c r="N139" s="372"/>
      <c r="O139" s="372"/>
      <c r="P139" s="372"/>
      <c r="Q139" s="372"/>
      <c r="R139" s="372"/>
      <c r="S139" s="372"/>
      <c r="T139" s="523"/>
      <c r="U139" s="95"/>
      <c r="V139" s="95"/>
      <c r="W139" s="95"/>
      <c r="X139" s="95"/>
      <c r="Y139" s="95"/>
      <c r="Z139" s="95"/>
      <c r="AA139" s="95"/>
      <c r="AB139" s="95"/>
    </row>
    <row r="140" spans="1:28">
      <c r="A140" s="95"/>
      <c r="B140" s="95"/>
      <c r="C140" s="95"/>
      <c r="D140" s="95"/>
      <c r="E140" s="95"/>
      <c r="F140" s="95"/>
      <c r="G140" s="520"/>
      <c r="H140" s="372"/>
      <c r="I140" s="372"/>
      <c r="J140" s="372"/>
      <c r="K140" s="372"/>
      <c r="L140" s="372"/>
      <c r="M140" s="372"/>
      <c r="N140" s="372"/>
      <c r="O140" s="372"/>
      <c r="P140" s="372"/>
      <c r="Q140" s="372"/>
      <c r="R140" s="372"/>
      <c r="S140" s="372"/>
      <c r="T140" s="523"/>
      <c r="U140" s="95"/>
      <c r="V140" s="95"/>
      <c r="W140" s="95"/>
      <c r="X140" s="95"/>
      <c r="Y140" s="95"/>
      <c r="Z140" s="95"/>
      <c r="AA140" s="95"/>
      <c r="AB140" s="95"/>
    </row>
    <row r="141" spans="1:28">
      <c r="A141" s="95"/>
      <c r="B141" s="95"/>
      <c r="C141" s="95"/>
      <c r="D141" s="95"/>
      <c r="E141" s="95"/>
      <c r="F141" s="95"/>
      <c r="G141" s="520"/>
      <c r="H141" s="372"/>
      <c r="I141" s="372"/>
      <c r="J141" s="372"/>
      <c r="K141" s="372"/>
      <c r="L141" s="372"/>
      <c r="M141" s="372"/>
      <c r="N141" s="372"/>
      <c r="O141" s="372"/>
      <c r="P141" s="372"/>
      <c r="Q141" s="372"/>
      <c r="R141" s="372"/>
      <c r="S141" s="372"/>
      <c r="T141" s="523"/>
      <c r="U141" s="95"/>
      <c r="V141" s="95"/>
      <c r="W141" s="95"/>
      <c r="X141" s="95"/>
      <c r="Y141" s="95"/>
      <c r="Z141" s="95"/>
      <c r="AA141" s="95"/>
      <c r="AB141" s="95"/>
    </row>
    <row r="142" spans="1:28">
      <c r="A142" s="95"/>
      <c r="B142" s="95"/>
      <c r="C142" s="95"/>
      <c r="D142" s="95"/>
      <c r="E142" s="95"/>
      <c r="F142" s="95"/>
      <c r="G142" s="520"/>
      <c r="H142" s="372"/>
      <c r="I142" s="372"/>
      <c r="J142" s="372"/>
      <c r="K142" s="372"/>
      <c r="L142" s="372"/>
      <c r="M142" s="372"/>
      <c r="N142" s="372"/>
      <c r="O142" s="372"/>
      <c r="P142" s="372"/>
      <c r="Q142" s="372"/>
      <c r="R142" s="372"/>
      <c r="S142" s="372"/>
      <c r="T142" s="523"/>
      <c r="U142" s="95"/>
      <c r="V142" s="95"/>
      <c r="W142" s="95"/>
      <c r="X142" s="95"/>
      <c r="Y142" s="95"/>
      <c r="Z142" s="95"/>
      <c r="AA142" s="95"/>
      <c r="AB142" s="95"/>
    </row>
    <row r="143" spans="1:28">
      <c r="A143" s="95"/>
      <c r="B143" s="95"/>
      <c r="C143" s="95"/>
      <c r="D143" s="95"/>
      <c r="E143" s="95"/>
      <c r="F143" s="95"/>
      <c r="G143" s="520"/>
      <c r="H143" s="372"/>
      <c r="I143" s="372"/>
      <c r="J143" s="372"/>
      <c r="K143" s="372"/>
      <c r="L143" s="372"/>
      <c r="M143" s="372"/>
      <c r="N143" s="372"/>
      <c r="O143" s="372"/>
      <c r="P143" s="372"/>
      <c r="Q143" s="372"/>
      <c r="R143" s="372"/>
      <c r="S143" s="372"/>
      <c r="T143" s="523"/>
      <c r="U143" s="95"/>
      <c r="V143" s="95"/>
      <c r="W143" s="95"/>
      <c r="X143" s="95"/>
      <c r="Y143" s="95"/>
      <c r="Z143" s="95"/>
      <c r="AA143" s="95"/>
      <c r="AB143" s="95"/>
    </row>
    <row r="144" spans="1:28">
      <c r="A144" s="95"/>
      <c r="B144" s="95"/>
      <c r="C144" s="95"/>
      <c r="D144" s="95"/>
      <c r="E144" s="95"/>
      <c r="F144" s="95"/>
      <c r="G144" s="520"/>
      <c r="H144" s="372"/>
      <c r="I144" s="372"/>
      <c r="J144" s="372"/>
      <c r="K144" s="372"/>
      <c r="L144" s="372"/>
      <c r="M144" s="372"/>
      <c r="N144" s="372"/>
      <c r="O144" s="372"/>
      <c r="P144" s="372"/>
      <c r="Q144" s="372"/>
      <c r="R144" s="372"/>
      <c r="S144" s="372"/>
      <c r="T144" s="523"/>
      <c r="U144" s="95"/>
      <c r="V144" s="95"/>
      <c r="W144" s="95"/>
      <c r="X144" s="95"/>
      <c r="Y144" s="95"/>
      <c r="Z144" s="95"/>
      <c r="AA144" s="95"/>
      <c r="AB144" s="95"/>
    </row>
    <row r="145" spans="1:28">
      <c r="A145" s="95"/>
      <c r="B145" s="95"/>
      <c r="C145" s="95"/>
      <c r="D145" s="95"/>
      <c r="E145" s="95"/>
      <c r="F145" s="95"/>
      <c r="G145" s="520"/>
      <c r="H145" s="372"/>
      <c r="I145" s="372"/>
      <c r="J145" s="372"/>
      <c r="K145" s="372"/>
      <c r="L145" s="372"/>
      <c r="M145" s="372"/>
      <c r="N145" s="372"/>
      <c r="O145" s="372"/>
      <c r="P145" s="372"/>
      <c r="Q145" s="372"/>
      <c r="R145" s="372"/>
      <c r="S145" s="372"/>
      <c r="T145" s="523"/>
      <c r="U145" s="95"/>
      <c r="V145" s="95"/>
      <c r="W145" s="95"/>
      <c r="X145" s="95"/>
      <c r="Y145" s="95"/>
      <c r="Z145" s="95"/>
      <c r="AA145" s="95"/>
      <c r="AB145" s="95"/>
    </row>
    <row r="146" spans="1:28">
      <c r="A146" s="95"/>
      <c r="B146" s="95"/>
      <c r="C146" s="95"/>
      <c r="D146" s="95"/>
      <c r="E146" s="95"/>
      <c r="F146" s="95"/>
      <c r="G146" s="520"/>
      <c r="H146" s="372"/>
      <c r="I146" s="372"/>
      <c r="J146" s="372"/>
      <c r="K146" s="372"/>
      <c r="L146" s="372"/>
      <c r="M146" s="372"/>
      <c r="N146" s="372"/>
      <c r="O146" s="372"/>
      <c r="P146" s="372"/>
      <c r="Q146" s="372"/>
      <c r="R146" s="372"/>
      <c r="S146" s="372"/>
      <c r="T146" s="523"/>
      <c r="U146" s="95"/>
      <c r="V146" s="95"/>
      <c r="W146" s="95"/>
      <c r="X146" s="95"/>
      <c r="Y146" s="95"/>
      <c r="Z146" s="95"/>
      <c r="AA146" s="95"/>
      <c r="AB146" s="95"/>
    </row>
    <row r="147" spans="1:28">
      <c r="A147" s="95"/>
      <c r="B147" s="95"/>
      <c r="C147" s="95"/>
      <c r="D147" s="95"/>
      <c r="E147" s="95"/>
      <c r="F147" s="95"/>
      <c r="G147" s="520"/>
      <c r="H147" s="372"/>
      <c r="I147" s="372"/>
      <c r="J147" s="372"/>
      <c r="K147" s="372"/>
      <c r="L147" s="372"/>
      <c r="M147" s="372"/>
      <c r="N147" s="372"/>
      <c r="O147" s="372"/>
      <c r="P147" s="372"/>
      <c r="Q147" s="372"/>
      <c r="R147" s="372"/>
      <c r="S147" s="372"/>
      <c r="T147" s="523"/>
      <c r="U147" s="95"/>
      <c r="V147" s="95"/>
      <c r="W147" s="95"/>
      <c r="X147" s="95"/>
      <c r="Y147" s="95"/>
      <c r="Z147" s="95"/>
      <c r="AA147" s="95"/>
      <c r="AB147" s="95"/>
    </row>
    <row r="148" spans="1:28">
      <c r="A148" s="95"/>
      <c r="B148" s="95"/>
      <c r="C148" s="95"/>
      <c r="D148" s="95"/>
      <c r="E148" s="95"/>
      <c r="F148" s="95"/>
      <c r="G148" s="520"/>
      <c r="H148" s="372"/>
      <c r="I148" s="372"/>
      <c r="J148" s="372"/>
      <c r="K148" s="372"/>
      <c r="L148" s="372"/>
      <c r="M148" s="372"/>
      <c r="N148" s="372"/>
      <c r="O148" s="372"/>
      <c r="P148" s="372"/>
      <c r="Q148" s="372"/>
      <c r="R148" s="372"/>
      <c r="S148" s="372"/>
      <c r="T148" s="523"/>
      <c r="U148" s="95"/>
      <c r="V148" s="95"/>
      <c r="W148" s="95"/>
      <c r="X148" s="95"/>
      <c r="Y148" s="95"/>
      <c r="Z148" s="95"/>
      <c r="AA148" s="95"/>
      <c r="AB148" s="95"/>
    </row>
    <row r="149" spans="1:28">
      <c r="A149" s="95"/>
      <c r="B149" s="95"/>
      <c r="C149" s="95"/>
      <c r="D149" s="95"/>
      <c r="E149" s="95"/>
      <c r="F149" s="95"/>
      <c r="G149" s="520"/>
      <c r="H149" s="372"/>
      <c r="I149" s="372"/>
      <c r="J149" s="372"/>
      <c r="K149" s="372"/>
      <c r="L149" s="372"/>
      <c r="M149" s="372"/>
      <c r="N149" s="372"/>
      <c r="O149" s="372"/>
      <c r="P149" s="372"/>
      <c r="Q149" s="372"/>
      <c r="R149" s="372"/>
      <c r="S149" s="372"/>
      <c r="T149" s="523"/>
      <c r="U149" s="95"/>
      <c r="V149" s="95"/>
      <c r="W149" s="95"/>
      <c r="X149" s="95"/>
      <c r="Y149" s="95"/>
      <c r="Z149" s="95"/>
      <c r="AA149" s="95"/>
      <c r="AB149" s="95"/>
    </row>
    <row r="150" spans="1:28">
      <c r="A150" s="95"/>
      <c r="B150" s="95"/>
      <c r="C150" s="95"/>
      <c r="D150" s="95"/>
      <c r="E150" s="95"/>
      <c r="F150" s="95"/>
      <c r="G150" s="520"/>
      <c r="H150" s="372"/>
      <c r="I150" s="372"/>
      <c r="J150" s="372"/>
      <c r="K150" s="372"/>
      <c r="L150" s="372"/>
      <c r="M150" s="372"/>
      <c r="N150" s="372"/>
      <c r="O150" s="372"/>
      <c r="P150" s="372"/>
      <c r="Q150" s="372"/>
      <c r="R150" s="372"/>
      <c r="S150" s="372"/>
      <c r="T150" s="523"/>
      <c r="U150" s="95"/>
      <c r="V150" s="95"/>
      <c r="W150" s="95"/>
      <c r="X150" s="95"/>
      <c r="Y150" s="95"/>
      <c r="Z150" s="95"/>
      <c r="AA150" s="95"/>
      <c r="AB150" s="95"/>
    </row>
    <row r="151" spans="1:28">
      <c r="A151" s="95"/>
      <c r="B151" s="95"/>
      <c r="C151" s="95"/>
      <c r="D151" s="95"/>
      <c r="E151" s="95"/>
      <c r="F151" s="95"/>
      <c r="G151" s="520"/>
      <c r="H151" s="372"/>
      <c r="I151" s="372"/>
      <c r="J151" s="372"/>
      <c r="K151" s="372"/>
      <c r="L151" s="372"/>
      <c r="M151" s="372"/>
      <c r="N151" s="372"/>
      <c r="O151" s="372"/>
      <c r="P151" s="372"/>
      <c r="Q151" s="372"/>
      <c r="R151" s="372"/>
      <c r="S151" s="372"/>
      <c r="T151" s="523"/>
      <c r="U151" s="95"/>
      <c r="V151" s="95"/>
      <c r="W151" s="95"/>
      <c r="X151" s="95"/>
      <c r="Y151" s="95"/>
      <c r="Z151" s="95"/>
      <c r="AA151" s="95"/>
      <c r="AB151" s="95"/>
    </row>
    <row r="152" spans="1:28">
      <c r="A152" s="95"/>
      <c r="B152" s="95"/>
      <c r="C152" s="95"/>
      <c r="D152" s="95"/>
      <c r="E152" s="95"/>
      <c r="F152" s="95"/>
      <c r="G152" s="520"/>
      <c r="H152" s="372"/>
      <c r="I152" s="372"/>
      <c r="J152" s="372"/>
      <c r="K152" s="372"/>
      <c r="L152" s="372"/>
      <c r="M152" s="372"/>
      <c r="N152" s="372"/>
      <c r="O152" s="372"/>
      <c r="P152" s="372"/>
      <c r="Q152" s="372"/>
      <c r="R152" s="372"/>
      <c r="S152" s="372"/>
      <c r="T152" s="523"/>
      <c r="U152" s="95"/>
      <c r="V152" s="95"/>
      <c r="W152" s="95"/>
      <c r="X152" s="95"/>
      <c r="Y152" s="95"/>
      <c r="Z152" s="95"/>
      <c r="AA152" s="95"/>
      <c r="AB152" s="95"/>
    </row>
    <row r="153" spans="1:28">
      <c r="A153" s="95"/>
      <c r="B153" s="95"/>
      <c r="C153" s="95"/>
      <c r="D153" s="95"/>
      <c r="E153" s="95"/>
      <c r="F153" s="95"/>
      <c r="G153" s="520"/>
      <c r="H153" s="372"/>
      <c r="I153" s="372"/>
      <c r="J153" s="372"/>
      <c r="K153" s="372"/>
      <c r="L153" s="372"/>
      <c r="M153" s="372"/>
      <c r="N153" s="372"/>
      <c r="O153" s="372"/>
      <c r="P153" s="372"/>
      <c r="Q153" s="372"/>
      <c r="R153" s="372"/>
      <c r="S153" s="372"/>
      <c r="T153" s="523"/>
      <c r="U153" s="95"/>
      <c r="V153" s="95"/>
      <c r="W153" s="95"/>
      <c r="X153" s="95"/>
      <c r="Y153" s="95"/>
      <c r="Z153" s="95"/>
      <c r="AA153" s="95"/>
      <c r="AB153" s="95"/>
    </row>
    <row r="154" spans="1:28">
      <c r="A154" s="95"/>
      <c r="B154" s="95"/>
      <c r="C154" s="95"/>
      <c r="D154" s="95"/>
      <c r="E154" s="95"/>
      <c r="F154" s="95"/>
      <c r="G154" s="520"/>
      <c r="H154" s="372"/>
      <c r="I154" s="372"/>
      <c r="J154" s="372"/>
      <c r="K154" s="372"/>
      <c r="L154" s="372"/>
      <c r="M154" s="372"/>
      <c r="N154" s="372"/>
      <c r="O154" s="372"/>
      <c r="P154" s="372"/>
      <c r="Q154" s="372"/>
      <c r="R154" s="372"/>
      <c r="S154" s="372"/>
      <c r="T154" s="523"/>
      <c r="U154" s="95"/>
      <c r="V154" s="95"/>
      <c r="W154" s="95"/>
      <c r="X154" s="95"/>
      <c r="Y154" s="95"/>
      <c r="Z154" s="95"/>
      <c r="AA154" s="95"/>
      <c r="AB154" s="95"/>
    </row>
    <row r="155" spans="1:28">
      <c r="A155" s="95"/>
      <c r="B155" s="95"/>
      <c r="C155" s="95"/>
      <c r="D155" s="95"/>
      <c r="E155" s="95"/>
      <c r="F155" s="95"/>
      <c r="G155" s="520"/>
      <c r="H155" s="372"/>
      <c r="I155" s="372"/>
      <c r="J155" s="372"/>
      <c r="K155" s="372"/>
      <c r="L155" s="372"/>
      <c r="M155" s="372"/>
      <c r="N155" s="372"/>
      <c r="O155" s="372"/>
      <c r="P155" s="372"/>
      <c r="Q155" s="372"/>
      <c r="R155" s="372"/>
      <c r="S155" s="372"/>
      <c r="T155" s="523"/>
      <c r="U155" s="95"/>
      <c r="V155" s="95"/>
      <c r="W155" s="95"/>
      <c r="X155" s="95"/>
      <c r="Y155" s="95"/>
      <c r="Z155" s="95"/>
      <c r="AA155" s="95"/>
      <c r="AB155" s="95"/>
    </row>
    <row r="156" spans="1:28">
      <c r="A156" s="95"/>
      <c r="B156" s="95"/>
      <c r="C156" s="95"/>
      <c r="D156" s="95"/>
      <c r="E156" s="95"/>
      <c r="F156" s="95"/>
      <c r="G156" s="520"/>
      <c r="H156" s="372"/>
      <c r="I156" s="372"/>
      <c r="J156" s="372"/>
      <c r="K156" s="372"/>
      <c r="L156" s="372"/>
      <c r="M156" s="372"/>
      <c r="N156" s="372"/>
      <c r="O156" s="372"/>
      <c r="P156" s="372"/>
      <c r="Q156" s="372"/>
      <c r="R156" s="372"/>
      <c r="S156" s="372"/>
      <c r="T156" s="523"/>
      <c r="U156" s="95"/>
      <c r="V156" s="95"/>
      <c r="W156" s="95"/>
      <c r="X156" s="95"/>
      <c r="Y156" s="95"/>
      <c r="Z156" s="95"/>
      <c r="AA156" s="95"/>
      <c r="AB156" s="95"/>
    </row>
    <row r="157" spans="1:28">
      <c r="A157" s="95"/>
      <c r="B157" s="95"/>
      <c r="C157" s="95"/>
      <c r="D157" s="95"/>
      <c r="E157" s="95"/>
      <c r="F157" s="95"/>
      <c r="G157" s="520"/>
      <c r="H157" s="372"/>
      <c r="I157" s="372"/>
      <c r="J157" s="372"/>
      <c r="K157" s="372"/>
      <c r="L157" s="372"/>
      <c r="M157" s="372"/>
      <c r="N157" s="372"/>
      <c r="O157" s="372"/>
      <c r="P157" s="372"/>
      <c r="Q157" s="372"/>
      <c r="R157" s="372"/>
      <c r="S157" s="372"/>
      <c r="T157" s="523"/>
      <c r="U157" s="95"/>
      <c r="V157" s="95"/>
      <c r="W157" s="95"/>
      <c r="X157" s="95"/>
      <c r="Y157" s="95"/>
      <c r="Z157" s="95"/>
      <c r="AA157" s="95"/>
      <c r="AB157" s="95"/>
    </row>
    <row r="158" spans="1:28">
      <c r="A158" s="95"/>
      <c r="B158" s="95"/>
      <c r="C158" s="95"/>
      <c r="D158" s="95"/>
      <c r="E158" s="95"/>
      <c r="F158" s="95"/>
      <c r="G158" s="520"/>
      <c r="H158" s="372"/>
      <c r="I158" s="372"/>
      <c r="J158" s="372"/>
      <c r="K158" s="372"/>
      <c r="L158" s="372"/>
      <c r="M158" s="372"/>
      <c r="N158" s="372"/>
      <c r="O158" s="372"/>
      <c r="P158" s="372"/>
      <c r="Q158" s="372"/>
      <c r="R158" s="372"/>
      <c r="S158" s="372"/>
      <c r="T158" s="523"/>
      <c r="U158" s="95"/>
      <c r="V158" s="95"/>
      <c r="W158" s="95"/>
      <c r="X158" s="95"/>
      <c r="Y158" s="95"/>
      <c r="Z158" s="95"/>
      <c r="AA158" s="95"/>
      <c r="AB158" s="95"/>
    </row>
    <row r="159" spans="1:28">
      <c r="A159" s="95"/>
      <c r="B159" s="95"/>
      <c r="C159" s="95"/>
      <c r="D159" s="95"/>
      <c r="E159" s="95"/>
      <c r="F159" s="95"/>
      <c r="G159" s="520"/>
      <c r="H159" s="372"/>
      <c r="I159" s="372" t="str">
        <f>V125</f>
        <v>Project value</v>
      </c>
      <c r="J159" s="521" t="str">
        <f t="shared" ref="J159:P159" ca="1" si="6">IF(J$17,VLOOKUP($I159,$I$41:$P$43,COLUMN(J159)-COLUMN($I$159)+1,0),"")</f>
        <v/>
      </c>
      <c r="K159" s="521" t="str">
        <f t="shared" ca="1" si="6"/>
        <v/>
      </c>
      <c r="L159" s="521" t="str">
        <f t="shared" ca="1" si="6"/>
        <v/>
      </c>
      <c r="M159" s="521" t="str">
        <f t="shared" ca="1" si="6"/>
        <v/>
      </c>
      <c r="N159" s="521" t="str">
        <f t="shared" ca="1" si="6"/>
        <v/>
      </c>
      <c r="O159" s="521" t="str">
        <f t="shared" ca="1" si="6"/>
        <v/>
      </c>
      <c r="P159" s="521">
        <f t="shared" ca="1" si="6"/>
        <v>0</v>
      </c>
      <c r="Q159" s="521" t="str">
        <f ca="1">IF(1,VLOOKUP($I159,$I$41:$Q$43,COLUMN(Q159)-COLUMN($I$159)+1,0),"")</f>
        <v/>
      </c>
      <c r="R159" s="372"/>
      <c r="S159" s="372"/>
      <c r="T159" s="523"/>
      <c r="U159" s="95"/>
      <c r="V159" s="95"/>
      <c r="W159" s="95"/>
      <c r="X159" s="95"/>
      <c r="Y159" s="95"/>
      <c r="Z159" s="95"/>
      <c r="AA159" s="95"/>
      <c r="AB159" s="95"/>
    </row>
    <row r="160" spans="1:28">
      <c r="A160" s="95"/>
      <c r="B160" s="95"/>
      <c r="C160" s="95"/>
      <c r="D160" s="95"/>
      <c r="E160" s="95"/>
      <c r="F160" s="95"/>
      <c r="G160" s="520"/>
      <c r="H160" s="372"/>
      <c r="I160" s="372"/>
      <c r="J160" s="372"/>
      <c r="K160" s="372"/>
      <c r="L160" s="372"/>
      <c r="M160" s="372"/>
      <c r="N160" s="372"/>
      <c r="O160" s="372"/>
      <c r="P160" s="372"/>
      <c r="Q160" s="372"/>
      <c r="R160" s="372"/>
      <c r="S160" s="372"/>
      <c r="T160" s="523"/>
      <c r="U160" s="95"/>
      <c r="V160" s="95"/>
      <c r="W160" s="95"/>
      <c r="X160" s="95"/>
      <c r="Y160" s="95"/>
      <c r="Z160" s="95"/>
      <c r="AA160" s="95"/>
      <c r="AB160" s="95"/>
    </row>
    <row r="161" spans="1:28">
      <c r="A161" s="95"/>
      <c r="B161" s="95"/>
      <c r="C161" s="95"/>
      <c r="D161" s="95"/>
      <c r="E161" s="95"/>
      <c r="F161" s="95"/>
      <c r="G161" s="520"/>
      <c r="H161" s="372"/>
      <c r="I161" s="372"/>
      <c r="J161" s="372"/>
      <c r="K161" s="372"/>
      <c r="L161" s="372"/>
      <c r="M161" s="372"/>
      <c r="N161" s="372"/>
      <c r="O161" s="372"/>
      <c r="P161" s="372"/>
      <c r="Q161" s="372"/>
      <c r="R161" s="372"/>
      <c r="S161" s="372"/>
      <c r="T161" s="523"/>
      <c r="U161" s="95"/>
      <c r="V161" s="95"/>
      <c r="W161" s="95"/>
      <c r="X161" s="95"/>
      <c r="Y161" s="95"/>
      <c r="Z161" s="95"/>
      <c r="AA161" s="95"/>
      <c r="AB161" s="95"/>
    </row>
    <row r="162" spans="1:28" ht="15.75">
      <c r="A162" s="95"/>
      <c r="B162" s="95"/>
      <c r="C162" s="95"/>
      <c r="D162" s="95"/>
      <c r="E162" s="95"/>
      <c r="F162" s="95"/>
      <c r="G162" s="520"/>
      <c r="H162" s="372"/>
      <c r="I162" s="372"/>
      <c r="J162" s="530" t="str">
        <f t="shared" ref="J162:O162" ca="1" si="7">IF(J$17,J$16,"")</f>
        <v/>
      </c>
      <c r="K162" s="530" t="str">
        <f t="shared" ca="1" si="7"/>
        <v/>
      </c>
      <c r="L162" s="530" t="str">
        <f t="shared" ca="1" si="7"/>
        <v/>
      </c>
      <c r="M162" s="530" t="str">
        <f t="shared" ca="1" si="7"/>
        <v/>
      </c>
      <c r="N162" s="530" t="str">
        <f t="shared" ca="1" si="7"/>
        <v/>
      </c>
      <c r="O162" s="530" t="str">
        <f t="shared" ca="1" si="7"/>
        <v/>
      </c>
      <c r="P162" s="522" t="s">
        <v>77</v>
      </c>
      <c r="Q162" s="372"/>
      <c r="R162" s="372"/>
      <c r="S162" s="372"/>
      <c r="T162" s="523"/>
      <c r="U162" s="95"/>
      <c r="V162" s="95"/>
      <c r="W162" s="95"/>
      <c r="X162" s="95"/>
      <c r="Y162" s="95"/>
      <c r="Z162" s="95"/>
      <c r="AA162" s="95"/>
      <c r="AB162" s="95"/>
    </row>
    <row r="163" spans="1:28">
      <c r="A163" s="95"/>
      <c r="B163" s="95"/>
      <c r="C163" s="95"/>
      <c r="D163" s="95"/>
      <c r="E163" s="95"/>
      <c r="F163" s="95"/>
      <c r="G163" s="520"/>
      <c r="H163" s="372"/>
      <c r="I163" s="433" t="str">
        <f>Translate!$A$104</f>
        <v>Materials</v>
      </c>
      <c r="J163" s="521" t="str">
        <f t="shared" ref="J163:O169" ca="1" si="8">IF(J$17,IF(ISERROR(J29/J$159),0,J29/J$159*1000)*IF($V$130,1000,1),"")</f>
        <v/>
      </c>
      <c r="K163" s="521" t="str">
        <f t="shared" ca="1" si="8"/>
        <v/>
      </c>
      <c r="L163" s="521" t="str">
        <f t="shared" ca="1" si="8"/>
        <v/>
      </c>
      <c r="M163" s="521" t="str">
        <f t="shared" ca="1" si="8"/>
        <v/>
      </c>
      <c r="N163" s="521" t="str">
        <f t="shared" ca="1" si="8"/>
        <v/>
      </c>
      <c r="O163" s="521" t="str">
        <f t="shared" ca="1" si="8"/>
        <v/>
      </c>
      <c r="P163" s="521">
        <f t="shared" ref="P163:P169" ca="1" si="9">IF(P$17,IF(ISERROR(P29/P$159),0,P29/P$159*1000),"")</f>
        <v>0</v>
      </c>
      <c r="Q163" s="521" t="str">
        <f ca="1">IF(V130,Translate!$A$155,Translate!$A$154)&amp;Q159</f>
        <v xml:space="preserve">gCO2e / </v>
      </c>
      <c r="R163" s="372"/>
      <c r="S163" s="372"/>
      <c r="T163" s="523"/>
      <c r="U163" s="95"/>
      <c r="V163" s="95"/>
      <c r="W163" s="95"/>
      <c r="X163" s="95"/>
      <c r="Y163" s="95"/>
      <c r="Z163" s="95"/>
      <c r="AA163" s="95"/>
      <c r="AB163" s="95"/>
    </row>
    <row r="164" spans="1:28">
      <c r="A164" s="95"/>
      <c r="B164" s="95"/>
      <c r="C164" s="95"/>
      <c r="D164" s="95"/>
      <c r="E164" s="95"/>
      <c r="F164" s="95"/>
      <c r="G164" s="520"/>
      <c r="H164" s="372"/>
      <c r="I164" s="433" t="str">
        <f>Translate!$A$105</f>
        <v>Energy</v>
      </c>
      <c r="J164" s="521" t="str">
        <f t="shared" ca="1" si="8"/>
        <v/>
      </c>
      <c r="K164" s="521" t="str">
        <f t="shared" ca="1" si="8"/>
        <v/>
      </c>
      <c r="L164" s="521" t="str">
        <f t="shared" ca="1" si="8"/>
        <v/>
      </c>
      <c r="M164" s="521" t="str">
        <f t="shared" ca="1" si="8"/>
        <v/>
      </c>
      <c r="N164" s="521" t="str">
        <f t="shared" ca="1" si="8"/>
        <v/>
      </c>
      <c r="O164" s="521" t="str">
        <f t="shared" ca="1" si="8"/>
        <v/>
      </c>
      <c r="P164" s="521">
        <f t="shared" ca="1" si="9"/>
        <v>0</v>
      </c>
      <c r="Q164" s="521" t="str">
        <f ca="1">Q163</f>
        <v xml:space="preserve">gCO2e / </v>
      </c>
      <c r="R164" s="372"/>
      <c r="S164" s="372"/>
      <c r="T164" s="523"/>
      <c r="U164" s="95"/>
      <c r="V164" s="95"/>
      <c r="W164" s="95"/>
      <c r="X164" s="95"/>
      <c r="Y164" s="95"/>
      <c r="Z164" s="95"/>
      <c r="AA164" s="95"/>
      <c r="AB164" s="95"/>
    </row>
    <row r="165" spans="1:28">
      <c r="A165" s="95"/>
      <c r="B165" s="95"/>
      <c r="C165" s="95"/>
      <c r="D165" s="95"/>
      <c r="E165" s="95"/>
      <c r="F165" s="95"/>
      <c r="G165" s="520"/>
      <c r="H165" s="372"/>
      <c r="I165" s="433" t="str">
        <f>Translate!$A$106</f>
        <v>Freight</v>
      </c>
      <c r="J165" s="521" t="str">
        <f t="shared" ca="1" si="8"/>
        <v/>
      </c>
      <c r="K165" s="521" t="str">
        <f t="shared" ca="1" si="8"/>
        <v/>
      </c>
      <c r="L165" s="521" t="str">
        <f t="shared" ca="1" si="8"/>
        <v/>
      </c>
      <c r="M165" s="521" t="str">
        <f t="shared" ca="1" si="8"/>
        <v/>
      </c>
      <c r="N165" s="521" t="str">
        <f t="shared" ca="1" si="8"/>
        <v/>
      </c>
      <c r="O165" s="521" t="str">
        <f t="shared" ca="1" si="8"/>
        <v/>
      </c>
      <c r="P165" s="521">
        <f t="shared" ca="1" si="9"/>
        <v>0</v>
      </c>
      <c r="Q165" s="521" t="str">
        <f t="shared" ref="Q165:Q170" ca="1" si="10">Q164</f>
        <v xml:space="preserve">gCO2e / </v>
      </c>
      <c r="R165" s="372"/>
      <c r="S165" s="372"/>
      <c r="T165" s="523"/>
      <c r="U165" s="95"/>
      <c r="V165" s="95"/>
      <c r="W165" s="95"/>
      <c r="X165" s="95"/>
      <c r="Y165" s="95"/>
      <c r="Z165" s="95"/>
      <c r="AA165" s="95"/>
      <c r="AB165" s="95"/>
    </row>
    <row r="166" spans="1:28">
      <c r="A166" s="95"/>
      <c r="B166" s="95"/>
      <c r="C166" s="95"/>
      <c r="D166" s="95"/>
      <c r="E166" s="95"/>
      <c r="F166" s="95"/>
      <c r="G166" s="520"/>
      <c r="H166" s="372"/>
      <c r="I166" s="433" t="str">
        <f>Translate!$A$107</f>
        <v>Mob/demob</v>
      </c>
      <c r="J166" s="521" t="str">
        <f t="shared" ca="1" si="8"/>
        <v/>
      </c>
      <c r="K166" s="521" t="str">
        <f t="shared" ca="1" si="8"/>
        <v/>
      </c>
      <c r="L166" s="521" t="str">
        <f t="shared" ca="1" si="8"/>
        <v/>
      </c>
      <c r="M166" s="521" t="str">
        <f t="shared" ca="1" si="8"/>
        <v/>
      </c>
      <c r="N166" s="521" t="str">
        <f t="shared" ca="1" si="8"/>
        <v/>
      </c>
      <c r="O166" s="521" t="str">
        <f t="shared" ca="1" si="8"/>
        <v/>
      </c>
      <c r="P166" s="521">
        <f t="shared" ca="1" si="9"/>
        <v>0</v>
      </c>
      <c r="Q166" s="521" t="str">
        <f t="shared" ca="1" si="10"/>
        <v xml:space="preserve">gCO2e / </v>
      </c>
      <c r="R166" s="372"/>
      <c r="S166" s="372"/>
      <c r="T166" s="523"/>
      <c r="U166" s="95"/>
      <c r="V166" s="95"/>
      <c r="W166" s="95"/>
      <c r="X166" s="95"/>
      <c r="Y166" s="95"/>
      <c r="Z166" s="95"/>
      <c r="AA166" s="95"/>
      <c r="AB166" s="95"/>
    </row>
    <row r="167" spans="1:28">
      <c r="A167" s="95"/>
      <c r="B167" s="95"/>
      <c r="C167" s="95"/>
      <c r="D167" s="95"/>
      <c r="E167" s="95"/>
      <c r="F167" s="95"/>
      <c r="G167" s="520"/>
      <c r="H167" s="372"/>
      <c r="I167" s="433" t="str">
        <f>Translate!$A$108</f>
        <v>People's transportation</v>
      </c>
      <c r="J167" s="521" t="str">
        <f t="shared" ca="1" si="8"/>
        <v/>
      </c>
      <c r="K167" s="521" t="str">
        <f t="shared" ca="1" si="8"/>
        <v/>
      </c>
      <c r="L167" s="521" t="str">
        <f t="shared" ca="1" si="8"/>
        <v/>
      </c>
      <c r="M167" s="521" t="str">
        <f t="shared" ca="1" si="8"/>
        <v/>
      </c>
      <c r="N167" s="521" t="str">
        <f t="shared" ca="1" si="8"/>
        <v/>
      </c>
      <c r="O167" s="521" t="str">
        <f t="shared" ca="1" si="8"/>
        <v/>
      </c>
      <c r="P167" s="521">
        <f t="shared" ca="1" si="9"/>
        <v>0</v>
      </c>
      <c r="Q167" s="521" t="str">
        <f t="shared" ca="1" si="10"/>
        <v xml:space="preserve">gCO2e / </v>
      </c>
      <c r="R167" s="372"/>
      <c r="S167" s="372"/>
      <c r="T167" s="523"/>
      <c r="U167" s="95"/>
      <c r="V167" s="95"/>
      <c r="W167" s="95"/>
      <c r="X167" s="95"/>
      <c r="Y167" s="95"/>
      <c r="Z167" s="95"/>
      <c r="AA167" s="95"/>
      <c r="AB167" s="95"/>
    </row>
    <row r="168" spans="1:28">
      <c r="A168" s="95"/>
      <c r="B168" s="95"/>
      <c r="C168" s="95"/>
      <c r="D168" s="95"/>
      <c r="E168" s="95"/>
      <c r="F168" s="95"/>
      <c r="G168" s="520"/>
      <c r="H168" s="372"/>
      <c r="I168" s="433" t="str">
        <f>Translate!$A$109</f>
        <v>Assets</v>
      </c>
      <c r="J168" s="521" t="str">
        <f t="shared" ca="1" si="8"/>
        <v/>
      </c>
      <c r="K168" s="521" t="str">
        <f t="shared" ca="1" si="8"/>
        <v/>
      </c>
      <c r="L168" s="521" t="str">
        <f t="shared" ca="1" si="8"/>
        <v/>
      </c>
      <c r="M168" s="521" t="str">
        <f t="shared" ca="1" si="8"/>
        <v/>
      </c>
      <c r="N168" s="521" t="str">
        <f t="shared" ca="1" si="8"/>
        <v/>
      </c>
      <c r="O168" s="521" t="str">
        <f t="shared" ca="1" si="8"/>
        <v/>
      </c>
      <c r="P168" s="521">
        <f t="shared" ca="1" si="9"/>
        <v>0</v>
      </c>
      <c r="Q168" s="521" t="str">
        <f t="shared" ca="1" si="10"/>
        <v xml:space="preserve">gCO2e / </v>
      </c>
      <c r="R168" s="372"/>
      <c r="S168" s="372"/>
      <c r="T168" s="523"/>
      <c r="U168" s="95"/>
      <c r="V168" s="95"/>
      <c r="W168" s="95"/>
      <c r="X168" s="95"/>
      <c r="Y168" s="95"/>
      <c r="Z168" s="95"/>
      <c r="AA168" s="95"/>
      <c r="AB168" s="95"/>
    </row>
    <row r="169" spans="1:28">
      <c r="A169" s="95"/>
      <c r="B169" s="95"/>
      <c r="C169" s="95"/>
      <c r="D169" s="95"/>
      <c r="E169" s="95"/>
      <c r="F169" s="95"/>
      <c r="G169" s="520"/>
      <c r="H169" s="372"/>
      <c r="I169" s="433" t="str">
        <f>Translate!$A$110</f>
        <v>Waste</v>
      </c>
      <c r="J169" s="521" t="str">
        <f t="shared" ca="1" si="8"/>
        <v/>
      </c>
      <c r="K169" s="521" t="str">
        <f t="shared" ca="1" si="8"/>
        <v/>
      </c>
      <c r="L169" s="521" t="str">
        <f t="shared" ca="1" si="8"/>
        <v/>
      </c>
      <c r="M169" s="521" t="str">
        <f t="shared" ca="1" si="8"/>
        <v/>
      </c>
      <c r="N169" s="521" t="str">
        <f t="shared" ca="1" si="8"/>
        <v/>
      </c>
      <c r="O169" s="521" t="str">
        <f t="shared" ca="1" si="8"/>
        <v/>
      </c>
      <c r="P169" s="521">
        <f t="shared" ca="1" si="9"/>
        <v>0</v>
      </c>
      <c r="Q169" s="521" t="str">
        <f t="shared" ca="1" si="10"/>
        <v xml:space="preserve">gCO2e / </v>
      </c>
      <c r="R169" s="372"/>
      <c r="S169" s="372"/>
      <c r="T169" s="523"/>
      <c r="U169" s="95"/>
      <c r="V169" s="95"/>
      <c r="W169" s="95"/>
      <c r="X169" s="95"/>
      <c r="Y169" s="95"/>
      <c r="Z169" s="95"/>
      <c r="AA169" s="95"/>
      <c r="AB169" s="95"/>
    </row>
    <row r="170" spans="1:28" ht="15.75">
      <c r="A170" s="95"/>
      <c r="B170" s="95"/>
      <c r="C170" s="95"/>
      <c r="D170" s="95"/>
      <c r="E170" s="95"/>
      <c r="F170" s="95"/>
      <c r="G170" s="520"/>
      <c r="H170" s="372"/>
      <c r="I170" s="372"/>
      <c r="J170" s="524">
        <f ca="1">IF(SUM(J163:J169)=0,0,ROUND(SUM(J163:J169),-ROUNDDOWN(LOG(ABS(SUM(J163:J169))),0)+1))</f>
        <v>0</v>
      </c>
      <c r="K170" s="524">
        <f t="shared" ref="K170:P170" ca="1" si="11">IF(SUM(K163:K169)=0,0,ROUND(SUM(K163:K169),-ROUNDDOWN(LOG(ABS(SUM(K163:K169))),0)+1))</f>
        <v>0</v>
      </c>
      <c r="L170" s="524">
        <f t="shared" ca="1" si="11"/>
        <v>0</v>
      </c>
      <c r="M170" s="524">
        <f t="shared" ca="1" si="11"/>
        <v>0</v>
      </c>
      <c r="N170" s="524">
        <f t="shared" ca="1" si="11"/>
        <v>0</v>
      </c>
      <c r="O170" s="524">
        <f t="shared" ca="1" si="11"/>
        <v>0</v>
      </c>
      <c r="P170" s="524">
        <f t="shared" ca="1" si="11"/>
        <v>0</v>
      </c>
      <c r="Q170" s="521" t="str">
        <f t="shared" ca="1" si="10"/>
        <v xml:space="preserve">gCO2e / </v>
      </c>
      <c r="R170" s="372"/>
      <c r="S170" s="372"/>
      <c r="T170" s="523"/>
      <c r="U170" s="95"/>
      <c r="V170" s="95"/>
      <c r="W170" s="95"/>
      <c r="X170" s="95"/>
      <c r="Y170" s="95"/>
      <c r="Z170" s="95"/>
      <c r="AA170" s="95"/>
      <c r="AB170" s="95"/>
    </row>
    <row r="171" spans="1:28">
      <c r="A171" s="95"/>
      <c r="B171" s="95"/>
      <c r="C171" s="95"/>
      <c r="D171" s="95"/>
      <c r="E171" s="95"/>
      <c r="F171" s="95"/>
      <c r="G171" s="520"/>
      <c r="H171" s="372"/>
      <c r="I171" s="372"/>
      <c r="J171" s="372"/>
      <c r="K171" s="372"/>
      <c r="L171" s="372"/>
      <c r="M171" s="372"/>
      <c r="N171" s="372"/>
      <c r="O171" s="372"/>
      <c r="P171" s="372"/>
      <c r="Q171" s="372"/>
      <c r="R171" s="372"/>
      <c r="S171" s="372"/>
      <c r="T171" s="523"/>
      <c r="U171" s="95"/>
      <c r="V171" s="95"/>
      <c r="W171" s="95"/>
      <c r="X171" s="95"/>
      <c r="Y171" s="95"/>
      <c r="Z171" s="95"/>
      <c r="AA171" s="95"/>
      <c r="AB171" s="95"/>
    </row>
    <row r="172" spans="1:28">
      <c r="A172" s="95"/>
      <c r="B172" s="95"/>
      <c r="C172" s="95"/>
      <c r="D172" s="95"/>
      <c r="E172" s="95"/>
      <c r="F172" s="95"/>
      <c r="G172" s="520"/>
      <c r="H172" s="372"/>
      <c r="I172" s="372"/>
      <c r="J172" s="372"/>
      <c r="K172" s="372"/>
      <c r="L172" s="372"/>
      <c r="M172" s="372"/>
      <c r="N172" s="372"/>
      <c r="O172" s="372"/>
      <c r="P172" s="372"/>
      <c r="Q172" s="372"/>
      <c r="R172" s="372"/>
      <c r="S172" s="372"/>
      <c r="T172" s="523"/>
      <c r="U172" s="95"/>
      <c r="V172" s="95"/>
      <c r="W172" s="95"/>
      <c r="X172" s="95"/>
      <c r="Y172" s="95"/>
      <c r="Z172" s="95"/>
      <c r="AA172" s="95"/>
      <c r="AB172" s="95"/>
    </row>
    <row r="173" spans="1:28" ht="15.75">
      <c r="A173" s="95"/>
      <c r="B173" s="95"/>
      <c r="C173" s="95"/>
      <c r="D173" s="95"/>
      <c r="E173" s="95"/>
      <c r="F173" s="95"/>
      <c r="G173" s="520"/>
      <c r="H173" s="372"/>
      <c r="I173" s="372"/>
      <c r="J173" s="530" t="str">
        <f t="shared" ref="J173:O173" ca="1" si="12">IF(J$17,J$16,"")</f>
        <v/>
      </c>
      <c r="K173" s="530" t="str">
        <f t="shared" ca="1" si="12"/>
        <v/>
      </c>
      <c r="L173" s="530" t="str">
        <f t="shared" ca="1" si="12"/>
        <v/>
      </c>
      <c r="M173" s="530" t="str">
        <f t="shared" ca="1" si="12"/>
        <v/>
      </c>
      <c r="N173" s="530" t="str">
        <f t="shared" ca="1" si="12"/>
        <v/>
      </c>
      <c r="O173" s="530" t="str">
        <f t="shared" ca="1" si="12"/>
        <v/>
      </c>
      <c r="P173" s="522" t="s">
        <v>77</v>
      </c>
      <c r="Q173" s="372"/>
      <c r="R173" s="372"/>
      <c r="S173" s="372"/>
      <c r="T173" s="523"/>
      <c r="U173" s="95"/>
      <c r="V173" s="95"/>
      <c r="W173" s="95"/>
      <c r="X173" s="95"/>
      <c r="Y173" s="95"/>
      <c r="Z173" s="95"/>
      <c r="AA173" s="95"/>
      <c r="AB173" s="95"/>
    </row>
    <row r="174" spans="1:28" ht="15.75">
      <c r="A174" s="95" t="s">
        <v>411</v>
      </c>
      <c r="B174" s="95"/>
      <c r="C174" s="95"/>
      <c r="D174" s="95"/>
      <c r="E174" s="95"/>
      <c r="F174" s="95"/>
      <c r="G174" s="520"/>
      <c r="H174" s="372"/>
      <c r="I174" s="701" t="str">
        <f>Translate!$A$159</f>
        <v>Primary sources emissions</v>
      </c>
      <c r="J174" s="521" t="str">
        <f t="shared" ref="J174:O175" ca="1" si="13">IF(J$17,INDIRECT("'"&amp;J$16&amp;"'!"&amp;$A174)/1000,"")</f>
        <v/>
      </c>
      <c r="K174" s="521" t="str">
        <f t="shared" ca="1" si="13"/>
        <v/>
      </c>
      <c r="L174" s="521" t="str">
        <f t="shared" ca="1" si="13"/>
        <v/>
      </c>
      <c r="M174" s="521" t="str">
        <f t="shared" ca="1" si="13"/>
        <v/>
      </c>
      <c r="N174" s="521" t="str">
        <f t="shared" ca="1" si="13"/>
        <v/>
      </c>
      <c r="O174" s="521" t="str">
        <f t="shared" ca="1" si="13"/>
        <v/>
      </c>
      <c r="P174" s="524">
        <f ca="1">IF(ISERROR(AVERAGE(J174:O174)),0,AVERAGE(J174:O174))</f>
        <v>0</v>
      </c>
      <c r="Q174" s="525" t="str">
        <f>Translate!$A$115</f>
        <v>tCO2e</v>
      </c>
      <c r="R174" s="372"/>
      <c r="S174" s="372"/>
      <c r="T174" s="523"/>
      <c r="U174" s="95"/>
      <c r="V174" s="95"/>
      <c r="W174" s="95"/>
      <c r="X174" s="95"/>
      <c r="Y174" s="95"/>
      <c r="Z174" s="95"/>
      <c r="AA174" s="95"/>
      <c r="AB174" s="95"/>
    </row>
    <row r="175" spans="1:28" ht="15.75">
      <c r="A175" s="95" t="s">
        <v>412</v>
      </c>
      <c r="B175" s="95"/>
      <c r="C175" s="95"/>
      <c r="D175" s="95"/>
      <c r="E175" s="95"/>
      <c r="F175" s="95"/>
      <c r="G175" s="520"/>
      <c r="H175" s="372"/>
      <c r="I175" s="702" t="str">
        <f>Translate!$A$160</f>
        <v>Secondary sources emissions</v>
      </c>
      <c r="J175" s="521" t="str">
        <f t="shared" ca="1" si="13"/>
        <v/>
      </c>
      <c r="K175" s="521" t="str">
        <f t="shared" ca="1" si="13"/>
        <v/>
      </c>
      <c r="L175" s="521" t="str">
        <f t="shared" ca="1" si="13"/>
        <v/>
      </c>
      <c r="M175" s="521" t="str">
        <f t="shared" ca="1" si="13"/>
        <v/>
      </c>
      <c r="N175" s="521" t="str">
        <f t="shared" ca="1" si="13"/>
        <v/>
      </c>
      <c r="O175" s="521" t="str">
        <f t="shared" ca="1" si="13"/>
        <v/>
      </c>
      <c r="P175" s="524">
        <f ca="1">IF(ISERROR(AVERAGE(J175:O175)),0,AVERAGE(J175:O175))</f>
        <v>0</v>
      </c>
      <c r="Q175" s="525" t="str">
        <f>Translate!$A$115</f>
        <v>tCO2e</v>
      </c>
      <c r="R175" s="372"/>
      <c r="S175" s="372"/>
      <c r="T175" s="523"/>
      <c r="U175" s="95"/>
      <c r="V175" s="95"/>
      <c r="W175" s="95"/>
      <c r="X175" s="95"/>
      <c r="Y175" s="95"/>
      <c r="Z175" s="95"/>
      <c r="AA175" s="95"/>
      <c r="AB175" s="95"/>
    </row>
    <row r="176" spans="1:28" ht="15.75">
      <c r="A176" s="95"/>
      <c r="B176" s="95"/>
      <c r="C176" s="95"/>
      <c r="D176" s="95"/>
      <c r="E176" s="95"/>
      <c r="F176" s="95"/>
      <c r="G176" s="520"/>
      <c r="H176" s="372"/>
      <c r="I176" s="531" t="str">
        <f>Translate!$A$161</f>
        <v>Uncertainties</v>
      </c>
      <c r="J176" s="521" t="str">
        <f t="shared" ref="J176:O176" ca="1" si="14">IF(J$17,J196+J197,"")</f>
        <v/>
      </c>
      <c r="K176" s="521" t="str">
        <f t="shared" ca="1" si="14"/>
        <v/>
      </c>
      <c r="L176" s="521" t="str">
        <f t="shared" ca="1" si="14"/>
        <v/>
      </c>
      <c r="M176" s="521" t="str">
        <f t="shared" ca="1" si="14"/>
        <v/>
      </c>
      <c r="N176" s="521" t="str">
        <f t="shared" ca="1" si="14"/>
        <v/>
      </c>
      <c r="O176" s="521" t="str">
        <f t="shared" ca="1" si="14"/>
        <v/>
      </c>
      <c r="P176" s="524">
        <f ca="1">IF(ISERROR(AVERAGE(J176:O176)),0,AVERAGE(J176:O176))</f>
        <v>0</v>
      </c>
      <c r="Q176" s="525" t="str">
        <f>Translate!$A$115</f>
        <v>tCO2e</v>
      </c>
      <c r="R176" s="372"/>
      <c r="S176" s="372"/>
      <c r="T176" s="523"/>
      <c r="U176" s="95"/>
      <c r="V176" s="95"/>
      <c r="W176" s="95"/>
      <c r="X176" s="95"/>
      <c r="Y176" s="95"/>
      <c r="Z176" s="95"/>
      <c r="AA176" s="95"/>
      <c r="AB176" s="95"/>
    </row>
    <row r="177" spans="1:28">
      <c r="A177" s="95"/>
      <c r="B177" s="95"/>
      <c r="C177" s="95"/>
      <c r="D177" s="95"/>
      <c r="E177" s="95"/>
      <c r="F177" s="95"/>
      <c r="G177" s="520"/>
      <c r="H177" s="372"/>
      <c r="I177" s="372"/>
      <c r="J177" s="372"/>
      <c r="K177" s="372"/>
      <c r="L177" s="372"/>
      <c r="M177" s="372"/>
      <c r="N177" s="372"/>
      <c r="O177" s="372"/>
      <c r="P177" s="372"/>
      <c r="Q177" s="372"/>
      <c r="R177" s="372"/>
      <c r="S177" s="372"/>
      <c r="T177" s="523"/>
      <c r="U177" s="95"/>
      <c r="V177" s="95"/>
      <c r="W177" s="95"/>
      <c r="X177" s="95"/>
      <c r="Y177" s="95"/>
      <c r="Z177" s="95"/>
      <c r="AA177" s="95"/>
      <c r="AB177" s="95"/>
    </row>
    <row r="178" spans="1:28" ht="15.75">
      <c r="A178" s="95"/>
      <c r="B178" s="95"/>
      <c r="C178" s="95"/>
      <c r="D178" s="95"/>
      <c r="E178" s="95"/>
      <c r="F178" s="95"/>
      <c r="G178" s="520"/>
      <c r="H178" s="372"/>
      <c r="I178" s="372"/>
      <c r="J178" s="530" t="str">
        <f t="shared" ref="J178:O178" ca="1" si="15">IF(J$17,J$16,"")</f>
        <v/>
      </c>
      <c r="K178" s="530" t="str">
        <f t="shared" ca="1" si="15"/>
        <v/>
      </c>
      <c r="L178" s="530" t="str">
        <f t="shared" ca="1" si="15"/>
        <v/>
      </c>
      <c r="M178" s="530" t="str">
        <f t="shared" ca="1" si="15"/>
        <v/>
      </c>
      <c r="N178" s="530" t="str">
        <f t="shared" ca="1" si="15"/>
        <v/>
      </c>
      <c r="O178" s="530" t="str">
        <f t="shared" ca="1" si="15"/>
        <v/>
      </c>
      <c r="P178" s="522" t="s">
        <v>77</v>
      </c>
      <c r="Q178" s="372"/>
      <c r="R178" s="372"/>
      <c r="S178" s="372"/>
      <c r="T178" s="523"/>
      <c r="U178" s="95"/>
      <c r="V178" s="95"/>
      <c r="W178" s="95"/>
      <c r="X178" s="95"/>
      <c r="Y178" s="95"/>
      <c r="Z178" s="95"/>
      <c r="AA178" s="95"/>
      <c r="AB178" s="95"/>
    </row>
    <row r="179" spans="1:28" ht="15.75">
      <c r="A179" s="95" t="s">
        <v>341</v>
      </c>
      <c r="B179" s="95"/>
      <c r="C179" s="95"/>
      <c r="D179" s="95"/>
      <c r="E179" s="95"/>
      <c r="F179" s="95"/>
      <c r="G179" s="520"/>
      <c r="H179" s="372"/>
      <c r="I179" s="701" t="str">
        <f>Translate!$A$73</f>
        <v>Concrete / Slurry / Grout mix</v>
      </c>
      <c r="J179" s="521" t="str">
        <f t="shared" ref="J179:O181" ca="1" si="16">IF(J$17,INDIRECT("'"&amp;J$16&amp;"'!"&amp;$A179),"")</f>
        <v/>
      </c>
      <c r="K179" s="521" t="str">
        <f t="shared" ca="1" si="16"/>
        <v/>
      </c>
      <c r="L179" s="521" t="str">
        <f t="shared" ca="1" si="16"/>
        <v/>
      </c>
      <c r="M179" s="521" t="str">
        <f t="shared" ca="1" si="16"/>
        <v/>
      </c>
      <c r="N179" s="521" t="str">
        <f t="shared" ca="1" si="16"/>
        <v/>
      </c>
      <c r="O179" s="521" t="str">
        <f t="shared" ca="1" si="16"/>
        <v/>
      </c>
      <c r="P179" s="524">
        <f ca="1">IF(ISERROR(AVERAGE(J179:O179)),0,AVERAGE(J179:O179))</f>
        <v>0</v>
      </c>
      <c r="Q179" s="525" t="str">
        <f>Translate!$A$115</f>
        <v>tCO2e</v>
      </c>
      <c r="R179" s="372"/>
      <c r="S179" s="372"/>
      <c r="T179" s="523"/>
      <c r="U179" s="95"/>
      <c r="V179" s="95"/>
      <c r="W179" s="95"/>
      <c r="X179" s="95"/>
      <c r="Y179" s="95"/>
      <c r="Z179" s="95"/>
      <c r="AA179" s="95"/>
      <c r="AB179" s="95"/>
    </row>
    <row r="180" spans="1:28" ht="15.75">
      <c r="A180" s="95" t="s">
        <v>342</v>
      </c>
      <c r="B180" s="95"/>
      <c r="C180" s="95"/>
      <c r="D180" s="95"/>
      <c r="E180" s="95"/>
      <c r="F180" s="95"/>
      <c r="G180" s="520"/>
      <c r="H180" s="372"/>
      <c r="I180" s="531" t="str">
        <f>Translate!$A$138</f>
        <v>Steel</v>
      </c>
      <c r="J180" s="521" t="str">
        <f t="shared" ca="1" si="16"/>
        <v/>
      </c>
      <c r="K180" s="521" t="str">
        <f t="shared" ca="1" si="16"/>
        <v/>
      </c>
      <c r="L180" s="521" t="str">
        <f t="shared" ca="1" si="16"/>
        <v/>
      </c>
      <c r="M180" s="521" t="str">
        <f t="shared" ca="1" si="16"/>
        <v/>
      </c>
      <c r="N180" s="521" t="str">
        <f t="shared" ca="1" si="16"/>
        <v/>
      </c>
      <c r="O180" s="521" t="str">
        <f t="shared" ca="1" si="16"/>
        <v/>
      </c>
      <c r="P180" s="524">
        <f ca="1">IF(ISERROR(AVERAGE(J180:O180)),0,AVERAGE(J180:O180))</f>
        <v>0</v>
      </c>
      <c r="Q180" s="525" t="str">
        <f>Translate!$A$115</f>
        <v>tCO2e</v>
      </c>
      <c r="R180" s="372"/>
      <c r="S180" s="372"/>
      <c r="T180" s="523"/>
      <c r="U180" s="95"/>
      <c r="V180" s="95"/>
      <c r="W180" s="95"/>
      <c r="X180" s="95"/>
      <c r="Y180" s="95"/>
      <c r="Z180" s="95"/>
      <c r="AA180" s="95"/>
      <c r="AB180" s="95"/>
    </row>
    <row r="181" spans="1:28" ht="15.75">
      <c r="A181" s="95" t="s">
        <v>343</v>
      </c>
      <c r="B181" s="95"/>
      <c r="C181" s="95"/>
      <c r="D181" s="95"/>
      <c r="E181" s="95"/>
      <c r="F181" s="95"/>
      <c r="G181" s="520"/>
      <c r="H181" s="372"/>
      <c r="I181" s="531" t="str">
        <f>Translate!$A$162</f>
        <v>Other materials</v>
      </c>
      <c r="J181" s="521" t="str">
        <f t="shared" ca="1" si="16"/>
        <v/>
      </c>
      <c r="K181" s="521" t="str">
        <f t="shared" ca="1" si="16"/>
        <v/>
      </c>
      <c r="L181" s="521" t="str">
        <f t="shared" ca="1" si="16"/>
        <v/>
      </c>
      <c r="M181" s="521" t="str">
        <f t="shared" ca="1" si="16"/>
        <v/>
      </c>
      <c r="N181" s="521" t="str">
        <f t="shared" ca="1" si="16"/>
        <v/>
      </c>
      <c r="O181" s="521" t="str">
        <f t="shared" ca="1" si="16"/>
        <v/>
      </c>
      <c r="P181" s="524">
        <f ca="1">IF(ISERROR(AVERAGE(J181:O181)),0,AVERAGE(J181:O181))</f>
        <v>0</v>
      </c>
      <c r="Q181" s="525" t="str">
        <f>Translate!$A$115</f>
        <v>tCO2e</v>
      </c>
      <c r="R181" s="372"/>
      <c r="S181" s="372"/>
      <c r="T181" s="523"/>
      <c r="U181" s="95"/>
      <c r="V181" s="95"/>
      <c r="W181" s="95"/>
      <c r="X181" s="95"/>
      <c r="Y181" s="95"/>
      <c r="Z181" s="95"/>
      <c r="AA181" s="95"/>
      <c r="AB181" s="95"/>
    </row>
    <row r="182" spans="1:28" ht="15.75">
      <c r="A182" s="95"/>
      <c r="B182" s="95"/>
      <c r="C182" s="95"/>
      <c r="D182" s="95"/>
      <c r="E182" s="95"/>
      <c r="F182" s="95"/>
      <c r="G182" s="520"/>
      <c r="H182" s="372"/>
      <c r="I182" s="531" t="str">
        <f>IF(V97=Translate!$A$163,Translate!$A$165,"")</f>
        <v>Other emission sources</v>
      </c>
      <c r="J182" s="521">
        <f ca="1">(SUM(J29:J35)-SUM(J179:J181))*($V$97=Translate!$A$163)</f>
        <v>0</v>
      </c>
      <c r="K182" s="521">
        <f ca="1">(SUM(K29:K35)-SUM(K179:K181))*($V$97=Translate!$A$163)</f>
        <v>0</v>
      </c>
      <c r="L182" s="521">
        <f ca="1">(SUM(L29:L35)-SUM(L179:L181))*($V$97=Translate!$A$163)</f>
        <v>0</v>
      </c>
      <c r="M182" s="521">
        <f ca="1">(SUM(M29:M35)-SUM(M179:M181))*($V$97=Translate!$A$163)</f>
        <v>0</v>
      </c>
      <c r="N182" s="521">
        <f ca="1">(SUM(N29:N35)-SUM(N179:N181))*($V$97=Translate!$A$163)</f>
        <v>0</v>
      </c>
      <c r="O182" s="521">
        <f ca="1">(SUM(O29:O35)-SUM(O179:O181))*($V$97=Translate!$A$163)</f>
        <v>0</v>
      </c>
      <c r="P182" s="524">
        <f ca="1">(SUM(P29:P35)-SUM(P179:P181))*($V$97="YES")</f>
        <v>0</v>
      </c>
      <c r="Q182" s="525" t="str">
        <f>Translate!$A$115</f>
        <v>tCO2e</v>
      </c>
      <c r="R182" s="372"/>
      <c r="S182" s="372"/>
      <c r="T182" s="523"/>
      <c r="U182" s="95"/>
      <c r="V182" s="95"/>
      <c r="W182" s="95"/>
      <c r="X182" s="95"/>
      <c r="Y182" s="95"/>
      <c r="Z182" s="95"/>
      <c r="AA182" s="95"/>
      <c r="AB182" s="95"/>
    </row>
    <row r="183" spans="1:28">
      <c r="A183" s="95"/>
      <c r="B183" s="95"/>
      <c r="C183" s="95"/>
      <c r="D183" s="95"/>
      <c r="E183" s="95"/>
      <c r="F183" s="95"/>
      <c r="G183" s="520"/>
      <c r="H183" s="372"/>
      <c r="I183" s="372"/>
      <c r="J183" s="372"/>
      <c r="K183" s="372"/>
      <c r="L183" s="372"/>
      <c r="M183" s="372"/>
      <c r="N183" s="372"/>
      <c r="O183" s="372"/>
      <c r="P183" s="372"/>
      <c r="Q183" s="372"/>
      <c r="R183" s="372"/>
      <c r="S183" s="372"/>
      <c r="T183" s="523"/>
      <c r="U183" s="95"/>
      <c r="V183" s="95"/>
      <c r="W183" s="95"/>
      <c r="X183" s="95"/>
      <c r="Y183" s="95"/>
      <c r="Z183" s="95"/>
      <c r="AA183" s="95"/>
      <c r="AB183" s="95"/>
    </row>
    <row r="184" spans="1:28">
      <c r="A184" s="95"/>
      <c r="B184" s="95"/>
      <c r="C184" s="95"/>
      <c r="D184" s="95"/>
      <c r="E184" s="95"/>
      <c r="F184" s="95"/>
      <c r="G184" s="520"/>
      <c r="H184" s="372"/>
      <c r="I184" s="372"/>
      <c r="J184" s="372"/>
      <c r="K184" s="372"/>
      <c r="L184" s="372"/>
      <c r="M184" s="372"/>
      <c r="N184" s="372"/>
      <c r="O184" s="372"/>
      <c r="P184" s="372"/>
      <c r="Q184" s="372"/>
      <c r="R184" s="372"/>
      <c r="S184" s="372"/>
      <c r="T184" s="523"/>
      <c r="U184" s="95"/>
      <c r="V184" s="95"/>
      <c r="W184" s="95"/>
      <c r="X184" s="95"/>
      <c r="Y184" s="95"/>
      <c r="Z184" s="95"/>
      <c r="AA184" s="95"/>
      <c r="AB184" s="95"/>
    </row>
    <row r="185" spans="1:28">
      <c r="A185" s="95"/>
      <c r="B185" s="95"/>
      <c r="C185" s="95"/>
      <c r="D185" s="95"/>
      <c r="E185" s="95"/>
      <c r="F185" s="95"/>
      <c r="G185" s="520"/>
      <c r="H185" s="372"/>
      <c r="I185" s="372"/>
      <c r="J185" s="372"/>
      <c r="K185" s="372"/>
      <c r="L185" s="372"/>
      <c r="M185" s="372"/>
      <c r="N185" s="372"/>
      <c r="O185" s="372"/>
      <c r="P185" s="372"/>
      <c r="Q185" s="372"/>
      <c r="R185" s="372"/>
      <c r="S185" s="372"/>
      <c r="T185" s="523"/>
      <c r="U185" s="95"/>
      <c r="V185" s="95"/>
      <c r="W185" s="95"/>
      <c r="X185" s="95"/>
      <c r="Y185" s="95"/>
      <c r="Z185" s="95"/>
      <c r="AA185" s="95"/>
      <c r="AB185" s="95"/>
    </row>
    <row r="186" spans="1:28" hidden="1">
      <c r="A186" s="95" t="s">
        <v>397</v>
      </c>
      <c r="B186" s="95"/>
      <c r="C186" s="95"/>
      <c r="D186" s="95"/>
      <c r="E186" s="95"/>
      <c r="F186" s="95"/>
      <c r="G186" s="520"/>
      <c r="H186" s="372"/>
      <c r="I186" s="527" t="s">
        <v>395</v>
      </c>
      <c r="J186" s="521" t="str">
        <f t="shared" ref="J186:O186" ca="1" si="17">IF(J$17,INDIRECT("'"&amp;J$16&amp;"'!"&amp;$A186),"")</f>
        <v/>
      </c>
      <c r="K186" s="521" t="str">
        <f t="shared" ca="1" si="17"/>
        <v/>
      </c>
      <c r="L186" s="521" t="str">
        <f t="shared" ca="1" si="17"/>
        <v/>
      </c>
      <c r="M186" s="521" t="str">
        <f t="shared" ca="1" si="17"/>
        <v/>
      </c>
      <c r="N186" s="521" t="str">
        <f t="shared" ca="1" si="17"/>
        <v/>
      </c>
      <c r="O186" s="521" t="str">
        <f t="shared" ca="1" si="17"/>
        <v/>
      </c>
      <c r="P186" s="372"/>
      <c r="Q186" s="372"/>
      <c r="R186" s="372"/>
      <c r="S186" s="372"/>
      <c r="T186" s="523"/>
      <c r="U186" s="95"/>
      <c r="V186" s="95"/>
      <c r="W186" s="95"/>
      <c r="X186" s="95"/>
      <c r="Y186" s="95"/>
      <c r="Z186" s="95"/>
      <c r="AA186" s="95"/>
      <c r="AB186" s="95"/>
    </row>
    <row r="187" spans="1:28" hidden="1">
      <c r="A187" s="95"/>
      <c r="B187" s="95"/>
      <c r="C187" s="95"/>
      <c r="D187" s="95"/>
      <c r="E187" s="95"/>
      <c r="F187" s="95"/>
      <c r="G187" s="520"/>
      <c r="H187" s="372"/>
      <c r="I187" s="372"/>
      <c r="J187" s="372">
        <f t="shared" ref="J187:O187" ca="1" si="18">IF(OR(J16="",J186=$J$186),0,1)</f>
        <v>0</v>
      </c>
      <c r="K187" s="372">
        <f t="shared" ca="1" si="18"/>
        <v>0</v>
      </c>
      <c r="L187" s="372">
        <f t="shared" ca="1" si="18"/>
        <v>0</v>
      </c>
      <c r="M187" s="372">
        <f t="shared" ca="1" si="18"/>
        <v>0</v>
      </c>
      <c r="N187" s="372">
        <f t="shared" ca="1" si="18"/>
        <v>0</v>
      </c>
      <c r="O187" s="372">
        <f t="shared" ca="1" si="18"/>
        <v>0</v>
      </c>
      <c r="P187" s="372">
        <f ca="1">SUM(J187:O187)</f>
        <v>0</v>
      </c>
      <c r="Q187" s="372"/>
      <c r="R187" s="372"/>
      <c r="S187" s="372"/>
      <c r="T187" s="523"/>
      <c r="U187" s="95"/>
      <c r="V187" s="95"/>
      <c r="W187" s="95"/>
      <c r="X187" s="95"/>
      <c r="Y187" s="95"/>
      <c r="Z187" s="95"/>
      <c r="AA187" s="95"/>
      <c r="AB187" s="95"/>
    </row>
    <row r="188" spans="1:28" hidden="1">
      <c r="A188" s="95" t="s">
        <v>413</v>
      </c>
      <c r="B188" s="95"/>
      <c r="C188" s="95"/>
      <c r="D188" s="95"/>
      <c r="E188" s="95"/>
      <c r="F188" s="95"/>
      <c r="G188" s="520"/>
      <c r="H188" s="372"/>
      <c r="I188" s="527" t="s">
        <v>375</v>
      </c>
      <c r="J188" s="521" t="str">
        <f t="shared" ref="J188:O188" ca="1" si="19">IF(J$17,INDIRECT("'"&amp;J$16&amp;"'!"&amp;$A188),"")</f>
        <v/>
      </c>
      <c r="K188" s="521" t="str">
        <f t="shared" ca="1" si="19"/>
        <v/>
      </c>
      <c r="L188" s="521" t="str">
        <f t="shared" ca="1" si="19"/>
        <v/>
      </c>
      <c r="M188" s="521" t="str">
        <f t="shared" ca="1" si="19"/>
        <v/>
      </c>
      <c r="N188" s="521" t="str">
        <f t="shared" ca="1" si="19"/>
        <v/>
      </c>
      <c r="O188" s="521" t="str">
        <f t="shared" ca="1" si="19"/>
        <v/>
      </c>
      <c r="P188" s="372"/>
      <c r="Q188" s="372"/>
      <c r="R188" s="372"/>
      <c r="S188" s="372"/>
      <c r="T188" s="523"/>
      <c r="U188" s="95"/>
      <c r="V188" s="95"/>
      <c r="W188" s="95"/>
      <c r="X188" s="95"/>
      <c r="Y188" s="95"/>
      <c r="Z188" s="95"/>
      <c r="AA188" s="95"/>
      <c r="AB188" s="95"/>
    </row>
    <row r="189" spans="1:28" hidden="1">
      <c r="A189" s="95"/>
      <c r="B189" s="95"/>
      <c r="C189" s="95"/>
      <c r="D189" s="95"/>
      <c r="E189" s="95"/>
      <c r="F189" s="95"/>
      <c r="G189" s="520"/>
      <c r="H189" s="372"/>
      <c r="I189" s="372"/>
      <c r="J189" s="372">
        <f t="shared" ref="J189:O189" ca="1" si="20">IF(OR(J$16="",J188=$J188),0,1)</f>
        <v>0</v>
      </c>
      <c r="K189" s="372">
        <f t="shared" ca="1" si="20"/>
        <v>0</v>
      </c>
      <c r="L189" s="372">
        <f t="shared" ca="1" si="20"/>
        <v>0</v>
      </c>
      <c r="M189" s="372">
        <f t="shared" ca="1" si="20"/>
        <v>0</v>
      </c>
      <c r="N189" s="372">
        <f t="shared" ca="1" si="20"/>
        <v>0</v>
      </c>
      <c r="O189" s="372">
        <f t="shared" ca="1" si="20"/>
        <v>0</v>
      </c>
      <c r="P189" s="372">
        <f ca="1">SUM(J189:O189)</f>
        <v>0</v>
      </c>
      <c r="Q189" s="372"/>
      <c r="R189" s="372"/>
      <c r="S189" s="372"/>
      <c r="T189" s="523"/>
      <c r="U189" s="95"/>
      <c r="V189" s="95"/>
      <c r="W189" s="95"/>
      <c r="X189" s="95"/>
      <c r="Y189" s="95"/>
      <c r="Z189" s="95"/>
      <c r="AA189" s="95"/>
      <c r="AB189" s="95"/>
    </row>
    <row r="190" spans="1:28" hidden="1">
      <c r="A190" s="95" t="s">
        <v>414</v>
      </c>
      <c r="B190" s="95"/>
      <c r="C190" s="95"/>
      <c r="D190" s="95"/>
      <c r="E190" s="95"/>
      <c r="F190" s="95"/>
      <c r="G190" s="520"/>
      <c r="H190" s="372"/>
      <c r="I190" s="527" t="s">
        <v>376</v>
      </c>
      <c r="J190" s="521" t="str">
        <f t="shared" ref="J190:O190" ca="1" si="21">IF(J$17,INDIRECT("'"&amp;J$16&amp;"'!"&amp;$A190),"")</f>
        <v/>
      </c>
      <c r="K190" s="521" t="str">
        <f t="shared" ca="1" si="21"/>
        <v/>
      </c>
      <c r="L190" s="521" t="str">
        <f t="shared" ca="1" si="21"/>
        <v/>
      </c>
      <c r="M190" s="521" t="str">
        <f t="shared" ca="1" si="21"/>
        <v/>
      </c>
      <c r="N190" s="521" t="str">
        <f t="shared" ca="1" si="21"/>
        <v/>
      </c>
      <c r="O190" s="521" t="str">
        <f t="shared" ca="1" si="21"/>
        <v/>
      </c>
      <c r="P190" s="372"/>
      <c r="Q190" s="372"/>
      <c r="R190" s="372"/>
      <c r="S190" s="372"/>
      <c r="T190" s="523"/>
      <c r="U190" s="95"/>
      <c r="V190" s="95"/>
      <c r="W190" s="95"/>
      <c r="X190" s="95"/>
      <c r="Y190" s="95"/>
      <c r="Z190" s="95"/>
      <c r="AA190" s="95"/>
      <c r="AB190" s="95"/>
    </row>
    <row r="191" spans="1:28" hidden="1">
      <c r="A191" s="95"/>
      <c r="B191" s="95"/>
      <c r="C191" s="95"/>
      <c r="D191" s="95"/>
      <c r="E191" s="95"/>
      <c r="F191" s="95"/>
      <c r="G191" s="520"/>
      <c r="H191" s="372"/>
      <c r="I191" s="372"/>
      <c r="J191" s="372">
        <f t="shared" ref="J191:O191" ca="1" si="22">IF(OR(J$16="",J190=$J190),0,1)</f>
        <v>0</v>
      </c>
      <c r="K191" s="372">
        <f t="shared" ca="1" si="22"/>
        <v>0</v>
      </c>
      <c r="L191" s="372">
        <f t="shared" ca="1" si="22"/>
        <v>0</v>
      </c>
      <c r="M191" s="372">
        <f t="shared" ca="1" si="22"/>
        <v>0</v>
      </c>
      <c r="N191" s="372">
        <f t="shared" ca="1" si="22"/>
        <v>0</v>
      </c>
      <c r="O191" s="372">
        <f t="shared" ca="1" si="22"/>
        <v>0</v>
      </c>
      <c r="P191" s="372">
        <f ca="1">SUM(J191:O191)</f>
        <v>0</v>
      </c>
      <c r="Q191" s="372"/>
      <c r="R191" s="372"/>
      <c r="S191" s="372"/>
      <c r="T191" s="523"/>
      <c r="U191" s="95"/>
      <c r="V191" s="95"/>
      <c r="W191" s="95"/>
      <c r="X191" s="95"/>
      <c r="Y191" s="95"/>
      <c r="Z191" s="95"/>
      <c r="AA191" s="95"/>
      <c r="AB191" s="95"/>
    </row>
    <row r="192" spans="1:28" hidden="1">
      <c r="A192" s="95" t="s">
        <v>415</v>
      </c>
      <c r="B192" s="95"/>
      <c r="C192" s="95"/>
      <c r="D192" s="95"/>
      <c r="E192" s="95"/>
      <c r="F192" s="95"/>
      <c r="G192" s="520"/>
      <c r="H192" s="372"/>
      <c r="I192" s="527" t="s">
        <v>284</v>
      </c>
      <c r="J192" s="521" t="str">
        <f t="shared" ref="J192:O192" ca="1" si="23">IF(J$17,INDIRECT("'"&amp;J$16&amp;"'!"&amp;$A192),"")</f>
        <v/>
      </c>
      <c r="K192" s="521" t="str">
        <f t="shared" ca="1" si="23"/>
        <v/>
      </c>
      <c r="L192" s="521" t="str">
        <f t="shared" ca="1" si="23"/>
        <v/>
      </c>
      <c r="M192" s="521" t="str">
        <f t="shared" ca="1" si="23"/>
        <v/>
      </c>
      <c r="N192" s="521" t="str">
        <f t="shared" ca="1" si="23"/>
        <v/>
      </c>
      <c r="O192" s="521" t="str">
        <f t="shared" ca="1" si="23"/>
        <v/>
      </c>
      <c r="P192" s="372"/>
      <c r="Q192" s="372"/>
      <c r="R192" s="372"/>
      <c r="S192" s="372"/>
      <c r="T192" s="523"/>
      <c r="U192" s="95"/>
      <c r="V192" s="95"/>
      <c r="W192" s="95"/>
      <c r="X192" s="95"/>
      <c r="Y192" s="95"/>
      <c r="Z192" s="95"/>
      <c r="AA192" s="95"/>
      <c r="AB192" s="95"/>
    </row>
    <row r="193" spans="1:28" hidden="1">
      <c r="A193" s="95"/>
      <c r="B193" s="95"/>
      <c r="C193" s="95"/>
      <c r="D193" s="95"/>
      <c r="E193" s="95"/>
      <c r="F193" s="95"/>
      <c r="G193" s="520"/>
      <c r="H193" s="372"/>
      <c r="I193" s="372"/>
      <c r="J193" s="372">
        <f t="shared" ref="J193:O193" ca="1" si="24">IF(OR(J$16="",J192=$J192),0,1)</f>
        <v>0</v>
      </c>
      <c r="K193" s="372">
        <f t="shared" ca="1" si="24"/>
        <v>0</v>
      </c>
      <c r="L193" s="372">
        <f t="shared" ca="1" si="24"/>
        <v>0</v>
      </c>
      <c r="M193" s="372">
        <f t="shared" ca="1" si="24"/>
        <v>0</v>
      </c>
      <c r="N193" s="372">
        <f t="shared" ca="1" si="24"/>
        <v>0</v>
      </c>
      <c r="O193" s="372">
        <f t="shared" ca="1" si="24"/>
        <v>0</v>
      </c>
      <c r="P193" s="372">
        <f ca="1">SUM(J193:O193)</f>
        <v>0</v>
      </c>
      <c r="Q193" s="372"/>
      <c r="R193" s="372"/>
      <c r="S193" s="372"/>
      <c r="T193" s="523"/>
      <c r="U193" s="95"/>
      <c r="V193" s="95"/>
      <c r="W193" s="95"/>
      <c r="X193" s="95"/>
      <c r="Y193" s="95"/>
      <c r="Z193" s="95"/>
      <c r="AA193" s="95"/>
      <c r="AB193" s="95"/>
    </row>
    <row r="194" spans="1:28" hidden="1">
      <c r="A194" s="95" t="s">
        <v>416</v>
      </c>
      <c r="B194" s="95"/>
      <c r="C194" s="95"/>
      <c r="D194" s="95"/>
      <c r="E194" s="95"/>
      <c r="F194" s="95"/>
      <c r="G194" s="520"/>
      <c r="H194" s="372"/>
      <c r="I194" s="527" t="s">
        <v>396</v>
      </c>
      <c r="J194" s="521" t="str">
        <f t="shared" ref="J194:O194" ca="1" si="25">IF(J$17,INDIRECT("'"&amp;J$16&amp;"'!"&amp;$A194),"")</f>
        <v/>
      </c>
      <c r="K194" s="521" t="str">
        <f t="shared" ca="1" si="25"/>
        <v/>
      </c>
      <c r="L194" s="521" t="str">
        <f t="shared" ca="1" si="25"/>
        <v/>
      </c>
      <c r="M194" s="521" t="str">
        <f t="shared" ca="1" si="25"/>
        <v/>
      </c>
      <c r="N194" s="521" t="str">
        <f t="shared" ca="1" si="25"/>
        <v/>
      </c>
      <c r="O194" s="521" t="str">
        <f t="shared" ca="1" si="25"/>
        <v/>
      </c>
      <c r="P194" s="372"/>
      <c r="Q194" s="372"/>
      <c r="R194" s="372"/>
      <c r="S194" s="372"/>
      <c r="T194" s="523"/>
      <c r="U194" s="95"/>
      <c r="V194" s="95"/>
      <c r="W194" s="95"/>
      <c r="X194" s="95"/>
      <c r="Y194" s="95"/>
      <c r="Z194" s="95"/>
      <c r="AA194" s="95"/>
      <c r="AB194" s="95"/>
    </row>
    <row r="195" spans="1:28" hidden="1">
      <c r="A195" s="95"/>
      <c r="B195" s="95"/>
      <c r="C195" s="95"/>
      <c r="D195" s="95"/>
      <c r="E195" s="95"/>
      <c r="F195" s="95"/>
      <c r="G195" s="520"/>
      <c r="H195" s="372"/>
      <c r="I195" s="372"/>
      <c r="J195" s="372">
        <f t="shared" ref="J195:O195" ca="1" si="26">IF(OR(J$16="",J194=$J194),0,1)</f>
        <v>0</v>
      </c>
      <c r="K195" s="372">
        <f t="shared" ca="1" si="26"/>
        <v>0</v>
      </c>
      <c r="L195" s="372">
        <f t="shared" ca="1" si="26"/>
        <v>0</v>
      </c>
      <c r="M195" s="372">
        <f t="shared" ca="1" si="26"/>
        <v>0</v>
      </c>
      <c r="N195" s="372">
        <f t="shared" ca="1" si="26"/>
        <v>0</v>
      </c>
      <c r="O195" s="372">
        <f t="shared" ca="1" si="26"/>
        <v>0</v>
      </c>
      <c r="P195" s="372">
        <f ca="1">SUM(J195:O195)</f>
        <v>0</v>
      </c>
      <c r="Q195" s="372"/>
      <c r="R195" s="372"/>
      <c r="S195" s="372"/>
      <c r="T195" s="523"/>
      <c r="U195" s="95"/>
      <c r="V195" s="95"/>
      <c r="W195" s="95"/>
      <c r="X195" s="95"/>
      <c r="Y195" s="95"/>
      <c r="Z195" s="95"/>
      <c r="AA195" s="95"/>
      <c r="AB195" s="95"/>
    </row>
    <row r="196" spans="1:28" ht="15.75" hidden="1">
      <c r="A196" s="95" t="s">
        <v>417</v>
      </c>
      <c r="B196" s="95"/>
      <c r="C196" s="95"/>
      <c r="D196" s="95"/>
      <c r="E196" s="95"/>
      <c r="F196" s="95"/>
      <c r="G196" s="520"/>
      <c r="H196" s="372"/>
      <c r="I196" s="531" t="s">
        <v>337</v>
      </c>
      <c r="J196" s="521" t="str">
        <f t="shared" ref="J196:O197" ca="1" si="27">IF(J$17,INDIRECT("'"&amp;J$16&amp;"'!"&amp;$A196)/1000,"")</f>
        <v/>
      </c>
      <c r="K196" s="521" t="str">
        <f t="shared" ca="1" si="27"/>
        <v/>
      </c>
      <c r="L196" s="521" t="str">
        <f t="shared" ca="1" si="27"/>
        <v/>
      </c>
      <c r="M196" s="521" t="str">
        <f t="shared" ca="1" si="27"/>
        <v/>
      </c>
      <c r="N196" s="521" t="str">
        <f t="shared" ca="1" si="27"/>
        <v/>
      </c>
      <c r="O196" s="521" t="str">
        <f t="shared" ca="1" si="27"/>
        <v/>
      </c>
      <c r="P196" s="524">
        <f ca="1">IF(ISERROR(AVERAGE(J196:O196)),0,AVERAGE(J196:O196))</f>
        <v>0</v>
      </c>
      <c r="Q196" s="372"/>
      <c r="R196" s="372"/>
      <c r="S196" s="372"/>
      <c r="T196" s="523"/>
      <c r="U196" s="95"/>
      <c r="V196" s="95"/>
      <c r="W196" s="95"/>
      <c r="X196" s="95"/>
      <c r="Y196" s="95"/>
      <c r="Z196" s="95"/>
      <c r="AA196" s="95"/>
      <c r="AB196" s="95"/>
    </row>
    <row r="197" spans="1:28" ht="15.75" hidden="1">
      <c r="A197" s="95" t="s">
        <v>418</v>
      </c>
      <c r="B197" s="95"/>
      <c r="C197" s="95"/>
      <c r="D197" s="95"/>
      <c r="E197" s="95"/>
      <c r="F197" s="95"/>
      <c r="G197" s="520"/>
      <c r="H197" s="372"/>
      <c r="I197" s="531" t="s">
        <v>338</v>
      </c>
      <c r="J197" s="521" t="str">
        <f t="shared" ca="1" si="27"/>
        <v/>
      </c>
      <c r="K197" s="521" t="str">
        <f t="shared" ca="1" si="27"/>
        <v/>
      </c>
      <c r="L197" s="521" t="str">
        <f t="shared" ca="1" si="27"/>
        <v/>
      </c>
      <c r="M197" s="521" t="str">
        <f t="shared" ca="1" si="27"/>
        <v/>
      </c>
      <c r="N197" s="521" t="str">
        <f t="shared" ca="1" si="27"/>
        <v/>
      </c>
      <c r="O197" s="521" t="str">
        <f t="shared" ca="1" si="27"/>
        <v/>
      </c>
      <c r="P197" s="524">
        <f ca="1">IF(ISERROR(AVERAGE(J197:O197)),0,AVERAGE(J197:O197))</f>
        <v>0</v>
      </c>
      <c r="Q197" s="372"/>
      <c r="R197" s="372"/>
      <c r="S197" s="372"/>
      <c r="T197" s="523"/>
      <c r="U197" s="95"/>
      <c r="V197" s="95"/>
      <c r="W197" s="95"/>
      <c r="X197" s="95"/>
      <c r="Y197" s="95"/>
      <c r="Z197" s="95"/>
      <c r="AA197" s="95"/>
      <c r="AB197" s="95"/>
    </row>
    <row r="198" spans="1:28">
      <c r="A198" s="95"/>
      <c r="B198" s="95"/>
      <c r="C198" s="95"/>
      <c r="D198" s="95"/>
      <c r="E198" s="95"/>
      <c r="F198" s="95"/>
      <c r="G198" s="520"/>
      <c r="H198" s="372"/>
      <c r="I198" s="372"/>
      <c r="J198" s="372"/>
      <c r="K198" s="372"/>
      <c r="L198" s="372"/>
      <c r="M198" s="372"/>
      <c r="N198" s="372"/>
      <c r="O198" s="372"/>
      <c r="P198" s="372"/>
      <c r="Q198" s="372"/>
      <c r="R198" s="372"/>
      <c r="S198" s="372"/>
      <c r="T198" s="523"/>
      <c r="U198" s="95"/>
      <c r="V198" s="95"/>
      <c r="W198" s="95"/>
      <c r="X198" s="95"/>
      <c r="Y198" s="95"/>
      <c r="Z198" s="95"/>
      <c r="AA198" s="95"/>
      <c r="AB198" s="95"/>
    </row>
    <row r="199" spans="1:28">
      <c r="A199" s="95"/>
      <c r="B199" s="95"/>
      <c r="C199" s="95"/>
      <c r="D199" s="95"/>
      <c r="E199" s="95"/>
      <c r="F199" s="95"/>
      <c r="G199" s="520"/>
      <c r="H199" s="372"/>
      <c r="I199" s="372"/>
      <c r="J199" s="372"/>
      <c r="K199" s="372"/>
      <c r="L199" s="372"/>
      <c r="M199" s="372"/>
      <c r="N199" s="372"/>
      <c r="O199" s="372"/>
      <c r="P199" s="372"/>
      <c r="Q199" s="372"/>
      <c r="R199" s="372"/>
      <c r="S199" s="372"/>
      <c r="T199" s="523"/>
      <c r="U199" s="95"/>
      <c r="V199" s="95"/>
      <c r="W199" s="95"/>
      <c r="X199" s="95"/>
      <c r="Y199" s="95"/>
      <c r="Z199" s="95"/>
      <c r="AA199" s="95"/>
      <c r="AB199" s="95"/>
    </row>
    <row r="200" spans="1:28" ht="15.75" thickBot="1">
      <c r="A200" s="95"/>
      <c r="B200" s="95"/>
      <c r="C200" s="95"/>
      <c r="D200" s="95"/>
      <c r="E200" s="95"/>
      <c r="F200" s="95"/>
      <c r="G200" s="532"/>
      <c r="H200" s="387"/>
      <c r="I200" s="387"/>
      <c r="J200" s="387"/>
      <c r="K200" s="387"/>
      <c r="L200" s="387"/>
      <c r="M200" s="387"/>
      <c r="N200" s="387"/>
      <c r="O200" s="387"/>
      <c r="P200" s="387"/>
      <c r="Q200" s="387"/>
      <c r="R200" s="387"/>
      <c r="S200" s="387"/>
      <c r="T200" s="612" t="str">
        <f>'READ ME'!E5</f>
        <v>EFFC DFI Carbon Calculator Tool v4.0</v>
      </c>
      <c r="U200" s="95"/>
      <c r="V200" s="95"/>
      <c r="W200" s="95"/>
      <c r="X200" s="95"/>
      <c r="Y200" s="95"/>
      <c r="Z200" s="95"/>
      <c r="AA200" s="95"/>
      <c r="AB200" s="95"/>
    </row>
    <row r="201" spans="1:28">
      <c r="A201" s="95"/>
      <c r="B201" s="95"/>
      <c r="C201" s="95"/>
      <c r="D201" s="95"/>
      <c r="E201" s="95"/>
      <c r="F201" s="95"/>
      <c r="G201" s="95"/>
      <c r="H201" s="95"/>
      <c r="I201" s="95"/>
      <c r="J201" s="95"/>
      <c r="K201" s="95"/>
      <c r="L201" s="95"/>
      <c r="M201" s="95"/>
      <c r="N201" s="95"/>
      <c r="O201" s="95"/>
      <c r="P201" s="95"/>
      <c r="Q201" s="95"/>
      <c r="R201" s="95"/>
      <c r="S201" s="95"/>
      <c r="T201" s="95"/>
      <c r="U201" s="95"/>
      <c r="V201" s="95"/>
      <c r="W201" s="95"/>
      <c r="X201" s="95"/>
      <c r="Y201" s="95"/>
      <c r="Z201" s="95"/>
      <c r="AA201" s="95"/>
      <c r="AB201" s="95"/>
    </row>
    <row r="202" spans="1:28">
      <c r="A202" s="95"/>
      <c r="B202" s="95"/>
      <c r="C202" s="95"/>
      <c r="D202" s="95"/>
      <c r="E202" s="95"/>
      <c r="F202" s="95"/>
      <c r="G202" s="95"/>
      <c r="H202" s="95"/>
      <c r="I202" s="95"/>
      <c r="J202" s="95"/>
      <c r="K202" s="95"/>
      <c r="L202" s="95"/>
      <c r="M202" s="95"/>
      <c r="N202" s="95"/>
      <c r="O202" s="95"/>
      <c r="P202" s="95"/>
      <c r="Q202" s="95"/>
      <c r="R202" s="95"/>
      <c r="S202" s="95"/>
      <c r="T202" s="95"/>
      <c r="U202" s="95"/>
      <c r="V202" s="95"/>
      <c r="W202" s="95"/>
      <c r="X202" s="95"/>
      <c r="Y202" s="95"/>
      <c r="Z202" s="95"/>
      <c r="AA202" s="95"/>
      <c r="AB202" s="95"/>
    </row>
    <row r="203" spans="1:28">
      <c r="F203" s="95"/>
      <c r="G203" s="95"/>
      <c r="H203" s="95"/>
      <c r="I203" s="95"/>
      <c r="J203" s="95"/>
      <c r="K203" s="95"/>
      <c r="L203" s="95"/>
      <c r="M203" s="95"/>
      <c r="N203" s="95"/>
      <c r="O203" s="95"/>
      <c r="P203" s="95"/>
      <c r="Q203" s="95"/>
      <c r="R203" s="95"/>
      <c r="S203" s="95"/>
      <c r="T203" s="95"/>
      <c r="U203" s="95"/>
      <c r="V203" s="95"/>
      <c r="W203" s="95"/>
      <c r="X203" s="95"/>
      <c r="Y203" s="95"/>
      <c r="Z203" s="95"/>
      <c r="AA203" s="95"/>
      <c r="AB203" s="95"/>
    </row>
    <row r="204" spans="1:28">
      <c r="F204" s="95"/>
      <c r="G204" s="95"/>
      <c r="H204" s="95"/>
      <c r="I204" s="95"/>
      <c r="J204" s="95"/>
      <c r="K204" s="95"/>
      <c r="L204" s="95"/>
      <c r="M204" s="95"/>
      <c r="N204" s="95"/>
      <c r="O204" s="95"/>
      <c r="P204" s="95"/>
      <c r="Q204" s="95"/>
      <c r="R204" s="95"/>
      <c r="S204" s="95"/>
      <c r="T204" s="95"/>
      <c r="U204" s="95"/>
      <c r="V204" s="95"/>
      <c r="W204" s="95"/>
      <c r="X204" s="95"/>
      <c r="Y204" s="95"/>
      <c r="Z204" s="95"/>
      <c r="AA204" s="95"/>
      <c r="AB204" s="95"/>
    </row>
    <row r="205" spans="1:28">
      <c r="F205" s="95"/>
      <c r="G205" s="95"/>
      <c r="H205" s="95"/>
      <c r="I205" s="95"/>
      <c r="J205" s="95"/>
      <c r="K205" s="95"/>
      <c r="L205" s="95"/>
      <c r="M205" s="95"/>
      <c r="N205" s="95"/>
      <c r="O205" s="95"/>
      <c r="P205" s="95"/>
      <c r="Q205" s="95"/>
      <c r="R205" s="95"/>
      <c r="S205" s="95"/>
      <c r="T205" s="95"/>
      <c r="U205" s="95"/>
      <c r="V205" s="95"/>
      <c r="W205" s="95"/>
      <c r="X205" s="95"/>
      <c r="Y205" s="95"/>
      <c r="Z205" s="95"/>
      <c r="AA205" s="95"/>
      <c r="AB205" s="95"/>
    </row>
    <row r="206" spans="1:28">
      <c r="F206" s="95"/>
      <c r="G206" s="95"/>
      <c r="H206" s="95"/>
      <c r="I206" s="95"/>
      <c r="J206" s="95"/>
      <c r="K206" s="95"/>
      <c r="L206" s="95"/>
      <c r="M206" s="95"/>
      <c r="N206" s="95"/>
      <c r="O206" s="95"/>
      <c r="P206" s="95"/>
      <c r="Q206" s="95"/>
      <c r="R206" s="95"/>
      <c r="S206" s="95"/>
      <c r="T206" s="95"/>
      <c r="U206" s="95"/>
      <c r="V206" s="95"/>
      <c r="W206" s="95"/>
      <c r="X206" s="95"/>
      <c r="Y206" s="95"/>
      <c r="Z206" s="95"/>
      <c r="AA206" s="95"/>
      <c r="AB206" s="95"/>
    </row>
    <row r="207" spans="1:28">
      <c r="F207" s="95"/>
      <c r="G207" s="95"/>
      <c r="H207" s="95"/>
      <c r="I207" s="95"/>
      <c r="J207" s="95"/>
      <c r="K207" s="95"/>
      <c r="L207" s="95"/>
      <c r="M207" s="95"/>
      <c r="N207" s="95"/>
      <c r="O207" s="95"/>
      <c r="P207" s="95"/>
      <c r="Q207" s="95"/>
      <c r="R207" s="95"/>
      <c r="S207" s="95"/>
      <c r="T207" s="95"/>
      <c r="U207" s="95"/>
      <c r="V207" s="95"/>
      <c r="W207" s="95"/>
      <c r="X207" s="95"/>
      <c r="Y207" s="95"/>
      <c r="Z207" s="95"/>
      <c r="AA207" s="95"/>
      <c r="AB207" s="95"/>
    </row>
    <row r="208" spans="1:28">
      <c r="F208" s="95"/>
      <c r="G208" s="95"/>
      <c r="H208" s="95"/>
      <c r="I208" s="95"/>
      <c r="J208" s="95"/>
      <c r="K208" s="95"/>
      <c r="L208" s="95"/>
      <c r="M208" s="95"/>
      <c r="N208" s="95"/>
      <c r="O208" s="95"/>
      <c r="P208" s="95"/>
      <c r="Q208" s="95"/>
      <c r="R208" s="95"/>
      <c r="S208" s="95"/>
      <c r="T208" s="95"/>
      <c r="U208" s="95"/>
      <c r="V208" s="95"/>
      <c r="W208" s="95"/>
      <c r="X208" s="95"/>
      <c r="Y208" s="95"/>
      <c r="Z208" s="95"/>
      <c r="AA208" s="95"/>
      <c r="AB208" s="95"/>
    </row>
    <row r="209" spans="6:28">
      <c r="F209" s="95"/>
      <c r="G209" s="95"/>
      <c r="H209" s="95"/>
      <c r="I209" s="95"/>
      <c r="J209" s="95"/>
      <c r="K209" s="95"/>
      <c r="L209" s="95"/>
      <c r="M209" s="95"/>
      <c r="N209" s="95"/>
      <c r="O209" s="95"/>
      <c r="P209" s="95"/>
      <c r="Q209" s="95"/>
      <c r="R209" s="95"/>
      <c r="S209" s="95"/>
      <c r="T209" s="95"/>
      <c r="U209" s="95"/>
      <c r="V209" s="95"/>
      <c r="W209" s="95"/>
      <c r="X209" s="95"/>
      <c r="Y209" s="95"/>
      <c r="Z209" s="95"/>
      <c r="AA209" s="95"/>
      <c r="AB209" s="95"/>
    </row>
    <row r="210" spans="6:28">
      <c r="F210" s="95"/>
      <c r="G210" s="95"/>
      <c r="H210" s="95"/>
      <c r="I210" s="95"/>
      <c r="J210" s="95"/>
      <c r="K210" s="95"/>
      <c r="L210" s="95"/>
      <c r="M210" s="95"/>
      <c r="N210" s="95"/>
      <c r="O210" s="95"/>
      <c r="P210" s="95"/>
      <c r="Q210" s="95"/>
      <c r="R210" s="95"/>
      <c r="S210" s="95"/>
      <c r="T210" s="95"/>
      <c r="U210" s="95"/>
      <c r="V210" s="95"/>
      <c r="W210" s="95"/>
      <c r="X210" s="95"/>
      <c r="Y210" s="95"/>
      <c r="Z210" s="95"/>
      <c r="AA210" s="95"/>
      <c r="AB210" s="95"/>
    </row>
    <row r="211" spans="6:28">
      <c r="F211" s="95"/>
      <c r="G211" s="95"/>
      <c r="H211" s="95"/>
      <c r="I211" s="95"/>
      <c r="J211" s="95"/>
      <c r="K211" s="95"/>
      <c r="L211" s="95"/>
      <c r="M211" s="95"/>
      <c r="N211" s="95"/>
      <c r="O211" s="95"/>
      <c r="P211" s="95"/>
      <c r="Q211" s="95"/>
      <c r="R211" s="95"/>
      <c r="S211" s="95"/>
      <c r="T211" s="95"/>
      <c r="U211" s="95"/>
      <c r="V211" s="95"/>
      <c r="W211" s="95"/>
      <c r="X211" s="95"/>
      <c r="Y211" s="95"/>
      <c r="Z211" s="95"/>
      <c r="AA211" s="95"/>
      <c r="AB211" s="95"/>
    </row>
    <row r="212" spans="6:28">
      <c r="F212" s="95"/>
      <c r="G212" s="95"/>
      <c r="H212" s="95"/>
      <c r="I212" s="95"/>
      <c r="J212" s="95"/>
      <c r="K212" s="95"/>
      <c r="L212" s="95"/>
      <c r="M212" s="95"/>
      <c r="N212" s="95"/>
      <c r="O212" s="95"/>
      <c r="P212" s="95"/>
      <c r="Q212" s="95"/>
      <c r="R212" s="95"/>
      <c r="S212" s="95"/>
      <c r="T212" s="95"/>
      <c r="U212" s="95"/>
      <c r="V212" s="95"/>
      <c r="W212" s="95"/>
      <c r="X212" s="95"/>
      <c r="Y212" s="95"/>
      <c r="Z212" s="95"/>
      <c r="AA212" s="95"/>
      <c r="AB212" s="95"/>
    </row>
    <row r="213" spans="6:28">
      <c r="F213" s="95"/>
      <c r="G213" s="95"/>
      <c r="H213" s="95"/>
      <c r="I213" s="95"/>
      <c r="J213" s="95"/>
      <c r="K213" s="95"/>
      <c r="L213" s="95"/>
      <c r="M213" s="95"/>
      <c r="N213" s="95"/>
      <c r="O213" s="95"/>
      <c r="P213" s="95"/>
      <c r="Q213" s="95"/>
      <c r="R213" s="95"/>
      <c r="S213" s="95"/>
      <c r="T213" s="95"/>
      <c r="U213" s="95"/>
      <c r="V213" s="95"/>
      <c r="W213" s="95"/>
      <c r="X213" s="95"/>
      <c r="Y213" s="95"/>
      <c r="Z213" s="95"/>
      <c r="AA213" s="95"/>
      <c r="AB213" s="95"/>
    </row>
    <row r="214" spans="6:28">
      <c r="F214" s="95"/>
      <c r="G214" s="95"/>
      <c r="H214" s="95"/>
      <c r="I214" s="95"/>
      <c r="J214" s="95"/>
      <c r="K214" s="95"/>
      <c r="L214" s="95"/>
      <c r="M214" s="95"/>
      <c r="N214" s="95"/>
      <c r="O214" s="95"/>
      <c r="P214" s="95"/>
      <c r="Q214" s="95"/>
      <c r="R214" s="95"/>
      <c r="S214" s="95"/>
      <c r="T214" s="95"/>
      <c r="U214" s="95"/>
      <c r="V214" s="95"/>
      <c r="W214" s="95"/>
      <c r="X214" s="95"/>
      <c r="Y214" s="95"/>
      <c r="Z214" s="95"/>
      <c r="AA214" s="95"/>
      <c r="AB214" s="95"/>
    </row>
    <row r="215" spans="6:28">
      <c r="F215" s="95"/>
      <c r="G215" s="95"/>
      <c r="H215" s="95"/>
      <c r="I215" s="95"/>
      <c r="J215" s="95"/>
      <c r="K215" s="95"/>
      <c r="L215" s="95"/>
      <c r="M215" s="95"/>
      <c r="N215" s="95"/>
      <c r="O215" s="95"/>
      <c r="P215" s="95"/>
      <c r="Q215" s="95"/>
      <c r="R215" s="95"/>
      <c r="S215" s="95"/>
      <c r="T215" s="95"/>
      <c r="U215" s="95"/>
      <c r="V215" s="95"/>
      <c r="W215" s="95"/>
      <c r="X215" s="95"/>
      <c r="Y215" s="95"/>
      <c r="Z215" s="95"/>
      <c r="AA215" s="95"/>
      <c r="AB215" s="95"/>
    </row>
    <row r="216" spans="6:28">
      <c r="F216" s="95"/>
      <c r="G216" s="95"/>
      <c r="H216" s="95"/>
      <c r="I216" s="95"/>
      <c r="J216" s="95"/>
      <c r="K216" s="95"/>
      <c r="L216" s="95"/>
      <c r="M216" s="95"/>
      <c r="N216" s="95"/>
      <c r="O216" s="95"/>
      <c r="P216" s="95"/>
      <c r="Q216" s="95"/>
      <c r="R216" s="95"/>
      <c r="S216" s="95"/>
      <c r="T216" s="95"/>
      <c r="U216" s="95"/>
      <c r="V216" s="95"/>
      <c r="W216" s="95"/>
      <c r="X216" s="95"/>
      <c r="Y216" s="95"/>
      <c r="Z216" s="95"/>
      <c r="AA216" s="95"/>
      <c r="AB216" s="95"/>
    </row>
    <row r="217" spans="6:28">
      <c r="F217" s="95"/>
      <c r="G217" s="95"/>
      <c r="H217" s="95"/>
      <c r="I217" s="95"/>
      <c r="J217" s="95"/>
      <c r="K217" s="95"/>
      <c r="L217" s="95"/>
      <c r="M217" s="95"/>
      <c r="N217" s="95"/>
      <c r="O217" s="95"/>
      <c r="P217" s="95"/>
      <c r="Q217" s="95"/>
      <c r="R217" s="95"/>
      <c r="S217" s="95"/>
      <c r="T217" s="95"/>
      <c r="U217" s="95"/>
      <c r="V217" s="95"/>
      <c r="W217" s="95"/>
      <c r="X217" s="95"/>
      <c r="Y217" s="95"/>
      <c r="Z217" s="95"/>
      <c r="AA217" s="95"/>
      <c r="AB217" s="95"/>
    </row>
    <row r="218" spans="6:28">
      <c r="F218" s="95"/>
      <c r="G218" s="95"/>
      <c r="H218" s="95"/>
      <c r="I218" s="95"/>
      <c r="J218" s="95"/>
      <c r="K218" s="95"/>
      <c r="L218" s="95"/>
      <c r="M218" s="95"/>
      <c r="N218" s="95"/>
      <c r="O218" s="95"/>
      <c r="P218" s="95"/>
      <c r="Q218" s="95"/>
      <c r="R218" s="95"/>
      <c r="S218" s="95"/>
      <c r="T218" s="95"/>
      <c r="U218" s="95"/>
      <c r="V218" s="95"/>
      <c r="W218" s="95"/>
      <c r="X218" s="95"/>
      <c r="Y218" s="95"/>
      <c r="Z218" s="95"/>
      <c r="AA218" s="95"/>
      <c r="AB218" s="95"/>
    </row>
    <row r="219" spans="6:28">
      <c r="F219" s="95"/>
      <c r="G219" s="95"/>
      <c r="H219" s="95"/>
      <c r="I219" s="95"/>
      <c r="J219" s="95"/>
      <c r="K219" s="95"/>
      <c r="L219" s="95"/>
      <c r="M219" s="95"/>
      <c r="N219" s="95"/>
      <c r="O219" s="95"/>
      <c r="P219" s="95"/>
      <c r="Q219" s="95"/>
      <c r="R219" s="95"/>
      <c r="S219" s="95"/>
      <c r="T219" s="95"/>
      <c r="U219" s="95"/>
      <c r="V219" s="95"/>
      <c r="W219" s="95"/>
      <c r="X219" s="95"/>
      <c r="Y219" s="95"/>
      <c r="Z219" s="95"/>
      <c r="AA219" s="95"/>
      <c r="AB219" s="95"/>
    </row>
    <row r="220" spans="6:28">
      <c r="F220" s="95"/>
      <c r="G220" s="95"/>
      <c r="H220" s="95"/>
      <c r="I220" s="95"/>
      <c r="J220" s="95"/>
      <c r="K220" s="95"/>
      <c r="L220" s="95"/>
      <c r="M220" s="95"/>
      <c r="N220" s="95"/>
      <c r="O220" s="95"/>
      <c r="P220" s="95"/>
      <c r="Q220" s="95"/>
      <c r="R220" s="95"/>
      <c r="S220" s="95"/>
      <c r="T220" s="95"/>
      <c r="U220" s="95"/>
      <c r="V220" s="95"/>
      <c r="W220" s="95"/>
      <c r="X220" s="95"/>
      <c r="Y220" s="95"/>
      <c r="Z220" s="95"/>
      <c r="AA220" s="95"/>
      <c r="AB220" s="95"/>
    </row>
    <row r="221" spans="6:28">
      <c r="F221" s="95"/>
      <c r="G221" s="95"/>
      <c r="H221" s="95"/>
      <c r="I221" s="95"/>
      <c r="J221" s="95"/>
      <c r="K221" s="95"/>
      <c r="L221" s="95"/>
      <c r="M221" s="95"/>
      <c r="N221" s="95"/>
      <c r="O221" s="95"/>
      <c r="P221" s="95"/>
      <c r="Q221" s="95"/>
      <c r="R221" s="95"/>
      <c r="S221" s="95"/>
      <c r="T221" s="95"/>
      <c r="U221" s="95"/>
      <c r="V221" s="95"/>
      <c r="W221" s="95"/>
      <c r="X221" s="95"/>
      <c r="Y221" s="95"/>
      <c r="Z221" s="95"/>
      <c r="AA221" s="95"/>
      <c r="AB221" s="95"/>
    </row>
  </sheetData>
  <sheetProtection password="C67E" sheet="1" objects="1" scenarios="1" formatColumns="0" formatRows="0"/>
  <dataConsolidate/>
  <mergeCells count="6">
    <mergeCell ref="I114:K114"/>
    <mergeCell ref="I115:K115"/>
    <mergeCell ref="I116:K116"/>
    <mergeCell ref="I20:K20"/>
    <mergeCell ref="I21:K21"/>
    <mergeCell ref="I22:K22"/>
  </mergeCells>
  <phoneticPr fontId="57" type="noConversion"/>
  <dataValidations count="3">
    <dataValidation type="list" allowBlank="1" showInputMessage="1" showErrorMessage="1" sqref="J16:O16" xr:uid="{00000000-0002-0000-0700-000000000000}">
      <formula1>ALLSUBANDPROJECTS</formula1>
    </dataValidation>
    <dataValidation type="list" allowBlank="1" showInputMessage="1" showErrorMessage="1" sqref="V125" xr:uid="{00000000-0002-0000-0700-000001000000}">
      <formula1>$I$41:$I$43</formula1>
    </dataValidation>
    <dataValidation type="list" allowBlank="1" showInputMessage="1" showErrorMessage="1" sqref="V97" xr:uid="{00000000-0002-0000-0700-000002000000}">
      <formula1>y_n</formula1>
    </dataValidation>
  </dataValidations>
  <pageMargins left="0.75000000000000011" right="0.75000000000000011" top="0.75" bottom="0.94" header="0.5" footer="0.5"/>
  <pageSetup paperSize="9" scale="50"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3608991" r:id="rId3" name="Check Box 8223">
              <controlPr locked="0" defaultSize="0" autoFill="0" autoLine="0" autoPict="0">
                <anchor moveWithCells="1">
                  <from>
                    <xdr:col>20</xdr:col>
                    <xdr:colOff>38100</xdr:colOff>
                    <xdr:row>128</xdr:row>
                    <xdr:rowOff>161925</xdr:rowOff>
                  </from>
                  <to>
                    <xdr:col>20</xdr:col>
                    <xdr:colOff>1066800</xdr:colOff>
                    <xdr:row>129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D04A2-C9F1-4AEE-BFBA-8039377AD593}">
  <sheetPr codeName="Feuil15">
    <tabColor theme="5"/>
  </sheetPr>
  <dimension ref="A1:BE152"/>
  <sheetViews>
    <sheetView showGridLines="0" topLeftCell="A3" zoomScale="80" zoomScaleNormal="80" zoomScalePageLayoutView="80" workbookViewId="0">
      <pane ySplit="14" topLeftCell="A17" activePane="bottomLeft" state="frozen"/>
      <selection activeCell="E7" sqref="E7"/>
      <selection pane="bottomLeft" activeCell="G19" sqref="G19"/>
    </sheetView>
  </sheetViews>
  <sheetFormatPr baseColWidth="10" defaultColWidth="11.5546875" defaultRowHeight="15" outlineLevelCol="1"/>
  <cols>
    <col min="1" max="1" width="2.5546875" customWidth="1"/>
    <col min="2" max="2" width="2.109375" customWidth="1"/>
    <col min="3" max="3" width="3.33203125" customWidth="1"/>
    <col min="4" max="4" width="21.33203125" customWidth="1"/>
    <col min="5" max="5" width="18.33203125" customWidth="1"/>
    <col min="6" max="6" width="13.33203125" customWidth="1"/>
    <col min="7" max="7" width="3.109375" customWidth="1"/>
    <col min="8" max="8" width="3.88671875" customWidth="1"/>
    <col min="9" max="9" width="8.6640625" hidden="1" customWidth="1" outlineLevel="1"/>
    <col min="10" max="10" width="6.5546875" hidden="1" customWidth="1" outlineLevel="1"/>
    <col min="11" max="11" width="9.6640625" hidden="1" customWidth="1" outlineLevel="1"/>
    <col min="12" max="12" width="14.109375" customWidth="1" collapsed="1"/>
    <col min="13" max="13" width="8" customWidth="1"/>
    <col min="14" max="14" width="1.33203125" customWidth="1"/>
    <col min="15" max="15" width="1.88671875" customWidth="1"/>
    <col min="16" max="16" width="10.109375" customWidth="1"/>
    <col min="17" max="17" width="9" customWidth="1"/>
    <col min="18" max="18" width="8.109375" customWidth="1"/>
    <col min="19" max="19" width="7.33203125" customWidth="1"/>
    <col min="20" max="20" width="22.6640625" customWidth="1"/>
    <col min="21" max="21" width="9.5546875" customWidth="1"/>
    <col min="22" max="22" width="9.33203125" customWidth="1"/>
    <col min="23" max="23" width="3.33203125" customWidth="1"/>
    <col min="24" max="24" width="7.6640625" customWidth="1"/>
    <col min="25" max="25" width="7.33203125" customWidth="1"/>
    <col min="26" max="26" width="10.109375" customWidth="1"/>
    <col min="27" max="27" width="9.88671875" customWidth="1"/>
    <col min="28" max="30" width="7.6640625" customWidth="1"/>
    <col min="31" max="31" width="5.109375" customWidth="1"/>
    <col min="32" max="32" width="5.33203125" customWidth="1"/>
    <col min="33" max="33" width="5.33203125" hidden="1" customWidth="1"/>
    <col min="34" max="34" width="12.33203125" hidden="1" customWidth="1"/>
    <col min="35" max="40" width="10.6640625" hidden="1" customWidth="1"/>
    <col min="41" max="41" width="22.5546875" hidden="1" customWidth="1"/>
    <col min="42" max="52" width="10.6640625" hidden="1" customWidth="1"/>
    <col min="53" max="55" width="10.6640625" customWidth="1"/>
  </cols>
  <sheetData>
    <row r="1" spans="1:57" hidden="1">
      <c r="A1" s="380" t="s">
        <v>93</v>
      </c>
      <c r="B1" s="380"/>
      <c r="C1" s="380"/>
      <c r="M1" t="s">
        <v>325</v>
      </c>
      <c r="P1" s="49">
        <f ca="1">SUMPRODUCT(($AH$17:$AH$177=1)*$AO$17:$AO$177)</f>
        <v>0</v>
      </c>
      <c r="Q1" s="49">
        <f ca="1">SUMPRODUCT(($AH$17:$AH$177=1)*1,$AL$17:$AL$177)</f>
        <v>0</v>
      </c>
      <c r="T1" s="433" t="s">
        <v>347</v>
      </c>
      <c r="U1" s="432" t="b">
        <f ca="1">IF(SUMPRODUCT(($AG$17:$AG$172="ext")*1,$AJ$17:$AJ$172)&lt;&gt;0,TRUE)</f>
        <v>0</v>
      </c>
      <c r="V1" s="434" t="s">
        <v>348</v>
      </c>
      <c r="W1" s="432" t="b">
        <f ca="1">IF(SUMPRODUCT(($AG$17:$AG$172="ratio")*1,$AJ$17:$AJ$172)&lt;&gt;0,TRUE)</f>
        <v>0</v>
      </c>
      <c r="AA1" s="320" t="s">
        <v>373</v>
      </c>
      <c r="AB1" s="320">
        <f>IF(E13="value",1,0)</f>
        <v>1</v>
      </c>
      <c r="AC1" t="s">
        <v>292</v>
      </c>
      <c r="AD1">
        <v>0</v>
      </c>
      <c r="AJ1" s="372" t="str">
        <f>Translate!$A$73</f>
        <v>Concrete / Slurry / Grout mix</v>
      </c>
      <c r="AK1" s="372" t="str">
        <f>Translate!$A$138</f>
        <v>Steel</v>
      </c>
      <c r="AL1" s="372" t="str">
        <f>Translate!$A$118</f>
        <v>Other</v>
      </c>
      <c r="AP1" s="284" t="str">
        <f>'Emission factors'!D342</f>
        <v>Energy</v>
      </c>
      <c r="AQ1" s="284" t="str">
        <f>'Emission factors'!E342</f>
        <v>Materials</v>
      </c>
      <c r="AR1" s="284" t="str">
        <f>'Emission factors'!F342</f>
        <v>Freight</v>
      </c>
      <c r="AS1" s="284" t="str">
        <f>'Emission factors'!G342</f>
        <v>Mob/demob</v>
      </c>
      <c r="AT1" s="284" t="str">
        <f>'Emission factors'!H342</f>
        <v>People's transportation</v>
      </c>
      <c r="AU1" s="284" t="str">
        <f>'Emission factors'!I342</f>
        <v>Assets</v>
      </c>
      <c r="AV1" s="284" t="str">
        <f>'Emission factors'!J342</f>
        <v>Waste</v>
      </c>
    </row>
    <row r="2" spans="1:57" hidden="1">
      <c r="A2" s="380"/>
      <c r="B2" s="380"/>
      <c r="C2" s="380"/>
      <c r="M2" t="s">
        <v>334</v>
      </c>
      <c r="P2" s="49">
        <f ca="1">SUMPRODUCT(($AH$17:$AH$177=2)*$AO$17:$AO$177)</f>
        <v>0</v>
      </c>
      <c r="Q2" s="49">
        <f ca="1">SUMPRODUCT(($AH$17:$AH$177=2)*1,$AL$17:$AL$177)</f>
        <v>0</v>
      </c>
      <c r="AA2" s="320" t="s">
        <v>374</v>
      </c>
      <c r="AB2" s="320">
        <f>IF(E14="value",1,0)</f>
        <v>1</v>
      </c>
      <c r="AJ2" s="393">
        <f ca="1">SUMPRODUCT(($AK$17:$AK$172=AJ1)*1,$AJ$17:$AJ$172)/1000</f>
        <v>0</v>
      </c>
      <c r="AK2" s="393">
        <f ca="1">SUMPRODUCT(($AK$17:$AK$172=AK1)*1,$AJ$17:$AJ$172)/1000</f>
        <v>0</v>
      </c>
      <c r="AL2" s="393">
        <f ca="1">SUMPRODUCT(($AK$17:$AK$172=AL1)*1,$AJ$17:$AJ$172)/1000</f>
        <v>0</v>
      </c>
      <c r="AO2" s="381" t="s">
        <v>324</v>
      </c>
      <c r="AP2" s="285">
        <f>VLOOKUP($E$6,'Emission factors'!$C$343:$AY$370,'Emission factors'!Y$340,0)</f>
        <v>1</v>
      </c>
      <c r="AQ2" s="285">
        <f>VLOOKUP($E$6,'Emission factors'!$C$343:$AY$370,'Emission factors'!Z$340,0)</f>
        <v>1</v>
      </c>
      <c r="AR2" s="285">
        <f>VLOOKUP($E$6,'Emission factors'!$C$343:$AY$370,'Emission factors'!AA$340,0)</f>
        <v>2</v>
      </c>
      <c r="AS2" s="285">
        <f>VLOOKUP($E$6,'Emission factors'!$C$343:$AY$370,'Emission factors'!AB$340,0)</f>
        <v>2</v>
      </c>
      <c r="AT2" s="285">
        <f>VLOOKUP($E$6,'Emission factors'!$C$343:$AY$370,'Emission factors'!AC$340,0)</f>
        <v>2</v>
      </c>
      <c r="AU2" s="285">
        <f>VLOOKUP($E$6,'Emission factors'!$C$343:$AY$370,'Emission factors'!AD$340,0)</f>
        <v>2</v>
      </c>
      <c r="AV2" s="285">
        <f>VLOOKUP($E$6,'Emission factors'!$C$343:$AY$370,'Emission factors'!AE$340,0)</f>
        <v>2</v>
      </c>
      <c r="AY2" t="s">
        <v>279</v>
      </c>
    </row>
    <row r="3" spans="1:57" ht="15" customHeight="1">
      <c r="A3" s="338"/>
      <c r="B3" s="338"/>
      <c r="C3" s="338"/>
      <c r="D3" s="338"/>
      <c r="E3" s="338"/>
      <c r="F3" s="338"/>
      <c r="T3" s="772" t="str">
        <f>Translate!$A$123&amp;AQ9&amp;AP9&amp;AR9&amp;AS9&amp;AT9&amp;AU9&amp;AV9</f>
        <v xml:space="preserve">Primary emission sources : 
Materials, Energy, </v>
      </c>
      <c r="U3" s="772"/>
      <c r="V3" s="772"/>
      <c r="W3" s="772"/>
      <c r="X3" s="772"/>
      <c r="Y3" s="772"/>
      <c r="Z3" s="772"/>
      <c r="AB3" t="str">
        <f>Translate!$A$131</f>
        <v>Comments :</v>
      </c>
      <c r="AO3" s="381" t="s">
        <v>269</v>
      </c>
      <c r="AP3" s="286">
        <f t="shared" ref="AP3:AV3" ca="1" si="0">IF(SUM($P$7:$P$13)=0,0,VLOOKUP(AP1,$H$7:$P$13,9,0)/SUM($P$7:$P$13))</f>
        <v>0</v>
      </c>
      <c r="AQ3" s="286">
        <f t="shared" ca="1" si="0"/>
        <v>0</v>
      </c>
      <c r="AR3" s="286">
        <f t="shared" ca="1" si="0"/>
        <v>0</v>
      </c>
      <c r="AS3" s="286">
        <f t="shared" ca="1" si="0"/>
        <v>0</v>
      </c>
      <c r="AT3" s="286">
        <f t="shared" ca="1" si="0"/>
        <v>0</v>
      </c>
      <c r="AU3" s="286">
        <f t="shared" ca="1" si="0"/>
        <v>0</v>
      </c>
      <c r="AV3" s="286">
        <f t="shared" ca="1" si="0"/>
        <v>0</v>
      </c>
      <c r="AX3" t="str">
        <f>IF(E9=0,AY3,"")</f>
        <v xml:space="preserve">Enter the number of working days
</v>
      </c>
      <c r="AY3" s="283" t="str">
        <f>Lists!H2</f>
        <v xml:space="preserve">Enter the number of working days
</v>
      </c>
    </row>
    <row r="4" spans="1:57" ht="30" customHeight="1">
      <c r="A4" s="338"/>
      <c r="B4" s="338"/>
      <c r="C4" s="338"/>
      <c r="D4" s="338"/>
      <c r="E4" s="338"/>
      <c r="F4" s="338"/>
      <c r="T4" s="772"/>
      <c r="U4" s="772"/>
      <c r="V4" s="772"/>
      <c r="W4" s="772"/>
      <c r="X4" s="772"/>
      <c r="Y4" s="772"/>
      <c r="Z4" s="772"/>
      <c r="AB4" s="773"/>
      <c r="AC4" s="774"/>
      <c r="AD4" s="774"/>
      <c r="AE4" s="774"/>
      <c r="AF4" s="775"/>
      <c r="AO4" s="381" t="s">
        <v>278</v>
      </c>
      <c r="AP4" s="286">
        <f>VLOOKUP($E$6,'Emission factors'!$C$343:$Y$370,'Emission factors'!D$340,0)</f>
        <v>0.11052786630433771</v>
      </c>
      <c r="AQ4" s="286">
        <f>VLOOKUP($E$6,'Emission factors'!$C$343:$Y$370,'Emission factors'!E$340,0)</f>
        <v>0.88947213369566225</v>
      </c>
      <c r="AR4" s="286">
        <f>VLOOKUP($E$6,'Emission factors'!$C$343:$Y$370,'Emission factors'!F$340,0)</f>
        <v>2.282592401015008E-2</v>
      </c>
      <c r="AS4" s="286">
        <f>VLOOKUP($E$6,'Emission factors'!$C$343:$Y$370,'Emission factors'!G$340,0)</f>
        <v>9.6121760628132911E-3</v>
      </c>
      <c r="AT4" s="286">
        <f>VLOOKUP($E$6,'Emission factors'!$C$343:$Y$370,'Emission factors'!H$340,0)</f>
        <v>1.3244808825357562E-2</v>
      </c>
      <c r="AU4" s="286">
        <f>VLOOKUP($E$6,'Emission factors'!$C$343:$Y$370,'Emission factors'!I$340,0)</f>
        <v>1.3903359226777238E-2</v>
      </c>
      <c r="AV4" s="286">
        <f>VLOOKUP($E$6,'Emission factors'!$C$343:$Y$370,'Emission factors'!J$340,0)</f>
        <v>0</v>
      </c>
      <c r="AX4" t="str">
        <f>IF(E10=0,AY4,"")</f>
        <v xml:space="preserve">Enter the average number of people working on the project
</v>
      </c>
      <c r="AY4" s="283" t="str">
        <f>Lists!H3</f>
        <v xml:space="preserve">Enter the average number of people working on the project
</v>
      </c>
    </row>
    <row r="5" spans="1:57" ht="20.25">
      <c r="A5" s="338"/>
      <c r="B5" s="338"/>
      <c r="C5" s="338"/>
      <c r="D5" s="215" t="str">
        <f>Translate!$A$64</f>
        <v>Subproject name</v>
      </c>
      <c r="E5" s="492" t="s">
        <v>2735</v>
      </c>
      <c r="F5" s="338"/>
      <c r="T5" t="str">
        <f ca="1">IF(NOT(AW10),Translate!$A$124,"")</f>
        <v>Please enter activities data relative to the primary emission sources</v>
      </c>
      <c r="AB5" s="776"/>
      <c r="AC5" s="777"/>
      <c r="AD5" s="777"/>
      <c r="AE5" s="777"/>
      <c r="AF5" s="778"/>
      <c r="AO5" s="381" t="s">
        <v>280</v>
      </c>
      <c r="AP5" s="2">
        <f t="shared" ref="AP5:AV5" si="1">IF(AP2=1,0,IF(SUMPRODUCT($AO$17:$AO$183*($AI$17:$AI$183=AP1))&gt;0,0,1))</f>
        <v>0</v>
      </c>
      <c r="AQ5" s="2">
        <f t="shared" si="1"/>
        <v>0</v>
      </c>
      <c r="AR5" s="2">
        <f t="shared" ca="1" si="1"/>
        <v>1</v>
      </c>
      <c r="AS5" s="2">
        <f t="shared" ca="1" si="1"/>
        <v>1</v>
      </c>
      <c r="AT5" s="2">
        <f t="shared" ca="1" si="1"/>
        <v>1</v>
      </c>
      <c r="AU5" s="2">
        <f t="shared" ca="1" si="1"/>
        <v>1</v>
      </c>
      <c r="AV5" s="2">
        <f t="shared" ca="1" si="1"/>
        <v>1</v>
      </c>
      <c r="AX5" t="str">
        <f>IF(Translate!$A$300=E12,AY5,"")</f>
        <v xml:space="preserve">Select a country
</v>
      </c>
      <c r="AY5" s="283" t="str">
        <f>Lists!H4</f>
        <v xml:space="preserve">Select a country
</v>
      </c>
      <c r="BA5" t="str">
        <f>Translate!$A$132</f>
        <v>Primary emission sources</v>
      </c>
      <c r="BB5" s="49">
        <f ca="1">P1/1000</f>
        <v>0</v>
      </c>
      <c r="BC5" s="49">
        <f ca="1">P2/1000</f>
        <v>0</v>
      </c>
      <c r="BD5" s="49">
        <f ca="1">Q1/1000</f>
        <v>0</v>
      </c>
    </row>
    <row r="6" spans="1:57" ht="17.100000000000001" customHeight="1">
      <c r="A6" s="338"/>
      <c r="B6" s="782" t="str">
        <f>Translate!$A$63</f>
        <v>duplication +</v>
      </c>
      <c r="C6" s="338"/>
      <c r="D6" s="216" t="str">
        <f>Translate!$A$48</f>
        <v>Technique</v>
      </c>
      <c r="E6" s="616" t="s">
        <v>2424</v>
      </c>
      <c r="F6" s="338"/>
      <c r="H6" s="88" t="str">
        <f>Translate!$A$103</f>
        <v>Sources</v>
      </c>
      <c r="L6" s="92"/>
      <c r="M6" s="89"/>
      <c r="N6" s="89"/>
      <c r="O6" s="89"/>
      <c r="P6" s="90" t="str">
        <f>Translate!$A$115</f>
        <v>tCO2e</v>
      </c>
      <c r="Q6" t="str">
        <f>Translate!$A$115</f>
        <v>tCO2e</v>
      </c>
      <c r="R6" s="133"/>
      <c r="S6" s="133"/>
      <c r="T6" s="783" t="str">
        <f ca="1">IF(P14&gt;0,AX3&amp;AX4&amp;AX5&amp;AQ8&amp;AP8&amp;AR8&amp;AS8&amp;AT8&amp;AU8&amp;AV8,"")</f>
        <v/>
      </c>
      <c r="U6" s="783"/>
      <c r="V6" s="783"/>
      <c r="W6" s="783"/>
      <c r="X6" s="783"/>
      <c r="Y6" s="783"/>
      <c r="Z6" s="783"/>
      <c r="AB6" s="776"/>
      <c r="AC6" s="777"/>
      <c r="AD6" s="777"/>
      <c r="AE6" s="777"/>
      <c r="AF6" s="778"/>
      <c r="AO6" s="381" t="s">
        <v>267</v>
      </c>
      <c r="AP6" s="286">
        <f>VLOOKUP($E$6,'Emission factors'!$C$343:$Y$370,'Emission factors'!K$340,0)</f>
        <v>0.3</v>
      </c>
      <c r="AQ6" s="286">
        <f>VLOOKUP($E$6,'Emission factors'!$C$343:$Y$370,'Emission factors'!L$340,0)</f>
        <v>1</v>
      </c>
      <c r="AR6" s="286">
        <f>VLOOKUP($E$6,'Emission factors'!$C$343:$Y$370,'Emission factors'!M$340,0)</f>
        <v>0.1</v>
      </c>
      <c r="AS6" s="286">
        <f>VLOOKUP($E$6,'Emission factors'!$C$343:$Y$370,'Emission factors'!N$340,0)</f>
        <v>0.1</v>
      </c>
      <c r="AT6" s="286">
        <f>VLOOKUP($E$6,'Emission factors'!$C$343:$Y$370,'Emission factors'!O$340,0)</f>
        <v>0.2</v>
      </c>
      <c r="AU6" s="286">
        <f>VLOOKUP($E$6,'Emission factors'!$C$343:$Y$370,'Emission factors'!P$340,0)</f>
        <v>0.1</v>
      </c>
      <c r="AV6" s="286">
        <f>VLOOKUP($E$6,'Emission factors'!$C$343:$Y$370,'Emission factors'!Q$340,0)</f>
        <v>0.1</v>
      </c>
      <c r="AY6" s="283" t="str">
        <f>Lists!H5</f>
        <v xml:space="preserve"> emissions are relatively high
</v>
      </c>
      <c r="BA6" t="str">
        <f>Translate!$A$133</f>
        <v>Secondary emission sources</v>
      </c>
      <c r="BB6" s="49">
        <f ca="1">BB5</f>
        <v>0</v>
      </c>
      <c r="BC6" s="49">
        <f ca="1">BC5</f>
        <v>0</v>
      </c>
      <c r="BD6" s="49">
        <f ca="1">Q2/1000</f>
        <v>0</v>
      </c>
    </row>
    <row r="7" spans="1:57">
      <c r="A7" s="338"/>
      <c r="B7" s="782"/>
      <c r="C7" s="338"/>
      <c r="D7" s="217" t="str">
        <f>Translate!$A$65</f>
        <v>Date of calculation</v>
      </c>
      <c r="E7" s="466"/>
      <c r="F7" s="338"/>
      <c r="H7" s="91" t="str">
        <f>Translate!$A$104</f>
        <v>Materials</v>
      </c>
      <c r="L7" s="388">
        <f ca="1">AJ2</f>
        <v>0</v>
      </c>
      <c r="M7" s="388">
        <f ca="1">AK2</f>
        <v>0</v>
      </c>
      <c r="N7" s="388">
        <f ca="1">AL2</f>
        <v>0</v>
      </c>
      <c r="O7" s="388">
        <f>AL3</f>
        <v>0</v>
      </c>
      <c r="P7" s="93">
        <f t="shared" ref="P7:P13" ca="1" si="2">SUMPRODUCT(($AI$17:$AI$172=$H7)*1,$AJ$17:$AJ$172)/1000</f>
        <v>0</v>
      </c>
      <c r="Q7" s="49">
        <f t="shared" ref="Q7:Q13" ca="1" si="3">SUMPRODUCT(($AI$17:$AI$172=$H7)*1,$AL$17:$AL$172)/1000</f>
        <v>0</v>
      </c>
      <c r="R7" s="133"/>
      <c r="S7" s="133"/>
      <c r="T7" s="783"/>
      <c r="U7" s="783"/>
      <c r="V7" s="783"/>
      <c r="W7" s="783"/>
      <c r="X7" s="783"/>
      <c r="Y7" s="783"/>
      <c r="Z7" s="783"/>
      <c r="AB7" s="776"/>
      <c r="AC7" s="777"/>
      <c r="AD7" s="777"/>
      <c r="AE7" s="777"/>
      <c r="AF7" s="778"/>
      <c r="AO7" s="381" t="s">
        <v>268</v>
      </c>
      <c r="AP7" s="286">
        <f>VLOOKUP($E$6,'Emission factors'!$C$343:$Y$370,'Emission factors'!R$340,0)</f>
        <v>0.02</v>
      </c>
      <c r="AQ7" s="286">
        <f>VLOOKUP($E$6,'Emission factors'!$C$343:$Y$370,'Emission factors'!S$340,0)</f>
        <v>0</v>
      </c>
      <c r="AR7" s="286">
        <f>VLOOKUP($E$6,'Emission factors'!$C$343:$Y$370,'Emission factors'!T$340,0)</f>
        <v>1E-3</v>
      </c>
      <c r="AS7" s="287">
        <f>VLOOKUP($E$6,'Emission factors'!$C$343:$Y$370,'Emission factors'!U$340,0)</f>
        <v>0</v>
      </c>
      <c r="AT7" s="286">
        <f>VLOOKUP($E$6,'Emission factors'!$C$343:$Y$370,'Emission factors'!V$340,0)</f>
        <v>0</v>
      </c>
      <c r="AU7" s="286">
        <f>VLOOKUP($E$6,'Emission factors'!$C$343:$Y$370,'Emission factors'!W$340,0)</f>
        <v>0</v>
      </c>
      <c r="AV7" s="286">
        <f>VLOOKUP($E$6,'Emission factors'!$C$343:$Y$370,'Emission factors'!X$340,0)</f>
        <v>0</v>
      </c>
      <c r="AY7" s="283" t="str">
        <f>Lists!H6</f>
        <v xml:space="preserve"> emissions are relatively low
</v>
      </c>
      <c r="BA7" t="str">
        <f>Translate!$A$134</f>
        <v>Total</v>
      </c>
      <c r="BB7" s="49">
        <f ca="1">BB6</f>
        <v>0</v>
      </c>
      <c r="BC7" s="49">
        <f ca="1">BC6</f>
        <v>0</v>
      </c>
      <c r="BD7" s="49">
        <f ca="1">BD5+BD6</f>
        <v>0</v>
      </c>
      <c r="BE7" s="458">
        <f ca="1">IF(P7=0,0,ROUND(P7,-ROUNDDOWN(LOG(ABS(P7)),0)+1))</f>
        <v>0</v>
      </c>
    </row>
    <row r="8" spans="1:57">
      <c r="A8" s="338"/>
      <c r="B8" s="782"/>
      <c r="C8" s="338"/>
      <c r="D8" s="217" t="str">
        <f>Translate!$A$66</f>
        <v>Author</v>
      </c>
      <c r="E8" s="466"/>
      <c r="F8" s="338"/>
      <c r="H8" s="91" t="str">
        <f>Translate!$A$105</f>
        <v>Energy</v>
      </c>
      <c r="L8" s="389"/>
      <c r="M8" s="389"/>
      <c r="N8" s="389"/>
      <c r="O8" s="388">
        <f t="shared" ref="O8:O13" ca="1" si="4">P8</f>
        <v>0</v>
      </c>
      <c r="P8" s="93">
        <f t="shared" ca="1" si="2"/>
        <v>0</v>
      </c>
      <c r="Q8" s="49">
        <f t="shared" ca="1" si="3"/>
        <v>0</v>
      </c>
      <c r="R8" s="133"/>
      <c r="S8" s="133"/>
      <c r="T8" s="783"/>
      <c r="U8" s="783"/>
      <c r="V8" s="783"/>
      <c r="W8" s="783"/>
      <c r="X8" s="783"/>
      <c r="Y8" s="783"/>
      <c r="Z8" s="783"/>
      <c r="AB8" s="776"/>
      <c r="AC8" s="777"/>
      <c r="AD8" s="777"/>
      <c r="AE8" s="777"/>
      <c r="AF8" s="778"/>
      <c r="AO8" s="283"/>
      <c r="AP8" s="283" t="str">
        <f t="shared" ref="AP8:AU8" ca="1" si="5">IF(AP7&gt;AP3,AP1&amp;$AY$7,IF(AP6&lt;AP3,AP1&amp;$AY$6,""))</f>
        <v xml:space="preserve">Energy emissions are relatively low
</v>
      </c>
      <c r="AQ8" s="283" t="str">
        <f t="shared" ca="1" si="5"/>
        <v/>
      </c>
      <c r="AR8" s="283" t="str">
        <f t="shared" ca="1" si="5"/>
        <v xml:space="preserve">Freight emissions are relatively low
</v>
      </c>
      <c r="AS8" s="283" t="str">
        <f t="shared" ca="1" si="5"/>
        <v/>
      </c>
      <c r="AT8" s="283" t="str">
        <f t="shared" ca="1" si="5"/>
        <v/>
      </c>
      <c r="AU8" s="283" t="str">
        <f t="shared" ca="1" si="5"/>
        <v/>
      </c>
      <c r="AV8" s="283" t="str">
        <f ca="1">IF(AV7&gt;AV3,AV1&amp;$AY$7,IF(AV6&lt;AV3,AV1&amp;$AY$6,""))</f>
        <v/>
      </c>
      <c r="AW8" s="283"/>
      <c r="AY8" s="283" t="str">
        <f>Lists!H7</f>
        <v xml:space="preserve">    (Primary source)</v>
      </c>
      <c r="BE8" s="458">
        <f t="shared" ref="BE8:BE13" ca="1" si="6">IF(P8=0,0,ROUND(P8,-ROUNDDOWN(LOG(ABS(P8)),0)+1))</f>
        <v>0</v>
      </c>
    </row>
    <row r="9" spans="1:57">
      <c r="A9" s="338"/>
      <c r="B9" s="782"/>
      <c r="C9" s="338"/>
      <c r="D9" s="217" t="str">
        <f>Translate!$A$67</f>
        <v>Working days</v>
      </c>
      <c r="E9" s="515"/>
      <c r="F9" s="217" t="str">
        <f>Translate!$A$67</f>
        <v>Working days</v>
      </c>
      <c r="H9" s="91" t="str">
        <f>Translate!$A$106</f>
        <v>Freight</v>
      </c>
      <c r="L9" s="389"/>
      <c r="M9" s="389"/>
      <c r="N9" s="389"/>
      <c r="O9" s="388">
        <f t="shared" ca="1" si="4"/>
        <v>0</v>
      </c>
      <c r="P9" s="93">
        <f t="shared" ca="1" si="2"/>
        <v>0</v>
      </c>
      <c r="Q9" s="49">
        <f t="shared" ca="1" si="3"/>
        <v>0</v>
      </c>
      <c r="R9" s="133"/>
      <c r="S9" s="133"/>
      <c r="T9" s="783"/>
      <c r="U9" s="783"/>
      <c r="V9" s="783"/>
      <c r="W9" s="783"/>
      <c r="X9" s="783"/>
      <c r="Y9" s="783"/>
      <c r="Z9" s="783"/>
      <c r="AB9" s="776"/>
      <c r="AC9" s="777"/>
      <c r="AD9" s="777"/>
      <c r="AE9" s="777"/>
      <c r="AF9" s="778"/>
      <c r="AO9" s="283"/>
      <c r="AP9" s="283" t="str">
        <f t="shared" ref="AP9:AV9" si="7">IF(AP2=1,AP1&amp;", ","")</f>
        <v xml:space="preserve">Energy, </v>
      </c>
      <c r="AQ9" s="283" t="str">
        <f t="shared" si="7"/>
        <v xml:space="preserve">Materials, </v>
      </c>
      <c r="AR9" s="283" t="str">
        <f t="shared" si="7"/>
        <v/>
      </c>
      <c r="AS9" s="283" t="str">
        <f t="shared" si="7"/>
        <v/>
      </c>
      <c r="AT9" s="283" t="str">
        <f t="shared" si="7"/>
        <v/>
      </c>
      <c r="AU9" s="283" t="str">
        <f t="shared" si="7"/>
        <v/>
      </c>
      <c r="AV9" s="283" t="str">
        <f t="shared" si="7"/>
        <v/>
      </c>
      <c r="AY9" s="283" t="str">
        <f>Lists!H8</f>
        <v xml:space="preserve">    (Secondary source)</v>
      </c>
      <c r="BE9" s="458">
        <f t="shared" ca="1" si="6"/>
        <v>0</v>
      </c>
    </row>
    <row r="10" spans="1:57">
      <c r="A10" s="338"/>
      <c r="B10" s="782"/>
      <c r="C10" s="338"/>
      <c r="D10" s="217" t="str">
        <f>Translate!$A$68</f>
        <v>Workforce</v>
      </c>
      <c r="E10" s="515"/>
      <c r="F10" s="431" t="str">
        <f>Translate!$A$94</f>
        <v>Full-time equivalent</v>
      </c>
      <c r="H10" s="91" t="str">
        <f>Translate!$A$107</f>
        <v>Mob/demob</v>
      </c>
      <c r="L10" s="389"/>
      <c r="M10" s="389"/>
      <c r="N10" s="389"/>
      <c r="O10" s="388">
        <f t="shared" ca="1" si="4"/>
        <v>0</v>
      </c>
      <c r="P10" s="93">
        <f t="shared" ca="1" si="2"/>
        <v>0</v>
      </c>
      <c r="Q10" s="49">
        <f t="shared" ca="1" si="3"/>
        <v>0</v>
      </c>
      <c r="R10" s="133"/>
      <c r="S10" s="133"/>
      <c r="T10" s="783"/>
      <c r="U10" s="783"/>
      <c r="V10" s="783"/>
      <c r="W10" s="783"/>
      <c r="X10" s="783"/>
      <c r="Y10" s="783"/>
      <c r="Z10" s="783"/>
      <c r="AB10" s="779"/>
      <c r="AC10" s="780"/>
      <c r="AD10" s="780"/>
      <c r="AE10" s="780"/>
      <c r="AF10" s="781"/>
      <c r="AO10" s="356" t="s">
        <v>308</v>
      </c>
      <c r="AP10" s="283" t="b">
        <f ca="1">IF((AP2=1),NOT(AP3=0),TRUE)</f>
        <v>0</v>
      </c>
      <c r="AQ10" s="283" t="b">
        <f t="shared" ref="AQ10:AV10" ca="1" si="8">IF((AQ2=1),NOT(AQ3=0),TRUE)</f>
        <v>0</v>
      </c>
      <c r="AR10" s="283" t="b">
        <f t="shared" si="8"/>
        <v>1</v>
      </c>
      <c r="AS10" s="283" t="b">
        <f t="shared" si="8"/>
        <v>1</v>
      </c>
      <c r="AT10" s="283" t="b">
        <f t="shared" si="8"/>
        <v>1</v>
      </c>
      <c r="AU10" s="283" t="b">
        <f t="shared" si="8"/>
        <v>1</v>
      </c>
      <c r="AV10" s="283" t="b">
        <f t="shared" si="8"/>
        <v>1</v>
      </c>
      <c r="AW10" s="283" t="b">
        <f ca="1">AND(AP10:AV10)</f>
        <v>0</v>
      </c>
      <c r="BE10" s="458">
        <f t="shared" ca="1" si="6"/>
        <v>0</v>
      </c>
    </row>
    <row r="11" spans="1:57" ht="15.75" thickBot="1">
      <c r="A11" s="338"/>
      <c r="B11" s="133"/>
      <c r="C11" s="338"/>
      <c r="D11" s="217" t="str">
        <f>Translate!$A$69</f>
        <v>Project value</v>
      </c>
      <c r="E11" s="515"/>
      <c r="F11" s="340" t="str">
        <f>Translate!$A$95</f>
        <v>€</v>
      </c>
      <c r="H11" s="91" t="str">
        <f>Translate!$A$108</f>
        <v>People's transportation</v>
      </c>
      <c r="L11" s="389"/>
      <c r="M11" s="389"/>
      <c r="N11" s="389"/>
      <c r="O11" s="388">
        <f t="shared" ca="1" si="4"/>
        <v>0</v>
      </c>
      <c r="P11" s="93">
        <f t="shared" ca="1" si="2"/>
        <v>0</v>
      </c>
      <c r="Q11" s="49">
        <f t="shared" ca="1" si="3"/>
        <v>0</v>
      </c>
      <c r="AO11" s="283"/>
      <c r="AP11" s="283" t="str">
        <f>IF(AP2=1,AP1&amp;$AY$8,AP1&amp;$AY$9)</f>
        <v>Energy    (Primary source)</v>
      </c>
      <c r="AQ11" s="283" t="str">
        <f t="shared" ref="AQ11:AV11" si="9">IF(AQ2=1,AQ1&amp;$AY$8,AQ1&amp;$AY$9)</f>
        <v>Materials    (Primary source)</v>
      </c>
      <c r="AR11" s="283" t="str">
        <f t="shared" si="9"/>
        <v>Freight    (Secondary source)</v>
      </c>
      <c r="AS11" s="283" t="str">
        <f t="shared" si="9"/>
        <v>Mob/demob    (Secondary source)</v>
      </c>
      <c r="AT11" s="283" t="str">
        <f t="shared" si="9"/>
        <v>People's transportation    (Secondary source)</v>
      </c>
      <c r="AU11" s="283" t="str">
        <f t="shared" si="9"/>
        <v>Assets    (Secondary source)</v>
      </c>
      <c r="AV11" s="283" t="str">
        <f t="shared" si="9"/>
        <v>Waste    (Secondary source)</v>
      </c>
      <c r="BE11" s="458">
        <f t="shared" ca="1" si="6"/>
        <v>0</v>
      </c>
    </row>
    <row r="12" spans="1:57" ht="21.75" customHeight="1" thickBot="1">
      <c r="A12" s="338"/>
      <c r="B12" s="133"/>
      <c r="C12" s="338"/>
      <c r="D12" s="217" t="str">
        <f>Translate!$A$70</f>
        <v>Country</v>
      </c>
      <c r="E12" s="493" t="str">
        <f>Translate!$A$300</f>
        <v>-Select the project country</v>
      </c>
      <c r="F12" s="338"/>
      <c r="H12" s="91" t="str">
        <f>Translate!$A$109</f>
        <v>Assets</v>
      </c>
      <c r="L12" s="389"/>
      <c r="M12" s="389"/>
      <c r="N12" s="389"/>
      <c r="O12" s="388">
        <f t="shared" ca="1" si="4"/>
        <v>0</v>
      </c>
      <c r="P12" s="93">
        <f t="shared" ca="1" si="2"/>
        <v>0</v>
      </c>
      <c r="Q12" s="49">
        <f t="shared" ca="1" si="3"/>
        <v>0</v>
      </c>
      <c r="T12" s="485" t="str">
        <f>Translate!$A$125</f>
        <v>TOTAL GHG EMISSIONS</v>
      </c>
      <c r="U12" s="486"/>
      <c r="V12" s="784">
        <f ca="1">IF(P14=0,0,ROUND(P14,-ROUNDDOWN(LOG(ABS(P14)),0)+1))</f>
        <v>0</v>
      </c>
      <c r="W12" s="784"/>
      <c r="X12" s="784"/>
      <c r="Y12" s="487" t="str">
        <f>Translate!$A$115</f>
        <v>tCO2e</v>
      </c>
      <c r="BE12" s="458">
        <f t="shared" ca="1" si="6"/>
        <v>0</v>
      </c>
    </row>
    <row r="13" spans="1:57">
      <c r="A13" s="338"/>
      <c r="B13" s="133"/>
      <c r="C13" s="338"/>
      <c r="D13" s="466" t="str">
        <f>Translate!$A$71</f>
        <v>Functional unit 1</v>
      </c>
      <c r="E13" s="515" t="str">
        <f>Translate!$A$87</f>
        <v>value</v>
      </c>
      <c r="F13" s="466" t="str">
        <f>Translate!$A$96</f>
        <v>unit</v>
      </c>
      <c r="H13" s="91" t="str">
        <f>Translate!$A$110</f>
        <v>Waste</v>
      </c>
      <c r="L13" s="389"/>
      <c r="M13" s="389"/>
      <c r="N13" s="389"/>
      <c r="O13" s="388">
        <f t="shared" ca="1" si="4"/>
        <v>0</v>
      </c>
      <c r="P13" s="93">
        <f t="shared" ca="1" si="2"/>
        <v>0</v>
      </c>
      <c r="Q13" s="49">
        <f t="shared" ca="1" si="3"/>
        <v>0</v>
      </c>
      <c r="BE13" s="458">
        <f t="shared" ca="1" si="6"/>
        <v>0</v>
      </c>
    </row>
    <row r="14" spans="1:57">
      <c r="A14" s="338"/>
      <c r="B14" s="133"/>
      <c r="C14" s="338"/>
      <c r="D14" s="466" t="str">
        <f>Translate!$A$72</f>
        <v>Functional unit 2</v>
      </c>
      <c r="E14" s="515" t="str">
        <f>Translate!$A$87</f>
        <v>value</v>
      </c>
      <c r="F14" s="466" t="str">
        <f>Translate!$A$96</f>
        <v>unit</v>
      </c>
      <c r="P14" s="49">
        <f ca="1">SUM(P7:P13)</f>
        <v>0</v>
      </c>
      <c r="S14" s="49"/>
    </row>
    <row r="15" spans="1:57" ht="12" customHeight="1">
      <c r="A15" s="338"/>
      <c r="B15" s="133"/>
      <c r="C15" s="338"/>
      <c r="D15" s="338"/>
      <c r="E15" s="338"/>
      <c r="F15" s="338"/>
    </row>
    <row r="16" spans="1:57" ht="25.5" hidden="1">
      <c r="I16" s="282" t="s">
        <v>64</v>
      </c>
      <c r="J16" s="282"/>
      <c r="K16" s="282" t="s">
        <v>16</v>
      </c>
      <c r="L16" s="282" t="s">
        <v>65</v>
      </c>
    </row>
    <row r="17" spans="1:45" ht="21" customHeight="1">
      <c r="A17" s="1"/>
      <c r="B17" s="1"/>
      <c r="C17" s="1"/>
      <c r="D17" s="8" t="str">
        <f>AQ11</f>
        <v>Materials    (Primary source)</v>
      </c>
      <c r="E17" s="1"/>
      <c r="F17" s="1"/>
      <c r="G17" s="1"/>
      <c r="H17" s="1"/>
      <c r="I17" s="1"/>
      <c r="J17" s="1"/>
      <c r="K17" s="1"/>
      <c r="L17" s="1"/>
      <c r="M17" s="1"/>
      <c r="N17" s="1"/>
      <c r="O17" s="16"/>
      <c r="P17" s="16"/>
      <c r="Q17" s="16" t="str">
        <f>AR11</f>
        <v>Freight    (Secondary source)</v>
      </c>
      <c r="R17" s="15"/>
      <c r="S17" s="16"/>
      <c r="T17" s="16"/>
      <c r="U17" s="15"/>
      <c r="V17" s="15"/>
      <c r="W17" s="15"/>
      <c r="X17" s="15"/>
      <c r="Y17" s="15"/>
      <c r="Z17" s="15"/>
      <c r="AA17" s="15"/>
      <c r="AB17" s="15"/>
      <c r="AC17" s="15"/>
      <c r="AD17" s="15"/>
      <c r="AE17" s="15"/>
      <c r="AH17" s="357" t="s">
        <v>323</v>
      </c>
      <c r="AI17" s="357" t="s">
        <v>319</v>
      </c>
      <c r="AJ17" s="357" t="s">
        <v>320</v>
      </c>
      <c r="AK17" s="357" t="s">
        <v>314</v>
      </c>
      <c r="AL17" s="357" t="s">
        <v>321</v>
      </c>
      <c r="AM17" s="357"/>
      <c r="AN17" s="357" t="s">
        <v>322</v>
      </c>
    </row>
    <row r="18" spans="1:45" ht="12.75" customHeight="1">
      <c r="A18" s="1"/>
      <c r="D18" s="3"/>
    </row>
    <row r="19" spans="1:45" ht="15.75">
      <c r="A19" s="1"/>
      <c r="C19" s="27"/>
      <c r="D19" s="28" t="str">
        <f>Translate!$A$73</f>
        <v>Concrete / Slurry / Grout mix</v>
      </c>
      <c r="E19" s="29"/>
      <c r="F19" s="29"/>
      <c r="G19" s="29"/>
      <c r="H19" s="29"/>
      <c r="I19" s="29"/>
      <c r="J19" s="29"/>
      <c r="K19" s="29"/>
      <c r="L19" s="29"/>
      <c r="M19" s="29"/>
      <c r="N19" s="29"/>
      <c r="O19" s="30"/>
      <c r="P19" s="30"/>
      <c r="Q19" s="30"/>
      <c r="R19" s="30"/>
      <c r="S19" s="30"/>
      <c r="T19" s="30"/>
      <c r="U19" s="30"/>
      <c r="V19" s="30"/>
      <c r="W19" s="30"/>
      <c r="X19" s="30"/>
      <c r="Y19" s="30"/>
      <c r="Z19" s="30"/>
      <c r="AA19" s="30"/>
      <c r="AB19" s="30"/>
      <c r="AC19" s="30"/>
      <c r="AD19" s="30"/>
      <c r="AE19" s="31"/>
    </row>
    <row r="20" spans="1:45" ht="15.75">
      <c r="A20" s="1"/>
      <c r="B20" s="551" t="s">
        <v>316</v>
      </c>
      <c r="C20" s="32"/>
      <c r="D20" s="22"/>
      <c r="E20" s="23"/>
      <c r="F20" s="23"/>
      <c r="G20" s="23"/>
      <c r="H20" s="23"/>
      <c r="I20" s="23"/>
      <c r="J20" s="23"/>
      <c r="K20" s="23"/>
      <c r="L20" s="23"/>
      <c r="M20" s="23"/>
      <c r="N20" s="23"/>
      <c r="O20" s="24"/>
      <c r="P20" s="24"/>
      <c r="Q20" s="24"/>
      <c r="R20" s="24"/>
      <c r="S20" s="24"/>
      <c r="T20" s="24"/>
      <c r="U20" s="24"/>
      <c r="V20" s="24"/>
      <c r="W20" s="24"/>
      <c r="X20" s="24"/>
      <c r="Y20" s="24"/>
      <c r="Z20" s="24"/>
      <c r="AA20" s="24"/>
      <c r="AB20" s="24"/>
      <c r="AC20" s="24"/>
      <c r="AD20" s="24"/>
      <c r="AE20" s="33"/>
      <c r="AN20">
        <f>ROW(F43)-ROW(F19)</f>
        <v>24</v>
      </c>
    </row>
    <row r="21" spans="1:45" ht="15.75">
      <c r="A21" s="1"/>
      <c r="C21" s="32"/>
      <c r="D21" s="10" t="str">
        <f>Translate!$A$47</f>
        <v>Name</v>
      </c>
      <c r="E21" s="465" t="str">
        <f>Translate!$A$88</f>
        <v>Default concrete</v>
      </c>
      <c r="F21" s="23"/>
      <c r="G21" s="23"/>
      <c r="H21" s="23"/>
      <c r="I21" s="23"/>
      <c r="J21" s="23"/>
      <c r="K21" s="23"/>
      <c r="L21" s="613" t="str">
        <f>Translate!$A$475</f>
        <v>made at plant</v>
      </c>
      <c r="M21" s="614">
        <f>IF(L21=Translate!$A$475,1,0)</f>
        <v>1</v>
      </c>
      <c r="N21" s="23"/>
      <c r="O21" s="24"/>
      <c r="P21" s="24"/>
      <c r="Q21" s="24"/>
      <c r="R21" s="24"/>
      <c r="S21" s="24"/>
      <c r="T21" s="24"/>
      <c r="U21" s="24"/>
      <c r="V21" s="24"/>
      <c r="W21" s="24"/>
      <c r="X21" s="24"/>
      <c r="Y21" s="24"/>
      <c r="Z21" s="24"/>
      <c r="AA21" s="24"/>
      <c r="AB21" s="24"/>
      <c r="AC21" s="24"/>
      <c r="AD21" s="24"/>
      <c r="AE21" s="33"/>
      <c r="AM21" s="707"/>
    </row>
    <row r="22" spans="1:45" ht="15.75">
      <c r="A22" s="1"/>
      <c r="C22" s="463"/>
      <c r="D22" s="10" t="str">
        <f>Translate!$A$74</f>
        <v>Quantity</v>
      </c>
      <c r="E22" s="465"/>
      <c r="F22" s="220" t="str">
        <f>'Emission factors'!$F$414</f>
        <v>m3</v>
      </c>
      <c r="G22" s="23"/>
      <c r="H22" s="23"/>
      <c r="I22" s="25">
        <f>E22</f>
        <v>0</v>
      </c>
      <c r="J22" s="21" t="str">
        <f>F22</f>
        <v>m3</v>
      </c>
      <c r="K22" s="23"/>
      <c r="L22" s="23"/>
      <c r="M22" s="23"/>
      <c r="N22" s="23"/>
      <c r="O22" s="24"/>
      <c r="P22" s="19" t="str">
        <f>Translate!$A$112</f>
        <v>Distance</v>
      </c>
      <c r="Q22" s="470">
        <f>IF(L21="made on site",0,20)</f>
        <v>20</v>
      </c>
      <c r="R22" s="20" t="str">
        <f>'Emission factors'!$F$410</f>
        <v>km</v>
      </c>
      <c r="S22" s="19" t="str">
        <f>Translate!$A$120</f>
        <v>Type</v>
      </c>
      <c r="T22" s="471" t="str">
        <f>Translate!$A$206</f>
        <v>Road - Rigid &gt;17t</v>
      </c>
      <c r="U22" s="19" t="str">
        <f>Translate!$A$127</f>
        <v>Load</v>
      </c>
      <c r="V22" s="471">
        <f>'Emission factors'!$D$311</f>
        <v>8</v>
      </c>
      <c r="W22" s="20" t="str">
        <f>J22</f>
        <v>m3</v>
      </c>
      <c r="X22" s="471">
        <f>IF(V22=0,0,ROUNDUP(I22/V22,0))</f>
        <v>0</v>
      </c>
      <c r="Y22" s="20" t="str">
        <f>Translate!$A$130</f>
        <v>travels</v>
      </c>
      <c r="Z22" s="39" t="str">
        <f>Translate!$A$128</f>
        <v>empty-return rate</v>
      </c>
      <c r="AA22" s="472">
        <v>1</v>
      </c>
      <c r="AB22" s="48">
        <f>VLOOKUP(T22,EFtable,3,0)</f>
        <v>0.98243999999999998</v>
      </c>
      <c r="AC22" s="46">
        <f>Q22*X22*(1+AA22)*AB22</f>
        <v>0</v>
      </c>
      <c r="AD22" s="47" t="str">
        <f>Translate!$A$102</f>
        <v>kgCO2e</v>
      </c>
      <c r="AE22" s="33"/>
      <c r="AJ22" s="49"/>
      <c r="AM22" s="708">
        <v>0</v>
      </c>
    </row>
    <row r="23" spans="1:45" ht="15.75">
      <c r="A23" s="1"/>
      <c r="C23" s="463"/>
      <c r="D23" s="22"/>
      <c r="E23" s="23"/>
      <c r="F23" s="23"/>
      <c r="G23" s="23"/>
      <c r="H23" s="23"/>
      <c r="I23" s="23"/>
      <c r="J23" s="23"/>
      <c r="K23" s="23"/>
      <c r="L23" s="23"/>
      <c r="M23" s="23"/>
      <c r="N23" s="23"/>
      <c r="O23" s="24"/>
      <c r="P23" s="24"/>
      <c r="Q23" s="24"/>
      <c r="R23" s="24"/>
      <c r="S23" s="24"/>
      <c r="T23" s="24"/>
      <c r="U23" s="24"/>
      <c r="V23" s="24"/>
      <c r="W23" s="24"/>
      <c r="X23" s="24"/>
      <c r="Y23" s="24"/>
      <c r="Z23" s="24"/>
      <c r="AA23" s="24"/>
      <c r="AB23" s="24"/>
      <c r="AC23" s="24"/>
      <c r="AD23" s="24"/>
      <c r="AE23" s="33"/>
      <c r="AH23">
        <f>HLOOKUP(AI23,$AP$1:$AV$2,2,0)</f>
        <v>2</v>
      </c>
      <c r="AI23" t="str">
        <f>Translate!$A$106</f>
        <v>Freight</v>
      </c>
      <c r="AJ23" s="49">
        <f>AC22</f>
        <v>0</v>
      </c>
      <c r="AL23" s="379">
        <f>VLOOKUP(T22,EFtable,8,0)*AC22</f>
        <v>0</v>
      </c>
      <c r="AM23" s="708">
        <f ca="1">1+OFFSET(AM23,-1,0)</f>
        <v>1</v>
      </c>
      <c r="AO23" s="49">
        <f>AJ23</f>
        <v>0</v>
      </c>
    </row>
    <row r="24" spans="1:45" ht="15.75">
      <c r="A24" s="1"/>
      <c r="C24" s="552" t="s">
        <v>316</v>
      </c>
      <c r="D24" s="10" t="str">
        <f>Translate!$A$75</f>
        <v>Cement</v>
      </c>
      <c r="E24" s="466" t="str">
        <f>Translate!$A$181</f>
        <v>CEM I</v>
      </c>
      <c r="F24" s="23"/>
      <c r="G24" s="23"/>
      <c r="H24" s="23"/>
      <c r="I24" s="23"/>
      <c r="J24" s="23"/>
      <c r="K24" s="23"/>
      <c r="L24" s="23"/>
      <c r="M24" s="23"/>
      <c r="N24" s="23"/>
      <c r="O24" s="24"/>
      <c r="P24" s="24"/>
      <c r="Q24" s="24"/>
      <c r="R24" s="24"/>
      <c r="S24" s="24"/>
      <c r="T24" s="24"/>
      <c r="U24" s="24"/>
      <c r="V24" s="24"/>
      <c r="W24" s="24"/>
      <c r="X24" s="24"/>
      <c r="Y24" s="24"/>
      <c r="Z24" s="24"/>
      <c r="AA24" s="24"/>
      <c r="AB24" s="24"/>
      <c r="AC24" s="24"/>
      <c r="AD24" s="24"/>
      <c r="AE24" s="33"/>
      <c r="AL24" s="49"/>
      <c r="AM24" s="708">
        <f t="shared" ref="AM24:AM43" ca="1" si="10">1+OFFSET(AM24,-1,0)</f>
        <v>2</v>
      </c>
      <c r="AN24">
        <f>ROW(F28)-ROW(F24)</f>
        <v>4</v>
      </c>
    </row>
    <row r="25" spans="1:45">
      <c r="A25" s="1"/>
      <c r="C25" s="463"/>
      <c r="D25" s="9" t="str">
        <f>Translate!$A$76</f>
        <v>Total cementitious content</v>
      </c>
      <c r="E25" s="683">
        <f>VLOOKUP($E$6,DefaultConcrete,3,0)</f>
        <v>400</v>
      </c>
      <c r="F25" s="220" t="str">
        <f ca="1">OFFSET(AS25,-AM25+6,0)</f>
        <v>kg/m3</v>
      </c>
      <c r="G25" s="23"/>
      <c r="H25" s="23"/>
      <c r="I25" s="23"/>
      <c r="J25" s="23"/>
      <c r="K25" s="23"/>
      <c r="L25" s="23"/>
      <c r="M25" s="23"/>
      <c r="N25" s="23"/>
      <c r="O25" s="24"/>
      <c r="P25" s="19" t="str">
        <f>Translate!$A$112</f>
        <v>Distance</v>
      </c>
      <c r="Q25" s="470">
        <f>IF(ISERROR(VLOOKUP(D24,StandardFreight,3,0)),VLOOKUP(Translate!$A$118,StandardFreight,3,0),VLOOKUP(D24,StandardFreight,3,0))</f>
        <v>20</v>
      </c>
      <c r="R25" s="20" t="str">
        <f>'Emission factors'!$F$410</f>
        <v>km</v>
      </c>
      <c r="S25" s="19" t="str">
        <f>Translate!$A$120</f>
        <v>Type</v>
      </c>
      <c r="T25" s="473" t="str">
        <f>IF(ISERROR(VLOOKUP(D24,StandardFreight,2,0)),VLOOKUP("Other",StandardFreight,2,0),VLOOKUP(D24,StandardFreight,2,0))</f>
        <v>Road - Rigid &gt;17t</v>
      </c>
      <c r="U25" s="19" t="str">
        <f>Translate!$A$127</f>
        <v>Load</v>
      </c>
      <c r="V25" s="471">
        <f>VLOOKUP(T25,FreightLoadFactors,2,0)</f>
        <v>7.5</v>
      </c>
      <c r="W25" s="20" t="str">
        <f>J28</f>
        <v>t</v>
      </c>
      <c r="X25" s="471">
        <f ca="1">IF(V25=0,0,ROUNDUP(I28/V25,0))</f>
        <v>0</v>
      </c>
      <c r="Y25" s="20" t="str">
        <f>Translate!$A$130</f>
        <v>travels</v>
      </c>
      <c r="Z25" s="39" t="str">
        <f>Translate!$A$128</f>
        <v>empty-return rate</v>
      </c>
      <c r="AA25" s="472">
        <v>1</v>
      </c>
      <c r="AB25" s="474">
        <f>VLOOKUP(T25,EFtable,3,0)</f>
        <v>0.98243999999999998</v>
      </c>
      <c r="AC25" s="475">
        <f ca="1">Q25*X25*(1+AA25)*AB25</f>
        <v>0</v>
      </c>
      <c r="AD25" s="47" t="str">
        <f>Translate!$A$102</f>
        <v>kgCO2e</v>
      </c>
      <c r="AE25" s="33"/>
      <c r="AH25">
        <f>HLOOKUP(AI25,$AP$1:$AV$2,2,0)</f>
        <v>1</v>
      </c>
      <c r="AI25" t="str">
        <f>Translate!$A$104</f>
        <v>Materials</v>
      </c>
      <c r="AJ25" s="49">
        <f ca="1">L28</f>
        <v>0</v>
      </c>
      <c r="AK25" s="372" t="str">
        <f>Translate!$A$73</f>
        <v>Concrete / Slurry / Grout mix</v>
      </c>
      <c r="AL25" s="379">
        <f ca="1">VLOOKUP("CEM I",EFtable,8,0)*L28</f>
        <v>0</v>
      </c>
      <c r="AM25" s="708">
        <f t="shared" ca="1" si="10"/>
        <v>3</v>
      </c>
      <c r="AO25" s="49">
        <f ca="1">AJ25</f>
        <v>0</v>
      </c>
    </row>
    <row r="26" spans="1:45">
      <c r="A26" s="1"/>
      <c r="C26" s="463"/>
      <c r="D26" s="4" t="str">
        <f>Translate!$A$77</f>
        <v>Secondary constituent</v>
      </c>
      <c r="E26" s="5" t="str">
        <f>VLOOKUP(E24,'Emission factors'!$C$286:$M$294,2,0)</f>
        <v>-</v>
      </c>
      <c r="F26" s="23"/>
      <c r="G26" s="23"/>
      <c r="H26" s="23"/>
      <c r="I26" s="23"/>
      <c r="J26" s="23"/>
      <c r="K26" s="23"/>
      <c r="L26" s="23"/>
      <c r="M26" s="23"/>
      <c r="N26" s="23"/>
      <c r="O26" s="24"/>
      <c r="P26" s="24"/>
      <c r="Q26" s="24"/>
      <c r="R26" s="24"/>
      <c r="S26" s="24"/>
      <c r="T26" s="456"/>
      <c r="U26" s="24"/>
      <c r="V26" s="24"/>
      <c r="W26" s="24"/>
      <c r="X26" s="24"/>
      <c r="Y26" s="24"/>
      <c r="Z26" s="24"/>
      <c r="AA26" s="24"/>
      <c r="AB26" s="24"/>
      <c r="AC26" s="24"/>
      <c r="AD26" s="24"/>
      <c r="AE26" s="33"/>
      <c r="AH26">
        <f>HLOOKUP(AI26,$AP$1:$AV$2,2,0)</f>
        <v>2</v>
      </c>
      <c r="AI26" t="str">
        <f>Translate!$A$106</f>
        <v>Freight</v>
      </c>
      <c r="AJ26" s="49">
        <f ca="1">AC25</f>
        <v>0</v>
      </c>
      <c r="AL26" s="379">
        <f ca="1">VLOOKUP(T25,EFtable,8,0)*AC25</f>
        <v>0</v>
      </c>
      <c r="AM26" s="708">
        <f t="shared" ca="1" si="10"/>
        <v>4</v>
      </c>
      <c r="AO26" s="49">
        <f ca="1">AJ26</f>
        <v>0</v>
      </c>
    </row>
    <row r="27" spans="1:45">
      <c r="A27" s="1"/>
      <c r="C27" s="463"/>
      <c r="D27" s="785" t="str">
        <f>Translate!$A$78</f>
        <v>Secondary constituent content</v>
      </c>
      <c r="E27" s="4" t="str">
        <f>Translate!$A$89</f>
        <v>Default value</v>
      </c>
      <c r="F27" s="4" t="str">
        <f>Translate!$A$97</f>
        <v>Real Value</v>
      </c>
      <c r="G27" s="23"/>
      <c r="H27" s="23"/>
      <c r="I27" s="23"/>
      <c r="J27" s="23"/>
      <c r="K27" s="23"/>
      <c r="L27" s="23"/>
      <c r="M27" s="23"/>
      <c r="N27" s="23"/>
      <c r="O27" s="24"/>
      <c r="P27" s="24"/>
      <c r="Q27" s="24"/>
      <c r="R27" s="24"/>
      <c r="S27" s="24"/>
      <c r="T27" s="456"/>
      <c r="U27" s="24"/>
      <c r="V27" s="24"/>
      <c r="W27" s="24"/>
      <c r="X27" s="24"/>
      <c r="Y27" s="24"/>
      <c r="Z27" s="24"/>
      <c r="AA27" s="24"/>
      <c r="AB27" s="24"/>
      <c r="AC27" s="24"/>
      <c r="AD27" s="24"/>
      <c r="AE27" s="33"/>
      <c r="AL27" s="49"/>
      <c r="AM27" s="708">
        <f t="shared" ca="1" si="10"/>
        <v>5</v>
      </c>
      <c r="AS27" s="95" t="str">
        <f>'Emission factors'!$F$411</f>
        <v>t</v>
      </c>
    </row>
    <row r="28" spans="1:45">
      <c r="A28" s="1"/>
      <c r="C28" s="463"/>
      <c r="D28" s="786"/>
      <c r="E28" s="6">
        <f>IF(F28="",VLOOKUP(E24,CementTypes,5,0),"")</f>
        <v>0</v>
      </c>
      <c r="F28" s="467"/>
      <c r="G28" s="23"/>
      <c r="H28" s="23"/>
      <c r="I28" s="25">
        <f ca="1">IF(F25=OFFSET(AS28,-AM28+6,0),E25*OFFSET(E28,-AM28,0)/IF(J28='Emission factors'!E411,1,1000),E25)</f>
        <v>0</v>
      </c>
      <c r="J28" s="21" t="str">
        <f>'Emission factors'!$F$411</f>
        <v>t</v>
      </c>
      <c r="K28" s="7">
        <f>IF(E24="CEM I",VLOOKUP(E24,EFtable,3,0),(IF(F28="",E28,F28)*VLOOKUP(E26,EFtable,3,0)+(1-IF(F28="",E28,F28))*VLOOKUP("CEM I",EFtable,3,0)))</f>
        <v>860</v>
      </c>
      <c r="L28" s="25">
        <f ca="1">I28*K28</f>
        <v>0</v>
      </c>
      <c r="M28" s="21" t="str">
        <f>Translate!$A$102</f>
        <v>kgCO2e</v>
      </c>
      <c r="N28" s="23"/>
      <c r="O28" s="24"/>
      <c r="P28" s="24"/>
      <c r="Q28" s="24"/>
      <c r="R28" s="24"/>
      <c r="S28" s="24"/>
      <c r="T28" s="456"/>
      <c r="U28" s="24"/>
      <c r="V28" s="24"/>
      <c r="W28" s="24"/>
      <c r="X28" s="24"/>
      <c r="Y28" s="24"/>
      <c r="Z28" s="24"/>
      <c r="AA28" s="24"/>
      <c r="AB28" s="24"/>
      <c r="AC28" s="24"/>
      <c r="AD28" s="24"/>
      <c r="AE28" s="33"/>
      <c r="AL28" s="49"/>
      <c r="AM28" s="708">
        <f t="shared" ca="1" si="10"/>
        <v>6</v>
      </c>
      <c r="AS28" s="95" t="str">
        <f>'Emission factors'!$F$413&amp;"/"&amp;F22</f>
        <v>kg/m3</v>
      </c>
    </row>
    <row r="29" spans="1:45" ht="15.75">
      <c r="A29" s="1"/>
      <c r="C29" s="463"/>
      <c r="D29" s="22"/>
      <c r="E29" s="23"/>
      <c r="F29" s="23"/>
      <c r="G29" s="23"/>
      <c r="H29" s="23"/>
      <c r="I29" s="23"/>
      <c r="J29" s="23"/>
      <c r="K29" s="23"/>
      <c r="L29" s="23"/>
      <c r="M29" s="23"/>
      <c r="N29" s="23"/>
      <c r="O29" s="24"/>
      <c r="P29" s="24"/>
      <c r="Q29" s="24"/>
      <c r="R29" s="24"/>
      <c r="S29" s="24"/>
      <c r="T29" s="456"/>
      <c r="U29" s="24"/>
      <c r="V29" s="24"/>
      <c r="W29" s="24"/>
      <c r="X29" s="24"/>
      <c r="Y29" s="24"/>
      <c r="Z29" s="24"/>
      <c r="AA29" s="24"/>
      <c r="AB29" s="24"/>
      <c r="AC29" s="24"/>
      <c r="AD29" s="24"/>
      <c r="AE29" s="33"/>
      <c r="AL29" s="49"/>
      <c r="AM29" s="708">
        <f t="shared" ca="1" si="10"/>
        <v>7</v>
      </c>
    </row>
    <row r="30" spans="1:45" ht="15.75">
      <c r="A30" s="1"/>
      <c r="C30" s="552" t="s">
        <v>316</v>
      </c>
      <c r="D30" s="468" t="str">
        <f>Translate!$A$177</f>
        <v>Aggregate</v>
      </c>
      <c r="E30" s="515">
        <f>IF(ISERROR(VLOOKUP($E$6,DefaultConcrete,HLOOKUP(D30,DefaultConcrete,2,0),0)),0,VLOOKUP($E$6,DefaultConcrete,HLOOKUP(D30,DefaultConcrete,2,0),0))</f>
        <v>900</v>
      </c>
      <c r="F30" s="220" t="str">
        <f ca="1">OFFSET(AS30,-AM30+6,0)</f>
        <v>kg/m3</v>
      </c>
      <c r="G30" s="23"/>
      <c r="H30" s="23"/>
      <c r="I30" s="25">
        <f ca="1">IF(F30=OFFSET(AS30,-AM30+6,0),E30*OFFSET(E30,-AM30,0)/IF(J30='Emission factors'!$E$411,1,1000),E30)</f>
        <v>0</v>
      </c>
      <c r="J30" s="21" t="str">
        <f>'Emission factors'!$F$411</f>
        <v>t</v>
      </c>
      <c r="K30" s="38">
        <f>IF(ISERROR(E31*1),VLOOKUP(D30,EFtable,3,0),VLOOKUP(D30,EFtable,3,0)*(1-E31)+VLOOKUP(D30&amp;Translate!$A$199,EFtable,3,0)*E31)</f>
        <v>4</v>
      </c>
      <c r="L30" s="25">
        <f ca="1">IF(F31=Translate!$A$111,0,I30*K30)</f>
        <v>0</v>
      </c>
      <c r="M30" s="21" t="str">
        <f>Translate!$A$102</f>
        <v>kgCO2e</v>
      </c>
      <c r="N30" s="23"/>
      <c r="O30" s="24"/>
      <c r="P30" s="19" t="str">
        <f>Translate!$A$112</f>
        <v>Distance</v>
      </c>
      <c r="Q30" s="470">
        <f>IF(ISERROR(VLOOKUP(D30,StandardFreight,3,0)),VLOOKUP(Translate!$A$118,StandardFreight,3,0),VLOOKUP(D30,StandardFreight,3,0))</f>
        <v>20</v>
      </c>
      <c r="R30" s="20" t="str">
        <f>'Emission factors'!$F$410</f>
        <v>km</v>
      </c>
      <c r="S30" s="19" t="str">
        <f>Translate!$A$120</f>
        <v>Type</v>
      </c>
      <c r="T30" s="473" t="str">
        <f>IF(ISERROR(VLOOKUP(D30,StandardFreight,2,0)),VLOOKUP("Other",StandardFreight,2,0),VLOOKUP(D30,StandardFreight,2,0))</f>
        <v>Road - Articulated &gt;33t</v>
      </c>
      <c r="U30" s="19" t="str">
        <f>Translate!$A$127</f>
        <v>Load</v>
      </c>
      <c r="V30" s="471">
        <f>VLOOKUP(T30,FreightLoadFactors,2,0)</f>
        <v>15</v>
      </c>
      <c r="W30" s="20" t="str">
        <f>J30</f>
        <v>t</v>
      </c>
      <c r="X30" s="471">
        <f ca="1">IF(V30=0,0,ROUNDUP(I30/V30,0))</f>
        <v>0</v>
      </c>
      <c r="Y30" s="20" t="str">
        <f>Translate!$A$130</f>
        <v>travels</v>
      </c>
      <c r="Z30" s="39" t="str">
        <f>Translate!$A$128</f>
        <v>empty-return rate</v>
      </c>
      <c r="AA30" s="472">
        <v>1</v>
      </c>
      <c r="AB30" s="474">
        <f>VLOOKUP(T30,EFtable,3,0)</f>
        <v>0.93694</v>
      </c>
      <c r="AC30" s="475">
        <f ca="1">Q30*X30*(1+AA30)*AB30</f>
        <v>0</v>
      </c>
      <c r="AD30" s="47" t="str">
        <f>Translate!$A$102</f>
        <v>kgCO2e</v>
      </c>
      <c r="AE30" s="33"/>
      <c r="AH30">
        <f>HLOOKUP(AI30,$AP$1:$AV$2,2,0)</f>
        <v>1</v>
      </c>
      <c r="AI30" t="str">
        <f>Translate!$A$104</f>
        <v>Materials</v>
      </c>
      <c r="AJ30" s="49">
        <f ca="1">L30</f>
        <v>0</v>
      </c>
      <c r="AK30" s="372" t="str">
        <f>VLOOKUP(D30,EFtable,7,0)</f>
        <v>Concrete / Slurry / Grout mix</v>
      </c>
      <c r="AL30" s="379">
        <f ca="1">VLOOKUP(D30,EFtable,8,0)*L30</f>
        <v>0</v>
      </c>
      <c r="AM30" s="708">
        <f t="shared" ca="1" si="10"/>
        <v>8</v>
      </c>
      <c r="AN30">
        <f>ROW(F31)-ROW(F30)</f>
        <v>1</v>
      </c>
      <c r="AO30" s="49">
        <f t="shared" ref="AO30:AO40" ca="1" si="11">AJ30</f>
        <v>0</v>
      </c>
    </row>
    <row r="31" spans="1:45">
      <c r="A31" s="1"/>
      <c r="C31" s="463"/>
      <c r="D31" s="336" t="str">
        <f>Translate!$A$79</f>
        <v>Recycled content</v>
      </c>
      <c r="E31" s="476" t="str">
        <f>IF(ISERROR(VLOOKUP(D30,RecycledContent,2,0)),Translate!$A$90,VLOOKUP(D30,RecycledContent,2,0))</f>
        <v>do not apply</v>
      </c>
      <c r="F31" s="469" t="str">
        <f>Translate!$A$478</f>
        <v>-new or recycled-</v>
      </c>
      <c r="G31" s="23"/>
      <c r="H31" s="23"/>
      <c r="I31" s="23"/>
      <c r="J31" s="23"/>
      <c r="K31" s="23"/>
      <c r="L31" s="23"/>
      <c r="M31" s="23"/>
      <c r="N31" s="23"/>
      <c r="O31" s="24"/>
      <c r="P31" s="24"/>
      <c r="Q31" s="24"/>
      <c r="R31" s="24"/>
      <c r="S31" s="24"/>
      <c r="T31" s="456"/>
      <c r="U31" s="24"/>
      <c r="V31" s="24"/>
      <c r="W31" s="24"/>
      <c r="X31" s="24"/>
      <c r="Y31" s="24"/>
      <c r="Z31" s="24"/>
      <c r="AA31" s="24"/>
      <c r="AB31" s="24"/>
      <c r="AC31" s="24"/>
      <c r="AD31" s="24"/>
      <c r="AE31" s="33"/>
      <c r="AH31">
        <f>HLOOKUP(AI31,$AP$1:$AV$2,2,0)</f>
        <v>2</v>
      </c>
      <c r="AI31" t="str">
        <f>Translate!$A$106</f>
        <v>Freight</v>
      </c>
      <c r="AJ31" s="49">
        <f ca="1">AC30</f>
        <v>0</v>
      </c>
      <c r="AL31" s="379">
        <f ca="1">VLOOKUP(T30,EFtable,8,0)*AC30</f>
        <v>0</v>
      </c>
      <c r="AM31" s="708">
        <f t="shared" ca="1" si="10"/>
        <v>9</v>
      </c>
      <c r="AO31" s="49">
        <f t="shared" ca="1" si="11"/>
        <v>0</v>
      </c>
    </row>
    <row r="32" spans="1:45" ht="9.75" customHeight="1">
      <c r="A32" s="1"/>
      <c r="C32" s="463"/>
      <c r="D32" s="22"/>
      <c r="E32" s="23"/>
      <c r="F32" s="23"/>
      <c r="G32" s="23"/>
      <c r="H32" s="23"/>
      <c r="I32" s="23"/>
      <c r="J32" s="23"/>
      <c r="K32" s="23"/>
      <c r="L32" s="23"/>
      <c r="M32" s="23"/>
      <c r="N32" s="23"/>
      <c r="O32" s="24"/>
      <c r="P32" s="24"/>
      <c r="Q32" s="24"/>
      <c r="R32" s="24"/>
      <c r="S32" s="24"/>
      <c r="T32" s="456"/>
      <c r="U32" s="24"/>
      <c r="V32" s="24"/>
      <c r="W32" s="24"/>
      <c r="X32" s="24"/>
      <c r="Y32" s="24"/>
      <c r="Z32" s="24"/>
      <c r="AA32" s="24"/>
      <c r="AB32" s="24"/>
      <c r="AC32" s="24"/>
      <c r="AD32" s="24"/>
      <c r="AE32" s="33"/>
      <c r="AL32" s="49"/>
      <c r="AM32" s="708">
        <f t="shared" ca="1" si="10"/>
        <v>10</v>
      </c>
    </row>
    <row r="33" spans="1:41" ht="15.75">
      <c r="A33" s="1"/>
      <c r="C33" s="552" t="s">
        <v>316</v>
      </c>
      <c r="D33" s="468" t="str">
        <f>Translate!$A$190</f>
        <v>Sand</v>
      </c>
      <c r="E33" s="515">
        <f>IF(ISERROR(VLOOKUP($E$6,DefaultConcrete,HLOOKUP(D33,DefaultConcrete,2,0),0)),0,VLOOKUP($E$6,DefaultConcrete,HLOOKUP(D33,DefaultConcrete,2,0),0))</f>
        <v>800</v>
      </c>
      <c r="F33" s="220" t="str">
        <f ca="1">OFFSET(AS33,-AM33+6,0)</f>
        <v>kg/m3</v>
      </c>
      <c r="G33" s="23"/>
      <c r="H33" s="23"/>
      <c r="I33" s="25">
        <f ca="1">IF(F33=OFFSET(AS33,-AM33+6,0),E33*OFFSET(E33,-AM33,0)/IF(J33='Emission factors'!$E$411,1,1000),E33)</f>
        <v>0</v>
      </c>
      <c r="J33" s="21" t="str">
        <f>'Emission factors'!$F$411</f>
        <v>t</v>
      </c>
      <c r="K33" s="38">
        <f>IF(ISERROR(E34*1),VLOOKUP(D33,EFtable,3,0),VLOOKUP(D33,EFtable,3,0)*(1-E34)+VLOOKUP(D33&amp;Translate!$A$199,EFtable,3,0)*E34)</f>
        <v>6</v>
      </c>
      <c r="L33" s="25">
        <f ca="1">IF(F34=Translate!$A$111,0,I33*K33)</f>
        <v>0</v>
      </c>
      <c r="M33" s="21" t="str">
        <f>Translate!$A$102</f>
        <v>kgCO2e</v>
      </c>
      <c r="N33" s="23"/>
      <c r="O33" s="24"/>
      <c r="P33" s="19" t="str">
        <f>Translate!$A$112</f>
        <v>Distance</v>
      </c>
      <c r="Q33" s="470">
        <f>IF(ISERROR(VLOOKUP(D33,StandardFreight,3,0)),VLOOKUP(Translate!$A$118,StandardFreight,3,0),VLOOKUP(D33,StandardFreight,3,0))</f>
        <v>20</v>
      </c>
      <c r="R33" s="20" t="str">
        <f>'Emission factors'!$F$410</f>
        <v>km</v>
      </c>
      <c r="S33" s="19" t="str">
        <f>Translate!$A$120</f>
        <v>Type</v>
      </c>
      <c r="T33" s="473" t="str">
        <f>IF(ISERROR(VLOOKUP(D33,StandardFreight,2,0)),VLOOKUP("Other",StandardFreight,2,0),VLOOKUP(D33,StandardFreight,2,0))</f>
        <v>Road - Articulated &gt;33t</v>
      </c>
      <c r="U33" s="19" t="str">
        <f>Translate!$A$127</f>
        <v>Load</v>
      </c>
      <c r="V33" s="471">
        <f>VLOOKUP(T33,FreightLoadFactors,2,0)</f>
        <v>15</v>
      </c>
      <c r="W33" s="20" t="str">
        <f>J33</f>
        <v>t</v>
      </c>
      <c r="X33" s="471">
        <f ca="1">IF(V33=0,0,ROUNDUP(I33/V33,0))</f>
        <v>0</v>
      </c>
      <c r="Y33" s="20" t="str">
        <f>Translate!$A$130</f>
        <v>travels</v>
      </c>
      <c r="Z33" s="39" t="str">
        <f>Translate!$A$128</f>
        <v>empty-return rate</v>
      </c>
      <c r="AA33" s="472">
        <v>1</v>
      </c>
      <c r="AB33" s="474">
        <f>VLOOKUP(T33,EFtable,3,0)</f>
        <v>0.93694</v>
      </c>
      <c r="AC33" s="475">
        <f ca="1">Q33*X33*(1+AA33)*AB33</f>
        <v>0</v>
      </c>
      <c r="AD33" s="47" t="str">
        <f>Translate!$A$102</f>
        <v>kgCO2e</v>
      </c>
      <c r="AE33" s="33"/>
      <c r="AH33">
        <f>HLOOKUP(AI33,$AP$1:$AV$2,2,0)</f>
        <v>1</v>
      </c>
      <c r="AI33" t="str">
        <f>Translate!$A$104</f>
        <v>Materials</v>
      </c>
      <c r="AJ33" s="49">
        <f ca="1">L33</f>
        <v>0</v>
      </c>
      <c r="AK33" s="372" t="str">
        <f>VLOOKUP(D33,EFtable,7,0)</f>
        <v>Concrete / Slurry / Grout mix</v>
      </c>
      <c r="AL33" s="379">
        <f ca="1">VLOOKUP(D33,EFtable,8,0)*L33</f>
        <v>0</v>
      </c>
      <c r="AM33" s="708">
        <f t="shared" ca="1" si="10"/>
        <v>11</v>
      </c>
      <c r="AN33">
        <f>ROW(F34)-ROW(F33)</f>
        <v>1</v>
      </c>
      <c r="AO33" s="49">
        <f t="shared" ca="1" si="11"/>
        <v>0</v>
      </c>
    </row>
    <row r="34" spans="1:41">
      <c r="A34" s="1"/>
      <c r="C34" s="463"/>
      <c r="D34" s="336" t="str">
        <f>Translate!$A$79</f>
        <v>Recycled content</v>
      </c>
      <c r="E34" s="476" t="str">
        <f>IF(ISERROR(VLOOKUP(D33,RecycledContent,2,0)),Translate!$A$90,VLOOKUP(D33,RecycledContent,2,0))</f>
        <v>do not apply</v>
      </c>
      <c r="F34" s="469" t="str">
        <f>Translate!$A$478</f>
        <v>-new or recycled-</v>
      </c>
      <c r="G34" s="23"/>
      <c r="H34" s="23"/>
      <c r="I34" s="23"/>
      <c r="J34" s="23"/>
      <c r="K34" s="23"/>
      <c r="L34" s="23"/>
      <c r="M34" s="23"/>
      <c r="N34" s="23"/>
      <c r="O34" s="24"/>
      <c r="P34" s="24"/>
      <c r="Q34" s="24"/>
      <c r="R34" s="24"/>
      <c r="S34" s="24"/>
      <c r="T34" s="456"/>
      <c r="U34" s="24"/>
      <c r="V34" s="24"/>
      <c r="W34" s="24"/>
      <c r="X34" s="24"/>
      <c r="Y34" s="24"/>
      <c r="Z34" s="24"/>
      <c r="AA34" s="24"/>
      <c r="AB34" s="24"/>
      <c r="AC34" s="24"/>
      <c r="AD34" s="24"/>
      <c r="AE34" s="33"/>
      <c r="AH34">
        <f>HLOOKUP(AI34,$AP$1:$AV$2,2,0)</f>
        <v>2</v>
      </c>
      <c r="AI34" t="str">
        <f>Translate!$A$106</f>
        <v>Freight</v>
      </c>
      <c r="AJ34" s="49">
        <f ca="1">AC33</f>
        <v>0</v>
      </c>
      <c r="AL34" s="379">
        <f ca="1">VLOOKUP(T33,EFtable,8,0)*AC33</f>
        <v>0</v>
      </c>
      <c r="AM34" s="708">
        <f t="shared" ca="1" si="10"/>
        <v>12</v>
      </c>
      <c r="AO34" s="49">
        <f t="shared" ca="1" si="11"/>
        <v>0</v>
      </c>
    </row>
    <row r="35" spans="1:41" ht="9.75" customHeight="1">
      <c r="A35" s="1"/>
      <c r="C35" s="463"/>
      <c r="D35" s="22"/>
      <c r="E35" s="23"/>
      <c r="F35" s="23"/>
      <c r="G35" s="23"/>
      <c r="H35" s="23"/>
      <c r="I35" s="23"/>
      <c r="J35" s="23"/>
      <c r="K35" s="23"/>
      <c r="L35" s="23"/>
      <c r="M35" s="23"/>
      <c r="N35" s="23"/>
      <c r="O35" s="24"/>
      <c r="P35" s="24"/>
      <c r="Q35" s="24"/>
      <c r="R35" s="24"/>
      <c r="S35" s="24"/>
      <c r="T35" s="456"/>
      <c r="U35" s="24"/>
      <c r="V35" s="24"/>
      <c r="W35" s="24"/>
      <c r="X35" s="24"/>
      <c r="Y35" s="24"/>
      <c r="Z35" s="24"/>
      <c r="AA35" s="24"/>
      <c r="AB35" s="24"/>
      <c r="AC35" s="24"/>
      <c r="AD35" s="24"/>
      <c r="AE35" s="33"/>
      <c r="AL35" s="49"/>
      <c r="AM35" s="708">
        <f t="shared" ca="1" si="10"/>
        <v>13</v>
      </c>
    </row>
    <row r="36" spans="1:41" ht="15.75">
      <c r="A36" s="1"/>
      <c r="C36" s="552" t="s">
        <v>316</v>
      </c>
      <c r="D36" s="468" t="str">
        <f>Translate!$A$198</f>
        <v>Water</v>
      </c>
      <c r="E36" s="515">
        <f>IF(ISERROR(VLOOKUP($E$6,DefaultConcrete,HLOOKUP(D36,DefaultConcrete,2,0),0)),0,VLOOKUP($E$6,DefaultConcrete,HLOOKUP(D36,DefaultConcrete,2,0),0))</f>
        <v>200</v>
      </c>
      <c r="F36" s="220" t="str">
        <f ca="1">OFFSET(AS36,-AM36+6,0)</f>
        <v>kg/m3</v>
      </c>
      <c r="G36" s="23"/>
      <c r="H36" s="23"/>
      <c r="I36" s="25">
        <f ca="1">IF(F36=OFFSET(AS36,-AM36+6,0),E36*OFFSET(E36,-AM36,0)/IF(J36='Emission factors'!$E$411,1,1000),E36)</f>
        <v>0</v>
      </c>
      <c r="J36" s="21" t="str">
        <f>'Emission factors'!$F$411</f>
        <v>t</v>
      </c>
      <c r="K36" s="38">
        <f>IF(ISERROR(E37*1),VLOOKUP(D36,EFtable,3,0),VLOOKUP(D36,EFtable,3,0)*(1-E37)+VLOOKUP(D36&amp;Translate!$A$199,EFtable,3,0)*E37)</f>
        <v>0.34399999999999997</v>
      </c>
      <c r="L36" s="25">
        <f ca="1">IF(F37=Translate!$A$111,0,I36*K36)</f>
        <v>0</v>
      </c>
      <c r="M36" s="21" t="str">
        <f>Translate!$A$102</f>
        <v>kgCO2e</v>
      </c>
      <c r="N36" s="23"/>
      <c r="O36" s="24"/>
      <c r="P36" s="19" t="str">
        <f>Translate!$A$112</f>
        <v>Distance</v>
      </c>
      <c r="Q36" s="470">
        <f>IF(ISERROR(VLOOKUP(D36,StandardFreight,3,0)),VLOOKUP(Translate!$A$118,StandardFreight,3,0),VLOOKUP(D36,StandardFreight,3,0))</f>
        <v>0</v>
      </c>
      <c r="R36" s="20" t="str">
        <f>'Emission factors'!$F$410</f>
        <v>km</v>
      </c>
      <c r="S36" s="19" t="str">
        <f>Translate!$A$120</f>
        <v>Type</v>
      </c>
      <c r="T36" s="473" t="str">
        <f>IF(ISERROR(VLOOKUP(D36,StandardFreight,2,0)),VLOOKUP("Other",StandardFreight,2,0),VLOOKUP(D36,StandardFreight,2,0))</f>
        <v>Road - Rigid &gt;3.5-7.5t</v>
      </c>
      <c r="U36" s="19" t="str">
        <f>Translate!$A$127</f>
        <v>Load</v>
      </c>
      <c r="V36" s="710">
        <f>VLOOKUP(T36,FreightLoadFactors,2,0)</f>
        <v>1.0123216601815823</v>
      </c>
      <c r="W36" s="20" t="str">
        <f>J36</f>
        <v>t</v>
      </c>
      <c r="X36" s="471">
        <f ca="1">IF(V36=0,0,ROUNDUP(I36/V36,0))</f>
        <v>0</v>
      </c>
      <c r="Y36" s="20" t="str">
        <f>Translate!$A$130</f>
        <v>travels</v>
      </c>
      <c r="Z36" s="39" t="str">
        <f>Translate!$A$128</f>
        <v>empty-return rate</v>
      </c>
      <c r="AA36" s="472">
        <v>1</v>
      </c>
      <c r="AB36" s="474">
        <f>VLOOKUP(T36,EFtable,3,0)</f>
        <v>0.49041000000000001</v>
      </c>
      <c r="AC36" s="475">
        <f ca="1">Q36*X36*(1+AA36)*AB36</f>
        <v>0</v>
      </c>
      <c r="AD36" s="47" t="str">
        <f>Translate!$A$102</f>
        <v>kgCO2e</v>
      </c>
      <c r="AE36" s="33"/>
      <c r="AH36">
        <f>HLOOKUP(AI36,$AP$1:$AV$2,2,0)</f>
        <v>1</v>
      </c>
      <c r="AI36" t="str">
        <f>Translate!$A$104</f>
        <v>Materials</v>
      </c>
      <c r="AJ36" s="49">
        <f ca="1">L36</f>
        <v>0</v>
      </c>
      <c r="AK36" s="372" t="str">
        <f>VLOOKUP(D36,EFtable,7,0)</f>
        <v>Concrete / Slurry / Grout mix</v>
      </c>
      <c r="AL36" s="379">
        <f ca="1">VLOOKUP(D36,EFtable,8,0)*L36</f>
        <v>0</v>
      </c>
      <c r="AM36" s="708">
        <f t="shared" ca="1" si="10"/>
        <v>14</v>
      </c>
      <c r="AN36">
        <f>ROW(F37)-ROW(F36)</f>
        <v>1</v>
      </c>
      <c r="AO36" s="49">
        <f t="shared" ca="1" si="11"/>
        <v>0</v>
      </c>
    </row>
    <row r="37" spans="1:41">
      <c r="A37" s="1"/>
      <c r="C37" s="463"/>
      <c r="D37" s="336" t="str">
        <f>Translate!$A$79</f>
        <v>Recycled content</v>
      </c>
      <c r="E37" s="476" t="str">
        <f>IF(ISERROR(VLOOKUP(D36,RecycledContent,2,0)),Translate!$A$90,VLOOKUP(D36,RecycledContent,2,0))</f>
        <v>do not apply</v>
      </c>
      <c r="F37" s="469" t="str">
        <f>Translate!$A$478</f>
        <v>-new or recycled-</v>
      </c>
      <c r="G37" s="23"/>
      <c r="H37" s="23"/>
      <c r="I37" s="23"/>
      <c r="J37" s="23"/>
      <c r="K37" s="23"/>
      <c r="L37" s="23"/>
      <c r="M37" s="23"/>
      <c r="N37" s="23"/>
      <c r="O37" s="24"/>
      <c r="P37" s="24"/>
      <c r="Q37" s="24"/>
      <c r="R37" s="24"/>
      <c r="S37" s="24"/>
      <c r="T37" s="24"/>
      <c r="U37" s="24"/>
      <c r="V37" s="24"/>
      <c r="W37" s="24"/>
      <c r="X37" s="24"/>
      <c r="Y37" s="24"/>
      <c r="Z37" s="24"/>
      <c r="AA37" s="24"/>
      <c r="AB37" s="24"/>
      <c r="AC37" s="24"/>
      <c r="AD37" s="24"/>
      <c r="AE37" s="33"/>
      <c r="AH37">
        <f>HLOOKUP(AI37,$AP$1:$AV$2,2,0)</f>
        <v>2</v>
      </c>
      <c r="AI37" t="str">
        <f>Translate!$A$106</f>
        <v>Freight</v>
      </c>
      <c r="AJ37" s="49">
        <f ca="1">AC36</f>
        <v>0</v>
      </c>
      <c r="AL37" s="379">
        <f ca="1">VLOOKUP(T36,EFtable,8,0)*AC36</f>
        <v>0</v>
      </c>
      <c r="AM37" s="708">
        <f t="shared" ca="1" si="10"/>
        <v>15</v>
      </c>
      <c r="AO37" s="49">
        <f t="shared" ca="1" si="11"/>
        <v>0</v>
      </c>
    </row>
    <row r="38" spans="1:41" ht="9.75" customHeight="1">
      <c r="A38" s="1"/>
      <c r="C38" s="463"/>
      <c r="D38" s="22"/>
      <c r="E38" s="23"/>
      <c r="F38" s="23"/>
      <c r="G38" s="23"/>
      <c r="H38" s="23"/>
      <c r="I38" s="23"/>
      <c r="J38" s="23"/>
      <c r="K38" s="23"/>
      <c r="L38" s="23"/>
      <c r="M38" s="23"/>
      <c r="N38" s="23"/>
      <c r="O38" s="24"/>
      <c r="P38" s="24"/>
      <c r="Q38" s="24"/>
      <c r="R38" s="24"/>
      <c r="S38" s="24"/>
      <c r="T38" s="24"/>
      <c r="U38" s="24"/>
      <c r="V38" s="24"/>
      <c r="W38" s="24"/>
      <c r="X38" s="24"/>
      <c r="Y38" s="24"/>
      <c r="Z38" s="24"/>
      <c r="AA38" s="24"/>
      <c r="AB38" s="24"/>
      <c r="AC38" s="24"/>
      <c r="AD38" s="24"/>
      <c r="AE38" s="33"/>
      <c r="AL38" s="49"/>
      <c r="AM38" s="708">
        <f t="shared" ca="1" si="10"/>
        <v>16</v>
      </c>
    </row>
    <row r="39" spans="1:41" ht="15.75">
      <c r="A39" s="1"/>
      <c r="C39" s="552" t="s">
        <v>316</v>
      </c>
      <c r="D39" s="468" t="str">
        <f>Translate!$A$178</f>
        <v>Bentonite</v>
      </c>
      <c r="E39" s="466">
        <f>IF(ISERROR(VLOOKUP($E$6,DefaultConcrete,HLOOKUP(D39,DefaultConcrete,2,0),0)),0,VLOOKUP($E$6,DefaultConcrete,HLOOKUP(D39,DefaultConcrete,2,0),0))</f>
        <v>0</v>
      </c>
      <c r="F39" s="220" t="str">
        <f ca="1">OFFSET(AS39,-AM39+6,0)</f>
        <v>kg/m3</v>
      </c>
      <c r="G39" s="23"/>
      <c r="H39" s="23"/>
      <c r="I39" s="25">
        <f ca="1">IF(F39=OFFSET(AS39,-AM39+6,0),E39*OFFSET(E39,-AM39,0)/IF(J39='Emission factors'!$E$411,1,1000),E39)</f>
        <v>0</v>
      </c>
      <c r="J39" s="21" t="str">
        <f>'Emission factors'!$F$411</f>
        <v>t</v>
      </c>
      <c r="K39" s="38">
        <f>IF(ISERROR(E40*1),VLOOKUP(D39,EFtable,3,0),VLOOKUP(D39,EFtable,3,0)*(1-E40)+VLOOKUP(D39&amp;Translate!$A$199,EFtable,3,0)*E40)</f>
        <v>474.97791999999998</v>
      </c>
      <c r="L39" s="25">
        <f ca="1">IF(F40=Translate!$A$111,0,I39*K39)</f>
        <v>0</v>
      </c>
      <c r="M39" s="21" t="str">
        <f>Translate!$A$102</f>
        <v>kgCO2e</v>
      </c>
      <c r="N39" s="23"/>
      <c r="O39" s="24"/>
      <c r="P39" s="19" t="str">
        <f>Translate!$A$112</f>
        <v>Distance</v>
      </c>
      <c r="Q39" s="470">
        <f>IF(ISERROR(VLOOKUP(D39,StandardFreight,3,0)),VLOOKUP(Translate!$A$118,StandardFreight,3,0),VLOOKUP(D39,StandardFreight,3,0))</f>
        <v>300</v>
      </c>
      <c r="R39" s="20" t="str">
        <f>'Emission factors'!$F$410</f>
        <v>km</v>
      </c>
      <c r="S39" s="19" t="str">
        <f>Translate!$A$120</f>
        <v>Type</v>
      </c>
      <c r="T39" s="473" t="str">
        <f>IF(ISERROR(VLOOKUP(D39,StandardFreight,2,0)),VLOOKUP(Translate!$A$118,StandardFreight,2,0),VLOOKUP(D39,StandardFreight,2,0))</f>
        <v>Road - Articulated &gt;33t</v>
      </c>
      <c r="U39" s="19" t="str">
        <f>Translate!$A$127</f>
        <v>Load</v>
      </c>
      <c r="V39" s="471">
        <f>VLOOKUP(T39,FreightLoadFactors,2,0)</f>
        <v>15</v>
      </c>
      <c r="W39" s="20" t="str">
        <f>J39</f>
        <v>t</v>
      </c>
      <c r="X39" s="471">
        <f ca="1">IF(V39=0,0,ROUNDUP(I39/V39,0))</f>
        <v>0</v>
      </c>
      <c r="Y39" s="20" t="str">
        <f>Translate!$A$130</f>
        <v>travels</v>
      </c>
      <c r="Z39" s="39" t="str">
        <f>Translate!$A$128</f>
        <v>empty-return rate</v>
      </c>
      <c r="AA39" s="472">
        <v>1</v>
      </c>
      <c r="AB39" s="474">
        <f>VLOOKUP(T39,EFtable,3,0)</f>
        <v>0.93694</v>
      </c>
      <c r="AC39" s="475">
        <f ca="1">Q39*X39*(1+AA39)*AB39</f>
        <v>0</v>
      </c>
      <c r="AD39" s="47" t="str">
        <f>Translate!$A$102</f>
        <v>kgCO2e</v>
      </c>
      <c r="AE39" s="33"/>
      <c r="AH39">
        <f>HLOOKUP(AI39,$AP$1:$AV$2,2,0)</f>
        <v>1</v>
      </c>
      <c r="AI39" t="str">
        <f>Translate!$A$104</f>
        <v>Materials</v>
      </c>
      <c r="AJ39" s="49">
        <f ca="1">L39</f>
        <v>0</v>
      </c>
      <c r="AK39" s="372" t="str">
        <f>VLOOKUP(D39,EFtable,7,0)</f>
        <v>Concrete / Slurry / Grout mix</v>
      </c>
      <c r="AL39" s="379">
        <f ca="1">VLOOKUP(D39,EFtable,8,0)*L39</f>
        <v>0</v>
      </c>
      <c r="AM39" s="708">
        <f t="shared" ca="1" si="10"/>
        <v>17</v>
      </c>
      <c r="AN39">
        <f>ROW(F40)-ROW(F39)</f>
        <v>1</v>
      </c>
      <c r="AO39" s="49">
        <f t="shared" ca="1" si="11"/>
        <v>0</v>
      </c>
    </row>
    <row r="40" spans="1:41">
      <c r="A40" s="1"/>
      <c r="C40" s="463"/>
      <c r="D40" s="336" t="str">
        <f>Translate!$A$79</f>
        <v>Recycled content</v>
      </c>
      <c r="E40" s="476" t="str">
        <f>IF(ISERROR(VLOOKUP(D39,RecycledContent,2,0)),Translate!$A$90,VLOOKUP(D39,RecycledContent,2,0))</f>
        <v>do not apply</v>
      </c>
      <c r="F40" s="469" t="str">
        <f>Translate!$A$478</f>
        <v>-new or recycled-</v>
      </c>
      <c r="G40" s="23"/>
      <c r="H40" s="23"/>
      <c r="I40" s="23"/>
      <c r="J40" s="23"/>
      <c r="K40" s="23"/>
      <c r="L40" s="23"/>
      <c r="M40" s="23"/>
      <c r="N40" s="23"/>
      <c r="O40" s="24"/>
      <c r="P40" s="24"/>
      <c r="Q40" s="24"/>
      <c r="R40" s="24"/>
      <c r="S40" s="24"/>
      <c r="T40" s="24"/>
      <c r="U40" s="24"/>
      <c r="V40" s="24"/>
      <c r="W40" s="24"/>
      <c r="X40" s="24"/>
      <c r="Y40" s="24"/>
      <c r="Z40" s="24"/>
      <c r="AA40" s="24"/>
      <c r="AB40" s="24"/>
      <c r="AC40" s="24"/>
      <c r="AD40" s="24"/>
      <c r="AE40" s="33"/>
      <c r="AH40">
        <f>HLOOKUP(AI40,$AP$1:$AV$2,2,0)</f>
        <v>2</v>
      </c>
      <c r="AI40" t="str">
        <f>Translate!$A$106</f>
        <v>Freight</v>
      </c>
      <c r="AJ40" s="49">
        <f ca="1">AC39</f>
        <v>0</v>
      </c>
      <c r="AL40" s="379">
        <f ca="1">VLOOKUP(T39,EFtable,8,0)*AC39</f>
        <v>0</v>
      </c>
      <c r="AM40" s="708">
        <f t="shared" ca="1" si="10"/>
        <v>18</v>
      </c>
      <c r="AO40" s="49">
        <f t="shared" ca="1" si="11"/>
        <v>0</v>
      </c>
    </row>
    <row r="41" spans="1:41" ht="15.75">
      <c r="A41" s="1"/>
      <c r="C41" s="463"/>
      <c r="D41" s="22"/>
      <c r="E41" s="23"/>
      <c r="F41" s="23"/>
      <c r="G41" s="23"/>
      <c r="H41" s="23"/>
      <c r="I41" s="23"/>
      <c r="J41" s="23"/>
      <c r="K41" s="23"/>
      <c r="L41" s="23"/>
      <c r="M41" s="23"/>
      <c r="N41" s="23"/>
      <c r="O41" s="24"/>
      <c r="P41" s="24"/>
      <c r="Q41" s="24"/>
      <c r="R41" s="24"/>
      <c r="S41" s="24"/>
      <c r="T41" s="24"/>
      <c r="U41" s="24"/>
      <c r="V41" s="24"/>
      <c r="W41" s="24"/>
      <c r="X41" s="24"/>
      <c r="Y41" s="24"/>
      <c r="Z41" s="24"/>
      <c r="AA41" s="24"/>
      <c r="AB41" s="24"/>
      <c r="AC41" s="24"/>
      <c r="AD41" s="24"/>
      <c r="AE41" s="33"/>
      <c r="AJ41" s="49"/>
      <c r="AL41" s="379"/>
      <c r="AM41" s="708">
        <f ca="1">1+OFFSET(AM41,-1,0)</f>
        <v>19</v>
      </c>
      <c r="AO41" s="49">
        <f>AJ41</f>
        <v>0</v>
      </c>
    </row>
    <row r="42" spans="1:41" ht="15.75">
      <c r="A42" s="1"/>
      <c r="C42" s="463"/>
      <c r="D42" s="22"/>
      <c r="E42" s="684">
        <f>IF(E22=0,0,SUM(I27:I41)/E22)</f>
        <v>0</v>
      </c>
      <c r="F42" s="650" t="str">
        <f>'Emission factors'!$F$411&amp;"/"&amp;F22</f>
        <v>t/m3</v>
      </c>
      <c r="G42" s="23"/>
      <c r="H42" s="23"/>
      <c r="I42" s="23"/>
      <c r="J42" s="23"/>
      <c r="K42" s="23"/>
      <c r="L42" s="23"/>
      <c r="M42" s="23"/>
      <c r="N42" s="23"/>
      <c r="O42" s="24"/>
      <c r="P42" s="24"/>
      <c r="Q42" s="24"/>
      <c r="R42" s="24"/>
      <c r="S42" s="24"/>
      <c r="T42" s="24"/>
      <c r="U42" s="24"/>
      <c r="V42" s="24"/>
      <c r="W42" s="24"/>
      <c r="X42" s="24"/>
      <c r="Y42" s="24"/>
      <c r="Z42" s="24"/>
      <c r="AA42" s="24"/>
      <c r="AB42" s="24"/>
      <c r="AC42" s="24"/>
      <c r="AD42" s="24"/>
      <c r="AE42" s="33"/>
      <c r="AJ42" s="49"/>
      <c r="AL42" s="379"/>
      <c r="AM42" s="708">
        <f ca="1">1+OFFSET(AM42,-1,0)</f>
        <v>20</v>
      </c>
      <c r="AO42" s="49">
        <f>AJ42</f>
        <v>0</v>
      </c>
    </row>
    <row r="43" spans="1:41">
      <c r="A43" s="1"/>
      <c r="C43" s="464"/>
      <c r="D43" s="35"/>
      <c r="E43" s="35"/>
      <c r="F43" s="35"/>
      <c r="G43" s="35"/>
      <c r="H43" s="35"/>
      <c r="I43" s="35"/>
      <c r="J43" s="35"/>
      <c r="K43" s="35"/>
      <c r="L43" s="35"/>
      <c r="M43" s="35"/>
      <c r="N43" s="35"/>
      <c r="O43" s="36"/>
      <c r="P43" s="36"/>
      <c r="Q43" s="36"/>
      <c r="R43" s="36"/>
      <c r="S43" s="36"/>
      <c r="T43" s="36"/>
      <c r="U43" s="36"/>
      <c r="V43" s="36"/>
      <c r="W43" s="36"/>
      <c r="X43" s="36"/>
      <c r="Y43" s="36"/>
      <c r="Z43" s="36"/>
      <c r="AA43" s="36"/>
      <c r="AB43" s="36"/>
      <c r="AC43" s="36"/>
      <c r="AD43" s="36"/>
      <c r="AE43" s="37"/>
      <c r="AL43" s="49"/>
      <c r="AM43" s="709">
        <f t="shared" ca="1" si="10"/>
        <v>21</v>
      </c>
    </row>
    <row r="44" spans="1:41">
      <c r="A44" s="1"/>
      <c r="AL44" s="49"/>
      <c r="AM44" s="707"/>
    </row>
    <row r="45" spans="1:41" ht="8.1" customHeight="1">
      <c r="A45" s="1"/>
      <c r="C45" s="27"/>
      <c r="D45" s="28"/>
      <c r="E45" s="29"/>
      <c r="F45" s="29"/>
      <c r="G45" s="29"/>
      <c r="H45" s="29"/>
      <c r="I45" s="29"/>
      <c r="J45" s="29"/>
      <c r="K45" s="29"/>
      <c r="L45" s="29"/>
      <c r="M45" s="29"/>
      <c r="N45" s="29"/>
      <c r="O45" s="30"/>
      <c r="P45" s="30"/>
      <c r="Q45" s="30"/>
      <c r="R45" s="30"/>
      <c r="S45" s="30"/>
      <c r="T45" s="30"/>
      <c r="U45" s="30"/>
      <c r="V45" s="30"/>
      <c r="W45" s="30"/>
      <c r="X45" s="30"/>
      <c r="Y45" s="30"/>
      <c r="Z45" s="30"/>
      <c r="AA45" s="30"/>
      <c r="AB45" s="30"/>
      <c r="AC45" s="30"/>
      <c r="AD45" s="30"/>
      <c r="AE45" s="31"/>
      <c r="AL45" s="49"/>
    </row>
    <row r="46" spans="1:41" ht="15.75">
      <c r="A46" s="1"/>
      <c r="B46" s="551" t="s">
        <v>316</v>
      </c>
      <c r="C46" s="32"/>
      <c r="D46" s="468" t="str">
        <f>Translate!$A$193</f>
        <v>Steel rebars</v>
      </c>
      <c r="E46" s="477"/>
      <c r="F46" s="7" t="str">
        <f>VLOOKUP(D46,EFtable,2,0)</f>
        <v>t</v>
      </c>
      <c r="G46" s="23"/>
      <c r="H46" s="23"/>
      <c r="I46" s="25">
        <f>E46</f>
        <v>0</v>
      </c>
      <c r="J46" s="21" t="str">
        <f>F46</f>
        <v>t</v>
      </c>
      <c r="K46" s="38">
        <f>IF(ISERROR(E47*1),VLOOKUP(D46,EFtable,3,0),VLOOKUP(D46,EFtable,3,0)*(1-E47)+VLOOKUP(D46&amp;Translate!$A$199,EFtable,3,0)*E47)</f>
        <v>1444.1000000000004</v>
      </c>
      <c r="L46" s="25">
        <f>IF(F47=Translate!$A$111,0,I46*K46)</f>
        <v>0</v>
      </c>
      <c r="M46" s="21" t="str">
        <f>Translate!$A$102</f>
        <v>kgCO2e</v>
      </c>
      <c r="N46" s="23"/>
      <c r="O46" s="24"/>
      <c r="P46" s="19" t="str">
        <f>Translate!$A$112</f>
        <v>Distance</v>
      </c>
      <c r="Q46" s="470">
        <f>IF(ISERROR(VLOOKUP(D46,StandardFreight,3,0)),VLOOKUP(Translate!$A$118,StandardFreight,3,0),VLOOKUP(D46,StandardFreight,3,0))</f>
        <v>300</v>
      </c>
      <c r="R46" s="20" t="str">
        <f>'Emission factors'!$F$410</f>
        <v>km</v>
      </c>
      <c r="S46" s="19" t="str">
        <f>Translate!$A$120</f>
        <v>Type</v>
      </c>
      <c r="T46" s="473" t="str">
        <f>IF(ISERROR(VLOOKUP(D45,StandardFreight,2,0)),VLOOKUP(Translate!$A$118,StandardFreight,2,0),VLOOKUP(D45,StandardFreight,2,0))</f>
        <v>Road - Articulated &gt;33t</v>
      </c>
      <c r="U46" s="19" t="str">
        <f>Translate!$A$127</f>
        <v>Load</v>
      </c>
      <c r="V46" s="478">
        <f>VLOOKUP(T46,FreightLoadFactors,2,0)</f>
        <v>15</v>
      </c>
      <c r="W46" s="20" t="str">
        <f>J46</f>
        <v>t</v>
      </c>
      <c r="X46" s="471">
        <f>IF(V46=0,0,ROUNDUP(I46/V46,0))</f>
        <v>0</v>
      </c>
      <c r="Y46" s="20" t="str">
        <f>Translate!$A$130</f>
        <v>travels</v>
      </c>
      <c r="Z46" s="39" t="str">
        <f>Translate!$A$128</f>
        <v>empty-return rate</v>
      </c>
      <c r="AA46" s="472">
        <v>0.5</v>
      </c>
      <c r="AB46" s="48">
        <f>VLOOKUP(T46,EFtable,3,0)</f>
        <v>0.93694</v>
      </c>
      <c r="AC46" s="46">
        <f>Q46*X46*(1+AA46)*AB46</f>
        <v>0</v>
      </c>
      <c r="AD46" s="47" t="str">
        <f>Translate!$A$102</f>
        <v>kgCO2e</v>
      </c>
      <c r="AE46" s="33"/>
      <c r="AH46">
        <f>HLOOKUP(AI46,$AP$1:$AV$2,2,0)</f>
        <v>1</v>
      </c>
      <c r="AI46" t="str">
        <f>Translate!$A$104</f>
        <v>Materials</v>
      </c>
      <c r="AJ46" s="49">
        <f>L46</f>
        <v>0</v>
      </c>
      <c r="AK46" s="372" t="str">
        <f>VLOOKUP(D46,EFtable,7,0)</f>
        <v>Steel</v>
      </c>
      <c r="AL46" s="379">
        <f>VLOOKUP(D46,EFtable,8,0)*L46</f>
        <v>0</v>
      </c>
      <c r="AN46">
        <f>ROW(F48)-ROW(F45)</f>
        <v>3</v>
      </c>
      <c r="AO46" s="49">
        <f>AJ46</f>
        <v>0</v>
      </c>
    </row>
    <row r="47" spans="1:41">
      <c r="A47" s="1"/>
      <c r="C47" s="32"/>
      <c r="D47" s="336" t="str">
        <f>Translate!$A$79</f>
        <v>Recycled content</v>
      </c>
      <c r="E47" s="476">
        <f>IF(ISERROR(VLOOKUP(D46,RecycledContent,2,0)),Translate!$A$90,VLOOKUP(D46,RecycledContent,2,0))</f>
        <v>0.41</v>
      </c>
      <c r="F47" s="469" t="str">
        <f>Translate!$A$478</f>
        <v>-new or recycled-</v>
      </c>
      <c r="G47" s="23"/>
      <c r="H47" s="23"/>
      <c r="I47" s="23"/>
      <c r="J47" s="23"/>
      <c r="K47" s="23"/>
      <c r="L47" s="23"/>
      <c r="M47" s="23"/>
      <c r="N47" s="23"/>
      <c r="O47" s="24"/>
      <c r="P47" s="24"/>
      <c r="Q47" s="24"/>
      <c r="R47" s="24"/>
      <c r="S47" s="24"/>
      <c r="T47" s="24"/>
      <c r="U47" s="24"/>
      <c r="V47" s="24"/>
      <c r="W47" s="24"/>
      <c r="X47" s="24"/>
      <c r="Y47" s="24"/>
      <c r="Z47" s="24"/>
      <c r="AA47" s="24"/>
      <c r="AB47" s="24"/>
      <c r="AC47" s="24"/>
      <c r="AD47" s="24"/>
      <c r="AE47" s="33"/>
      <c r="AH47">
        <f>HLOOKUP(AI47,$AP$1:$AV$2,2,0)</f>
        <v>2</v>
      </c>
      <c r="AI47" t="str">
        <f>Translate!$A$106</f>
        <v>Freight</v>
      </c>
      <c r="AJ47" s="49">
        <f>AC46</f>
        <v>0</v>
      </c>
      <c r="AL47" s="379">
        <f>VLOOKUP(T46,EFtable,8,0)*AC46</f>
        <v>0</v>
      </c>
      <c r="AO47" s="49">
        <f>AJ47</f>
        <v>0</v>
      </c>
    </row>
    <row r="48" spans="1:41" ht="8.1" customHeight="1">
      <c r="A48" s="1"/>
      <c r="C48" s="34"/>
      <c r="D48" s="35"/>
      <c r="E48" s="35"/>
      <c r="F48" s="35"/>
      <c r="G48" s="35"/>
      <c r="H48" s="35"/>
      <c r="I48" s="35"/>
      <c r="J48" s="35"/>
      <c r="K48" s="35"/>
      <c r="L48" s="35"/>
      <c r="M48" s="35"/>
      <c r="N48" s="35"/>
      <c r="O48" s="36"/>
      <c r="P48" s="36"/>
      <c r="Q48" s="36"/>
      <c r="R48" s="36"/>
      <c r="S48" s="36"/>
      <c r="T48" s="36"/>
      <c r="U48" s="36"/>
      <c r="V48" s="36"/>
      <c r="W48" s="36"/>
      <c r="X48" s="36"/>
      <c r="Y48" s="36"/>
      <c r="Z48" s="36"/>
      <c r="AA48" s="36"/>
      <c r="AB48" s="36"/>
      <c r="AC48" s="36"/>
      <c r="AD48" s="36"/>
      <c r="AE48" s="37"/>
      <c r="AL48" s="49"/>
    </row>
    <row r="49" spans="1:41">
      <c r="A49" s="1"/>
      <c r="AL49" s="49"/>
    </row>
    <row r="50" spans="1:41" ht="8.1" customHeight="1">
      <c r="A50" s="1"/>
      <c r="C50" s="27"/>
      <c r="D50" s="28"/>
      <c r="E50" s="29"/>
      <c r="F50" s="29"/>
      <c r="G50" s="29"/>
      <c r="H50" s="29"/>
      <c r="I50" s="29"/>
      <c r="J50" s="29"/>
      <c r="K50" s="29"/>
      <c r="L50" s="29"/>
      <c r="M50" s="29"/>
      <c r="N50" s="29"/>
      <c r="O50" s="30"/>
      <c r="P50" s="30"/>
      <c r="Q50" s="30"/>
      <c r="R50" s="30"/>
      <c r="S50" s="30"/>
      <c r="T50" s="30"/>
      <c r="U50" s="30"/>
      <c r="V50" s="30"/>
      <c r="W50" s="30"/>
      <c r="X50" s="30"/>
      <c r="Y50" s="30"/>
      <c r="Z50" s="30"/>
      <c r="AA50" s="30"/>
      <c r="AB50" s="30"/>
      <c r="AC50" s="30"/>
      <c r="AD50" s="30"/>
      <c r="AE50" s="31"/>
      <c r="AL50" s="49"/>
    </row>
    <row r="51" spans="1:41" ht="15.75">
      <c r="A51" s="1"/>
      <c r="B51" s="551" t="s">
        <v>316</v>
      </c>
      <c r="C51" s="32"/>
      <c r="D51" s="468" t="str">
        <f>Translate!$A$189</f>
        <v>PVC pipes</v>
      </c>
      <c r="E51" s="477"/>
      <c r="F51" s="7" t="str">
        <f>VLOOKUP(D51,EFtable,2,0)</f>
        <v>t</v>
      </c>
      <c r="G51" s="23"/>
      <c r="H51" s="23"/>
      <c r="I51" s="25">
        <f>E51</f>
        <v>0</v>
      </c>
      <c r="J51" s="21" t="str">
        <f>F51</f>
        <v>t</v>
      </c>
      <c r="K51" s="38">
        <f>IF(ISERROR(E52*1),VLOOKUP(D51,EFtable,3,0),VLOOKUP(D51,EFtable,3,0)*(1-E52)+VLOOKUP(D51&amp;Translate!$A$199,EFtable,3,0)*E52)</f>
        <v>3230</v>
      </c>
      <c r="L51" s="25">
        <f>IF(F52=Translate!$A$111,0,I51*K51)</f>
        <v>0</v>
      </c>
      <c r="M51" s="21" t="str">
        <f>Translate!$A$102</f>
        <v>kgCO2e</v>
      </c>
      <c r="N51" s="23"/>
      <c r="O51" s="24"/>
      <c r="P51" s="19" t="str">
        <f>Translate!$A$112</f>
        <v>Distance</v>
      </c>
      <c r="Q51" s="470">
        <f>IF(ISERROR(VLOOKUP(D51,StandardFreight,3,0)),VLOOKUP(Translate!$A$118,StandardFreight,3,0),VLOOKUP(D51,StandardFreight,3,0))</f>
        <v>300</v>
      </c>
      <c r="R51" s="20" t="str">
        <f>'Emission factors'!$F$410</f>
        <v>km</v>
      </c>
      <c r="S51" s="19" t="str">
        <f>Translate!$A$120</f>
        <v>Type</v>
      </c>
      <c r="T51" s="473" t="str">
        <f>IF(ISERROR(VLOOKUP(D50,StandardFreight,2,0)),VLOOKUP(Translate!$A$118,StandardFreight,2,0),VLOOKUP(D50,StandardFreight,2,0))</f>
        <v>Road - Articulated &gt;33t</v>
      </c>
      <c r="U51" s="19" t="str">
        <f>Translate!$A$127</f>
        <v>Load</v>
      </c>
      <c r="V51" s="478">
        <f>VLOOKUP(T51,FreightLoadFactors,2,0)</f>
        <v>15</v>
      </c>
      <c r="W51" s="20" t="str">
        <f>J51</f>
        <v>t</v>
      </c>
      <c r="X51" s="471">
        <f>IF(V51=0,0,ROUNDUP(I51/V51,0))</f>
        <v>0</v>
      </c>
      <c r="Y51" s="20" t="str">
        <f>Translate!$A$130</f>
        <v>travels</v>
      </c>
      <c r="Z51" s="39" t="str">
        <f>Translate!$A$128</f>
        <v>empty-return rate</v>
      </c>
      <c r="AA51" s="472">
        <v>0.5</v>
      </c>
      <c r="AB51" s="48">
        <f>VLOOKUP(T51,EFtable,3,0)</f>
        <v>0.93694</v>
      </c>
      <c r="AC51" s="46">
        <f>Q51*X51*(1+AA51)*AB51</f>
        <v>0</v>
      </c>
      <c r="AD51" s="47" t="str">
        <f>Translate!$A$102</f>
        <v>kgCO2e</v>
      </c>
      <c r="AE51" s="33"/>
      <c r="AH51">
        <f>HLOOKUP(AI51,$AP$1:$AV$2,2,0)</f>
        <v>1</v>
      </c>
      <c r="AI51" t="str">
        <f>Translate!$A$104</f>
        <v>Materials</v>
      </c>
      <c r="AJ51" s="49">
        <f>L51</f>
        <v>0</v>
      </c>
      <c r="AK51" s="372" t="str">
        <f>VLOOKUP(D51,EFtable,7,0)</f>
        <v>Other</v>
      </c>
      <c r="AL51" s="379">
        <f>VLOOKUP(D51,EFtable,8,0)*L51</f>
        <v>0</v>
      </c>
      <c r="AN51">
        <f>ROW(F53)-ROW(F50)</f>
        <v>3</v>
      </c>
      <c r="AO51" s="49">
        <f>AJ51</f>
        <v>0</v>
      </c>
    </row>
    <row r="52" spans="1:41">
      <c r="A52" s="1"/>
      <c r="C52" s="32"/>
      <c r="D52" s="336" t="str">
        <f>Translate!$A$79</f>
        <v>Recycled content</v>
      </c>
      <c r="E52" s="476" t="str">
        <f>IF(ISERROR(VLOOKUP(D51,RecycledContent,2,0)),Translate!$A$90,VLOOKUP(D51,RecycledContent,2,0))</f>
        <v>do not apply</v>
      </c>
      <c r="F52" s="469" t="str">
        <f>Translate!$A$478</f>
        <v>-new or recycled-</v>
      </c>
      <c r="G52" s="23"/>
      <c r="H52" s="23"/>
      <c r="I52" s="23"/>
      <c r="J52" s="23"/>
      <c r="K52" s="23"/>
      <c r="L52" s="23"/>
      <c r="M52" s="23"/>
      <c r="N52" s="23"/>
      <c r="O52" s="24"/>
      <c r="P52" s="24"/>
      <c r="Q52" s="24"/>
      <c r="R52" s="24"/>
      <c r="S52" s="24"/>
      <c r="T52" s="24"/>
      <c r="U52" s="24"/>
      <c r="V52" s="24"/>
      <c r="W52" s="24"/>
      <c r="X52" s="24"/>
      <c r="Y52" s="24"/>
      <c r="Z52" s="24"/>
      <c r="AA52" s="24"/>
      <c r="AB52" s="24"/>
      <c r="AC52" s="24"/>
      <c r="AD52" s="24"/>
      <c r="AE52" s="33"/>
      <c r="AH52">
        <f>HLOOKUP(AI52,$AP$1:$AV$2,2,0)</f>
        <v>2</v>
      </c>
      <c r="AI52" t="str">
        <f>Translate!$A$106</f>
        <v>Freight</v>
      </c>
      <c r="AJ52" s="49">
        <f>AC51</f>
        <v>0</v>
      </c>
      <c r="AL52" s="379">
        <f>VLOOKUP(T51,EFtable,8,0)*AC51</f>
        <v>0</v>
      </c>
      <c r="AO52" s="49">
        <f>AJ52</f>
        <v>0</v>
      </c>
    </row>
    <row r="53" spans="1:41" ht="8.1" customHeight="1">
      <c r="A53" s="1"/>
      <c r="C53" s="34"/>
      <c r="D53" s="35"/>
      <c r="E53" s="35"/>
      <c r="F53" s="35"/>
      <c r="G53" s="35"/>
      <c r="H53" s="35"/>
      <c r="I53" s="35"/>
      <c r="J53" s="35"/>
      <c r="K53" s="35"/>
      <c r="L53" s="35"/>
      <c r="M53" s="35"/>
      <c r="N53" s="35"/>
      <c r="O53" s="36"/>
      <c r="P53" s="36"/>
      <c r="Q53" s="36"/>
      <c r="R53" s="36"/>
      <c r="S53" s="36"/>
      <c r="T53" s="36"/>
      <c r="U53" s="36"/>
      <c r="V53" s="36"/>
      <c r="W53" s="36"/>
      <c r="X53" s="36"/>
      <c r="Y53" s="36"/>
      <c r="Z53" s="36"/>
      <c r="AA53" s="36"/>
      <c r="AB53" s="36"/>
      <c r="AC53" s="36"/>
      <c r="AD53" s="36"/>
      <c r="AE53" s="37"/>
      <c r="AL53" s="49"/>
    </row>
    <row r="54" spans="1:41">
      <c r="A54" s="1"/>
      <c r="AL54" s="49"/>
    </row>
    <row r="55" spans="1:41" ht="8.1" customHeight="1">
      <c r="A55" s="1"/>
      <c r="C55" s="27"/>
      <c r="D55" s="28"/>
      <c r="E55" s="29"/>
      <c r="F55" s="29"/>
      <c r="G55" s="29"/>
      <c r="H55" s="29"/>
      <c r="I55" s="29"/>
      <c r="J55" s="29"/>
      <c r="K55" s="29"/>
      <c r="L55" s="29"/>
      <c r="M55" s="29"/>
      <c r="N55" s="29"/>
      <c r="O55" s="30"/>
      <c r="P55" s="30"/>
      <c r="Q55" s="30"/>
      <c r="R55" s="30"/>
      <c r="S55" s="30"/>
      <c r="T55" s="30"/>
      <c r="U55" s="30"/>
      <c r="V55" s="30"/>
      <c r="W55" s="30"/>
      <c r="X55" s="30"/>
      <c r="Y55" s="30"/>
      <c r="Z55" s="30"/>
      <c r="AA55" s="30"/>
      <c r="AB55" s="30"/>
      <c r="AC55" s="30"/>
      <c r="AD55" s="30"/>
      <c r="AE55" s="31"/>
      <c r="AL55" s="49"/>
    </row>
    <row r="56" spans="1:41" ht="15.75">
      <c r="A56" s="1"/>
      <c r="B56" s="551" t="s">
        <v>316</v>
      </c>
      <c r="C56" s="32"/>
      <c r="D56" s="468" t="str">
        <f>Translate!$A$179</f>
        <v>Calcium chloride</v>
      </c>
      <c r="E56" s="477"/>
      <c r="F56" s="7" t="str">
        <f>VLOOKUP(D56,EFtable,2,0)</f>
        <v>t</v>
      </c>
      <c r="G56" s="23"/>
      <c r="H56" s="23"/>
      <c r="I56" s="25">
        <f>E56</f>
        <v>0</v>
      </c>
      <c r="J56" s="21" t="str">
        <f>F56</f>
        <v>t</v>
      </c>
      <c r="K56" s="38">
        <f>IF(ISERROR(E57*1),VLOOKUP(D56,EFtable,3,0),VLOOKUP(D56,EFtable,3,0)*(1-E57)+VLOOKUP(D56&amp;Translate!$A$199,EFtable,3,0)*E57)</f>
        <v>493.43257</v>
      </c>
      <c r="L56" s="25">
        <f>IF(F57=Translate!$A$111,0,I56*K56)</f>
        <v>0</v>
      </c>
      <c r="M56" s="21" t="str">
        <f>Translate!$A$102</f>
        <v>kgCO2e</v>
      </c>
      <c r="N56" s="23"/>
      <c r="O56" s="24"/>
      <c r="P56" s="19" t="str">
        <f>Translate!$A$112</f>
        <v>Distance</v>
      </c>
      <c r="Q56" s="470">
        <f>IF(ISERROR(VLOOKUP(D56,StandardFreight,3,0)),VLOOKUP(Translate!$A$118,StandardFreight,3,0),VLOOKUP(D56,StandardFreight,3,0))</f>
        <v>300</v>
      </c>
      <c r="R56" s="20" t="str">
        <f>'Emission factors'!$F$410</f>
        <v>km</v>
      </c>
      <c r="S56" s="19" t="str">
        <f>Translate!$A$120</f>
        <v>Type</v>
      </c>
      <c r="T56" s="473" t="str">
        <f>IF(ISERROR(VLOOKUP(D55,StandardFreight,2,0)),VLOOKUP(Translate!$A$118,StandardFreight,2,0),VLOOKUP(D55,StandardFreight,2,0))</f>
        <v>Road - Articulated &gt;33t</v>
      </c>
      <c r="U56" s="19" t="str">
        <f>Translate!$A$127</f>
        <v>Load</v>
      </c>
      <c r="V56" s="478">
        <f>VLOOKUP(T56,FreightLoadFactors,2,0)</f>
        <v>15</v>
      </c>
      <c r="W56" s="20" t="str">
        <f>J56</f>
        <v>t</v>
      </c>
      <c r="X56" s="471">
        <f>IF(V56=0,0,ROUNDUP(I56/V56,0))</f>
        <v>0</v>
      </c>
      <c r="Y56" s="20" t="str">
        <f>Translate!$A$130</f>
        <v>travels</v>
      </c>
      <c r="Z56" s="39" t="str">
        <f>Translate!$A$128</f>
        <v>empty-return rate</v>
      </c>
      <c r="AA56" s="472">
        <v>0.5</v>
      </c>
      <c r="AB56" s="48">
        <f>VLOOKUP(T56,EFtable,3,0)</f>
        <v>0.93694</v>
      </c>
      <c r="AC56" s="46">
        <f>Q56*X56*(1+AA56)*AB56</f>
        <v>0</v>
      </c>
      <c r="AD56" s="47" t="str">
        <f>Translate!$A$102</f>
        <v>kgCO2e</v>
      </c>
      <c r="AE56" s="33"/>
      <c r="AH56">
        <f>HLOOKUP(AI56,$AP$1:$AV$2,2,0)</f>
        <v>1</v>
      </c>
      <c r="AI56" t="str">
        <f>Translate!$A$104</f>
        <v>Materials</v>
      </c>
      <c r="AJ56" s="49">
        <f>L56</f>
        <v>0</v>
      </c>
      <c r="AK56" s="372" t="str">
        <f>VLOOKUP(D56,EFtable,7,0)</f>
        <v>Other</v>
      </c>
      <c r="AL56" s="379">
        <f>VLOOKUP(D56,EFtable,8,0)*L56</f>
        <v>0</v>
      </c>
      <c r="AN56">
        <f>ROW(F58)-ROW(F55)</f>
        <v>3</v>
      </c>
      <c r="AO56" s="49">
        <f>AJ56</f>
        <v>0</v>
      </c>
    </row>
    <row r="57" spans="1:41">
      <c r="A57" s="1"/>
      <c r="C57" s="32"/>
      <c r="D57" s="336" t="str">
        <f>Translate!$A$79</f>
        <v>Recycled content</v>
      </c>
      <c r="E57" s="476" t="str">
        <f>IF(ISERROR(VLOOKUP(D56,RecycledContent,2,0)),Translate!$A$90,VLOOKUP(D56,RecycledContent,2,0))</f>
        <v>do not apply</v>
      </c>
      <c r="F57" s="469" t="str">
        <f>Translate!$A$478</f>
        <v>-new or recycled-</v>
      </c>
      <c r="G57" s="23"/>
      <c r="H57" s="23"/>
      <c r="I57" s="23"/>
      <c r="J57" s="23"/>
      <c r="K57" s="23"/>
      <c r="L57" s="23"/>
      <c r="M57" s="23"/>
      <c r="N57" s="23"/>
      <c r="O57" s="24"/>
      <c r="P57" s="24"/>
      <c r="Q57" s="24"/>
      <c r="R57" s="24"/>
      <c r="S57" s="24"/>
      <c r="T57" s="24"/>
      <c r="U57" s="24"/>
      <c r="V57" s="24"/>
      <c r="W57" s="24"/>
      <c r="X57" s="24"/>
      <c r="Y57" s="24"/>
      <c r="Z57" s="24"/>
      <c r="AA57" s="24"/>
      <c r="AB57" s="24"/>
      <c r="AC57" s="24"/>
      <c r="AD57" s="24"/>
      <c r="AE57" s="33"/>
      <c r="AH57">
        <f>HLOOKUP(AI57,$AP$1:$AV$2,2,0)</f>
        <v>2</v>
      </c>
      <c r="AI57" t="str">
        <f>Translate!$A$106</f>
        <v>Freight</v>
      </c>
      <c r="AJ57" s="49">
        <f>AC56</f>
        <v>0</v>
      </c>
      <c r="AL57" s="379">
        <f>VLOOKUP(T56,EFtable,8,0)*AC56</f>
        <v>0</v>
      </c>
      <c r="AO57" s="49">
        <f>AJ57</f>
        <v>0</v>
      </c>
    </row>
    <row r="58" spans="1:41" ht="8.1" customHeight="1">
      <c r="A58" s="1"/>
      <c r="C58" s="34"/>
      <c r="D58" s="35"/>
      <c r="E58" s="35"/>
      <c r="F58" s="35"/>
      <c r="G58" s="35"/>
      <c r="H58" s="35"/>
      <c r="I58" s="35"/>
      <c r="J58" s="35"/>
      <c r="K58" s="35"/>
      <c r="L58" s="35"/>
      <c r="M58" s="35"/>
      <c r="N58" s="35"/>
      <c r="O58" s="36"/>
      <c r="P58" s="36"/>
      <c r="Q58" s="36"/>
      <c r="R58" s="36"/>
      <c r="S58" s="36"/>
      <c r="T58" s="36"/>
      <c r="U58" s="36"/>
      <c r="V58" s="36"/>
      <c r="W58" s="36"/>
      <c r="X58" s="36"/>
      <c r="Y58" s="36"/>
      <c r="Z58" s="36"/>
      <c r="AA58" s="36"/>
      <c r="AB58" s="36"/>
      <c r="AC58" s="36"/>
      <c r="AD58" s="36"/>
      <c r="AE58" s="37"/>
    </row>
    <row r="59" spans="1:41">
      <c r="A59" s="1"/>
    </row>
    <row r="60" spans="1:41" ht="20.25">
      <c r="A60" s="1"/>
      <c r="B60" s="1"/>
      <c r="C60" s="1"/>
      <c r="D60" s="8"/>
      <c r="E60" s="1"/>
      <c r="F60" s="1"/>
      <c r="G60" s="1"/>
      <c r="H60" s="1"/>
      <c r="I60" s="1"/>
      <c r="J60" s="1"/>
      <c r="K60" s="1"/>
      <c r="L60" s="1"/>
      <c r="M60" s="1"/>
      <c r="N60" s="1"/>
      <c r="O60" s="15"/>
      <c r="P60" s="15"/>
      <c r="Q60" s="15"/>
      <c r="R60" s="15"/>
      <c r="S60" s="15"/>
      <c r="T60" s="15"/>
      <c r="U60" s="15"/>
      <c r="V60" s="15"/>
      <c r="W60" s="15"/>
      <c r="X60" s="15"/>
      <c r="Y60" s="15"/>
      <c r="Z60" s="15"/>
      <c r="AA60" s="15"/>
      <c r="AB60" s="15"/>
      <c r="AC60" s="15"/>
      <c r="AD60" s="15"/>
      <c r="AE60" s="15"/>
    </row>
    <row r="62" spans="1:41" ht="20.25">
      <c r="A62" s="12"/>
      <c r="B62" s="12"/>
      <c r="C62" s="12"/>
      <c r="D62" s="13" t="str">
        <f>AP11</f>
        <v>Energy    (Primary source)</v>
      </c>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row>
    <row r="63" spans="1:41">
      <c r="A63" s="12"/>
    </row>
    <row r="64" spans="1:41" ht="6" customHeight="1">
      <c r="A64" s="12"/>
      <c r="C64" s="52"/>
      <c r="D64" s="53"/>
      <c r="E64" s="54"/>
      <c r="F64" s="54"/>
      <c r="G64" s="54"/>
      <c r="H64" s="54"/>
      <c r="I64" s="54"/>
      <c r="J64" s="54"/>
      <c r="K64" s="54"/>
      <c r="L64" s="54"/>
      <c r="M64" s="54"/>
      <c r="N64" s="54"/>
      <c r="O64" s="54"/>
      <c r="P64" s="54"/>
      <c r="Q64" s="54"/>
      <c r="R64" s="54"/>
      <c r="S64" s="54"/>
      <c r="T64" s="54"/>
      <c r="U64" s="54"/>
      <c r="V64" s="54"/>
      <c r="W64" s="54"/>
      <c r="X64" s="54"/>
      <c r="Y64" s="54"/>
      <c r="Z64" s="54"/>
      <c r="AA64" s="54"/>
      <c r="AB64" s="54"/>
      <c r="AC64" s="54"/>
      <c r="AD64" s="54"/>
      <c r="AE64" s="55"/>
    </row>
    <row r="65" spans="1:41" ht="15.75">
      <c r="A65" s="12"/>
      <c r="B65" s="551" t="s">
        <v>316</v>
      </c>
      <c r="C65" s="56"/>
      <c r="D65" s="14" t="str">
        <f>Translate!$A$80</f>
        <v>Simplified ratio</v>
      </c>
      <c r="E65" s="488" t="str">
        <f>IF(AND(AP5,F65=Translate!$A$91),AP4,Translate!$A$92)</f>
        <v>OFF</v>
      </c>
      <c r="F65" s="542" t="str">
        <f>Translate!$A$91</f>
        <v>Default</v>
      </c>
      <c r="G65" s="57"/>
      <c r="H65" s="57"/>
      <c r="I65" s="57"/>
      <c r="J65" s="57"/>
      <c r="K65" s="248">
        <f ca="1">$P$1</f>
        <v>0</v>
      </c>
      <c r="L65" s="40">
        <f>IF(E65=Translate!$A$92,0,E65*K65)</f>
        <v>0</v>
      </c>
      <c r="M65" s="41" t="str">
        <f>Translate!$A$102</f>
        <v>kgCO2e</v>
      </c>
      <c r="N65" s="57"/>
      <c r="O65" s="57"/>
      <c r="P65" s="57"/>
      <c r="Q65" s="57"/>
      <c r="R65" s="57"/>
      <c r="S65" s="57"/>
      <c r="T65" s="57"/>
      <c r="U65" s="57"/>
      <c r="V65" s="57"/>
      <c r="W65" s="57"/>
      <c r="X65" s="57"/>
      <c r="Y65" s="57"/>
      <c r="Z65" s="57"/>
      <c r="AA65" s="57"/>
      <c r="AB65" s="57"/>
      <c r="AC65" s="57"/>
      <c r="AD65" s="57"/>
      <c r="AE65" s="58"/>
      <c r="AG65" t="s">
        <v>70</v>
      </c>
      <c r="AH65">
        <v>2</v>
      </c>
      <c r="AI65" t="str">
        <f>Translate!$A$105</f>
        <v>Energy</v>
      </c>
      <c r="AJ65" s="49">
        <f>L65</f>
        <v>0</v>
      </c>
      <c r="AL65" s="379">
        <f>100%*L65</f>
        <v>0</v>
      </c>
      <c r="AN65">
        <f>ROW(F66)-ROW(F64)</f>
        <v>2</v>
      </c>
      <c r="AO65" s="49"/>
    </row>
    <row r="66" spans="1:41" ht="5.0999999999999996" customHeight="1">
      <c r="A66" s="12"/>
      <c r="C66" s="59"/>
      <c r="D66" s="60"/>
      <c r="E66" s="61"/>
      <c r="F66" s="61"/>
      <c r="G66" s="61"/>
      <c r="H66" s="61"/>
      <c r="I66" s="61"/>
      <c r="J66" s="61"/>
      <c r="K66" s="61"/>
      <c r="L66" s="61"/>
      <c r="M66" s="61"/>
      <c r="N66" s="61"/>
      <c r="O66" s="61"/>
      <c r="P66" s="61"/>
      <c r="Q66" s="61"/>
      <c r="R66" s="61"/>
      <c r="S66" s="61"/>
      <c r="T66" s="61"/>
      <c r="U66" s="61"/>
      <c r="V66" s="61"/>
      <c r="W66" s="61"/>
      <c r="X66" s="61"/>
      <c r="Y66" s="61"/>
      <c r="Z66" s="61"/>
      <c r="AA66" s="61"/>
      <c r="AB66" s="61"/>
      <c r="AC66" s="61"/>
      <c r="AD66" s="61"/>
      <c r="AE66" s="62"/>
    </row>
    <row r="67" spans="1:41" ht="9.75" customHeight="1">
      <c r="A67" s="12"/>
    </row>
    <row r="68" spans="1:41" ht="6" customHeight="1">
      <c r="A68" s="12"/>
      <c r="C68" s="52"/>
      <c r="D68" s="53"/>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5"/>
    </row>
    <row r="69" spans="1:41" ht="15.75">
      <c r="A69" s="12"/>
      <c r="B69" s="551" t="s">
        <v>316</v>
      </c>
      <c r="C69" s="56"/>
      <c r="D69" s="468" t="str">
        <f>Translate!$A$200</f>
        <v>Diesel</v>
      </c>
      <c r="E69" s="465"/>
      <c r="F69" s="247" t="str">
        <f>VLOOKUP(D69,EFtable,2,0)</f>
        <v>liter</v>
      </c>
      <c r="G69" s="57"/>
      <c r="H69" s="57"/>
      <c r="I69" s="57"/>
      <c r="J69" s="57"/>
      <c r="K69" s="248">
        <f>VLOOKUP(D69,EFtable,3,0)</f>
        <v>3.2112000000000003</v>
      </c>
      <c r="L69" s="40">
        <f>E69*K69</f>
        <v>0</v>
      </c>
      <c r="M69" s="41" t="str">
        <f>Translate!$A$102</f>
        <v>kgCO2e</v>
      </c>
      <c r="N69" s="57"/>
      <c r="O69" s="57"/>
      <c r="P69" s="57"/>
      <c r="Q69" s="57"/>
      <c r="R69" s="57"/>
      <c r="S69" s="57"/>
      <c r="T69" s="57"/>
      <c r="U69" s="57"/>
      <c r="V69" s="57"/>
      <c r="W69" s="57"/>
      <c r="X69" s="57"/>
      <c r="Y69" s="57"/>
      <c r="Z69" s="57"/>
      <c r="AA69" s="57"/>
      <c r="AB69" s="57"/>
      <c r="AC69" s="57"/>
      <c r="AD69" s="57"/>
      <c r="AE69" s="58"/>
      <c r="AH69">
        <f>HLOOKUP(AI69,$AP$1:$AV$2,2,0)</f>
        <v>1</v>
      </c>
      <c r="AI69" t="str">
        <f>Translate!$A$105</f>
        <v>Energy</v>
      </c>
      <c r="AJ69" s="49">
        <f>L69</f>
        <v>0</v>
      </c>
      <c r="AL69" s="379">
        <f>VLOOKUP(D69,EFtable,8,0)*L69</f>
        <v>0</v>
      </c>
      <c r="AN69">
        <f>ROW(F70)-ROW(F68)</f>
        <v>2</v>
      </c>
      <c r="AO69" s="49">
        <f>AJ69</f>
        <v>0</v>
      </c>
    </row>
    <row r="70" spans="1:41" ht="5.0999999999999996" customHeight="1">
      <c r="A70" s="12"/>
      <c r="C70" s="59"/>
      <c r="D70" s="60"/>
      <c r="E70" s="61"/>
      <c r="F70" s="61"/>
      <c r="G70" s="61"/>
      <c r="H70" s="61"/>
      <c r="I70" s="61"/>
      <c r="J70" s="61"/>
      <c r="K70" s="61"/>
      <c r="L70" s="61"/>
      <c r="M70" s="61"/>
      <c r="N70" s="61"/>
      <c r="O70" s="61"/>
      <c r="P70" s="61"/>
      <c r="Q70" s="61"/>
      <c r="R70" s="61"/>
      <c r="S70" s="61"/>
      <c r="T70" s="61"/>
      <c r="U70" s="61"/>
      <c r="V70" s="61"/>
      <c r="W70" s="61"/>
      <c r="X70" s="61"/>
      <c r="Y70" s="61"/>
      <c r="Z70" s="61"/>
      <c r="AA70" s="61"/>
      <c r="AB70" s="61"/>
      <c r="AC70" s="61"/>
      <c r="AD70" s="61"/>
      <c r="AE70" s="62"/>
      <c r="AO70" s="421"/>
    </row>
    <row r="71" spans="1:41" ht="9.75" customHeight="1">
      <c r="A71" s="12"/>
    </row>
    <row r="72" spans="1:41" ht="6" customHeight="1">
      <c r="A72" s="12"/>
      <c r="C72" s="52"/>
      <c r="D72" s="53"/>
      <c r="E72" s="54"/>
      <c r="F72" s="54"/>
      <c r="G72" s="54"/>
      <c r="H72" s="54"/>
      <c r="I72" s="54"/>
      <c r="J72" s="54"/>
      <c r="K72" s="54"/>
      <c r="L72" s="54"/>
      <c r="M72" s="54"/>
      <c r="N72" s="54"/>
      <c r="O72" s="54"/>
      <c r="P72" s="54"/>
      <c r="Q72" s="54"/>
      <c r="R72" s="54"/>
      <c r="S72" s="54"/>
      <c r="T72" s="54"/>
      <c r="U72" s="54"/>
      <c r="V72" s="54"/>
      <c r="W72" s="54"/>
      <c r="X72" s="54"/>
      <c r="Y72" s="54"/>
      <c r="Z72" s="54"/>
      <c r="AA72" s="54"/>
      <c r="AB72" s="54"/>
      <c r="AC72" s="54"/>
      <c r="AD72" s="54"/>
      <c r="AE72" s="55"/>
    </row>
    <row r="73" spans="1:41" ht="15.75">
      <c r="A73" s="12"/>
      <c r="B73" s="551" t="s">
        <v>316</v>
      </c>
      <c r="C73" s="56"/>
      <c r="D73" s="14" t="str">
        <f>Translate!$A$81</f>
        <v>Network electricity</v>
      </c>
      <c r="E73" s="465"/>
      <c r="F73" s="247" t="str">
        <f>Translate!$A$98</f>
        <v>kWh</v>
      </c>
      <c r="G73" s="57"/>
      <c r="H73" s="57"/>
      <c r="I73" s="57"/>
      <c r="J73" s="57"/>
      <c r="K73" s="615">
        <f>IF(ISERROR(VLOOKUP(Translate!$A$202&amp;" - "&amp;$E$12,EFtable,3,0)),0,VLOOKUP(Translate!$A$202&amp;" - "&amp;$E$12,EFtable,3,0))</f>
        <v>0</v>
      </c>
      <c r="L73" s="40">
        <f>IF(ISERROR(K73),0,E73*K73)</f>
        <v>0</v>
      </c>
      <c r="M73" s="41" t="str">
        <f>Translate!$A$102</f>
        <v>kgCO2e</v>
      </c>
      <c r="N73" s="57"/>
      <c r="O73" s="57"/>
      <c r="P73" s="57"/>
      <c r="Q73" s="57"/>
      <c r="R73" s="57"/>
      <c r="S73" s="57"/>
      <c r="T73" s="57"/>
      <c r="U73" s="57"/>
      <c r="V73" s="57"/>
      <c r="W73" s="57"/>
      <c r="X73" s="57"/>
      <c r="Y73" s="57"/>
      <c r="Z73" s="57"/>
      <c r="AA73" s="57"/>
      <c r="AB73" s="57"/>
      <c r="AC73" s="57"/>
      <c r="AD73" s="57"/>
      <c r="AE73" s="58"/>
      <c r="AH73">
        <f>HLOOKUP(AI73,$AP$1:$AV$2,2,0)</f>
        <v>1</v>
      </c>
      <c r="AI73" t="str">
        <f>Translate!$A$105</f>
        <v>Energy</v>
      </c>
      <c r="AJ73" s="49">
        <f>L73</f>
        <v>0</v>
      </c>
      <c r="AL73" s="379">
        <f>10%*L73</f>
        <v>0</v>
      </c>
      <c r="AN73">
        <f>ROW(F74)-ROW(F72)</f>
        <v>2</v>
      </c>
      <c r="AO73" s="49">
        <f>AJ73</f>
        <v>0</v>
      </c>
    </row>
    <row r="74" spans="1:41" ht="5.0999999999999996" customHeight="1">
      <c r="A74" s="12"/>
      <c r="C74" s="59"/>
      <c r="D74" s="60"/>
      <c r="E74" s="61"/>
      <c r="F74" s="61"/>
      <c r="G74" s="61"/>
      <c r="H74" s="61"/>
      <c r="I74" s="61"/>
      <c r="J74" s="61"/>
      <c r="K74" s="61"/>
      <c r="L74" s="61"/>
      <c r="M74" s="61"/>
      <c r="N74" s="61"/>
      <c r="O74" s="61"/>
      <c r="P74" s="61"/>
      <c r="Q74" s="61"/>
      <c r="R74" s="61"/>
      <c r="S74" s="61"/>
      <c r="T74" s="61"/>
      <c r="U74" s="61"/>
      <c r="V74" s="61"/>
      <c r="W74" s="61"/>
      <c r="X74" s="61"/>
      <c r="Y74" s="61"/>
      <c r="Z74" s="61"/>
      <c r="AA74" s="61"/>
      <c r="AB74" s="61"/>
      <c r="AC74" s="61"/>
      <c r="AD74" s="61"/>
      <c r="AE74" s="62"/>
    </row>
    <row r="75" spans="1:41">
      <c r="A75" s="12"/>
    </row>
    <row r="76" spans="1:41" ht="20.25">
      <c r="A76" s="12"/>
      <c r="B76" s="12"/>
      <c r="C76" s="12"/>
      <c r="D76" s="13"/>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row>
    <row r="78" spans="1:41" ht="20.25">
      <c r="A78" s="288"/>
      <c r="B78" s="290"/>
      <c r="C78" s="290"/>
      <c r="D78" s="291" t="str">
        <f>AS11</f>
        <v>Mob/demob    (Secondary source)</v>
      </c>
      <c r="E78" s="290"/>
      <c r="F78" s="290"/>
      <c r="G78" s="290"/>
      <c r="H78" s="290"/>
      <c r="I78" s="290"/>
      <c r="J78" s="290"/>
      <c r="K78" s="290"/>
      <c r="L78" s="290"/>
      <c r="M78" s="290"/>
      <c r="N78" s="290"/>
      <c r="O78" s="290"/>
      <c r="P78" s="290"/>
      <c r="Q78" s="290"/>
      <c r="R78" s="290"/>
      <c r="S78" s="290"/>
      <c r="T78" s="290"/>
      <c r="U78" s="290"/>
      <c r="V78" s="290"/>
      <c r="W78" s="290"/>
      <c r="X78" s="290"/>
      <c r="Y78" s="290"/>
      <c r="Z78" s="290"/>
      <c r="AA78" s="290"/>
      <c r="AB78" s="290"/>
      <c r="AC78" s="290"/>
      <c r="AD78" s="290"/>
      <c r="AE78" s="290"/>
    </row>
    <row r="79" spans="1:41">
      <c r="A79" s="288"/>
    </row>
    <row r="80" spans="1:41" ht="6" customHeight="1">
      <c r="A80" s="288"/>
      <c r="C80" s="296"/>
      <c r="D80" s="297"/>
      <c r="E80" s="297"/>
      <c r="F80" s="297"/>
      <c r="G80" s="297"/>
      <c r="H80" s="297"/>
      <c r="I80" s="297"/>
      <c r="J80" s="297"/>
      <c r="K80" s="297"/>
      <c r="L80" s="297"/>
      <c r="M80" s="297"/>
      <c r="N80" s="297"/>
      <c r="O80" s="297"/>
      <c r="P80" s="297"/>
      <c r="Q80" s="297"/>
      <c r="R80" s="297"/>
      <c r="S80" s="297"/>
      <c r="T80" s="297"/>
      <c r="U80" s="297"/>
      <c r="V80" s="297"/>
      <c r="W80" s="297"/>
      <c r="X80" s="297"/>
      <c r="Y80" s="297"/>
      <c r="Z80" s="297"/>
      <c r="AA80" s="297"/>
      <c r="AB80" s="297"/>
      <c r="AC80" s="297"/>
      <c r="AD80" s="297"/>
      <c r="AE80" s="298"/>
    </row>
    <row r="81" spans="1:41" ht="15.75">
      <c r="A81" s="288"/>
      <c r="C81" s="299"/>
      <c r="D81" s="292" t="str">
        <f>Translate!$A$80</f>
        <v>Simplified ratio</v>
      </c>
      <c r="E81" s="489">
        <f ca="1">IF(AND(AS5,F81=Translate!$A$91),AS4,Translate!$A$92)</f>
        <v>9.6121760628132911E-3</v>
      </c>
      <c r="F81" s="543" t="str">
        <f>Translate!$A$91</f>
        <v>Default</v>
      </c>
      <c r="G81" s="300"/>
      <c r="H81" s="300"/>
      <c r="I81" s="300"/>
      <c r="J81" s="300"/>
      <c r="K81" s="308">
        <f ca="1">$P$1</f>
        <v>0</v>
      </c>
      <c r="L81" s="308">
        <f ca="1">IF(E81=Translate!$A$92,0,E81*K81)</f>
        <v>0</v>
      </c>
      <c r="M81" s="307" t="str">
        <f>Translate!$A$102</f>
        <v>kgCO2e</v>
      </c>
      <c r="N81" s="301"/>
      <c r="O81" s="301"/>
      <c r="P81" s="301"/>
      <c r="Q81" s="301"/>
      <c r="R81" s="301"/>
      <c r="S81" s="301"/>
      <c r="T81" s="301"/>
      <c r="U81" s="301"/>
      <c r="V81" s="301"/>
      <c r="W81" s="301"/>
      <c r="X81" s="301"/>
      <c r="Y81" s="301"/>
      <c r="Z81" s="301"/>
      <c r="AA81" s="301"/>
      <c r="AB81" s="301"/>
      <c r="AC81" s="301"/>
      <c r="AD81" s="301"/>
      <c r="AE81" s="302"/>
      <c r="AG81" t="s">
        <v>70</v>
      </c>
      <c r="AH81">
        <f>HLOOKUP(AI81,$AP$1:$AV$2,2,0)</f>
        <v>2</v>
      </c>
      <c r="AI81" t="str">
        <f>Translate!$A$107</f>
        <v>Mob/demob</v>
      </c>
      <c r="AJ81" s="49">
        <f ca="1">L81</f>
        <v>0</v>
      </c>
      <c r="AL81" s="379">
        <f ca="1">100%*L81</f>
        <v>0</v>
      </c>
      <c r="AO81" s="49"/>
    </row>
    <row r="82" spans="1:41" ht="5.0999999999999996" customHeight="1">
      <c r="A82" s="288"/>
      <c r="C82" s="303"/>
      <c r="D82" s="304"/>
      <c r="E82" s="304"/>
      <c r="F82" s="304"/>
      <c r="G82" s="304"/>
      <c r="H82" s="304"/>
      <c r="I82" s="304"/>
      <c r="J82" s="304"/>
      <c r="K82" s="304"/>
      <c r="L82" s="304"/>
      <c r="M82" s="304"/>
      <c r="N82" s="304"/>
      <c r="O82" s="304"/>
      <c r="P82" s="304"/>
      <c r="Q82" s="304"/>
      <c r="R82" s="304"/>
      <c r="S82" s="304"/>
      <c r="T82" s="304"/>
      <c r="U82" s="304"/>
      <c r="V82" s="304"/>
      <c r="W82" s="304"/>
      <c r="X82" s="304"/>
      <c r="Y82" s="304"/>
      <c r="Z82" s="304"/>
      <c r="AA82" s="304"/>
      <c r="AB82" s="304"/>
      <c r="AC82" s="304"/>
      <c r="AD82" s="304"/>
      <c r="AE82" s="305"/>
    </row>
    <row r="83" spans="1:41" ht="9.75" customHeight="1">
      <c r="A83" s="288"/>
    </row>
    <row r="84" spans="1:41" ht="6" customHeight="1">
      <c r="A84" s="288"/>
      <c r="C84" s="296"/>
      <c r="D84" s="297"/>
      <c r="E84" s="297"/>
      <c r="F84" s="297"/>
      <c r="G84" s="297"/>
      <c r="H84" s="297"/>
      <c r="I84" s="297"/>
      <c r="J84" s="297"/>
      <c r="K84" s="297"/>
      <c r="L84" s="297"/>
      <c r="M84" s="297"/>
      <c r="N84" s="297"/>
      <c r="O84" s="297"/>
      <c r="P84" s="297"/>
      <c r="Q84" s="297"/>
      <c r="R84" s="297"/>
      <c r="S84" s="297"/>
      <c r="T84" s="297"/>
      <c r="U84" s="297"/>
      <c r="V84" s="297"/>
      <c r="W84" s="297"/>
      <c r="X84" s="297"/>
      <c r="Y84" s="297"/>
      <c r="Z84" s="297"/>
      <c r="AA84" s="297"/>
      <c r="AB84" s="297"/>
      <c r="AC84" s="297"/>
      <c r="AD84" s="297"/>
      <c r="AE84" s="298"/>
    </row>
    <row r="85" spans="1:41" ht="15.75">
      <c r="A85" s="288"/>
      <c r="B85" s="551" t="s">
        <v>316</v>
      </c>
      <c r="C85" s="299"/>
      <c r="D85" s="479" t="str">
        <f>Translate!$A$206</f>
        <v>Road - Rigid &gt;17t</v>
      </c>
      <c r="E85" s="465"/>
      <c r="F85" s="383" t="str">
        <f>Translate!$A$99</f>
        <v>roundtrips</v>
      </c>
      <c r="G85" s="301"/>
      <c r="H85" s="300"/>
      <c r="I85" s="306">
        <f>E85*M85*(1+V85)</f>
        <v>0</v>
      </c>
      <c r="J85" s="307" t="str">
        <f>'Emission factors'!$F$410</f>
        <v>km</v>
      </c>
      <c r="K85" s="295">
        <f>VLOOKUP(D85,EFtable,3,0)</f>
        <v>0.98243999999999998</v>
      </c>
      <c r="L85" s="293" t="str">
        <f>Translate!$A$112</f>
        <v>Distance</v>
      </c>
      <c r="M85" s="470">
        <v>50</v>
      </c>
      <c r="N85" s="354" t="str">
        <f>'Emission factors'!$F$410&amp;" "&amp;Translate!$A$114</f>
        <v>km  one way</v>
      </c>
      <c r="O85" s="353"/>
      <c r="P85" s="294"/>
      <c r="Q85" s="301"/>
      <c r="R85" s="308">
        <f>I85*K85</f>
        <v>0</v>
      </c>
      <c r="S85" s="307" t="str">
        <f>Translate!$A$102</f>
        <v>kgCO2e</v>
      </c>
      <c r="T85" s="301"/>
      <c r="U85" s="355" t="str">
        <f>Translate!$A$128</f>
        <v>empty-return rate</v>
      </c>
      <c r="V85" s="472">
        <v>0</v>
      </c>
      <c r="W85" s="301"/>
      <c r="X85" s="301"/>
      <c r="Y85" s="301"/>
      <c r="Z85" s="301"/>
      <c r="AA85" s="301"/>
      <c r="AB85" s="301"/>
      <c r="AC85" s="301"/>
      <c r="AD85" s="301"/>
      <c r="AE85" s="302"/>
      <c r="AH85">
        <f>HLOOKUP(AI85,$AP$1:$AV$2,2,0)</f>
        <v>2</v>
      </c>
      <c r="AI85" t="str">
        <f>Translate!$A$107</f>
        <v>Mob/demob</v>
      </c>
      <c r="AJ85" s="49">
        <f>R85</f>
        <v>0</v>
      </c>
      <c r="AL85" s="379">
        <f>VLOOKUP(D85,EFtable,8,0)*R85</f>
        <v>0</v>
      </c>
      <c r="AN85">
        <f>ROW(F86)-ROW(F84)</f>
        <v>2</v>
      </c>
      <c r="AO85" s="49">
        <f>AJ85</f>
        <v>0</v>
      </c>
    </row>
    <row r="86" spans="1:41" ht="5.0999999999999996" customHeight="1">
      <c r="A86" s="288"/>
      <c r="C86" s="303"/>
      <c r="D86" s="304"/>
      <c r="E86" s="304"/>
      <c r="F86" s="304"/>
      <c r="G86" s="304"/>
      <c r="H86" s="304"/>
      <c r="I86" s="304"/>
      <c r="J86" s="304"/>
      <c r="K86" s="304"/>
      <c r="L86" s="304"/>
      <c r="M86" s="304"/>
      <c r="N86" s="304"/>
      <c r="O86" s="304"/>
      <c r="P86" s="304"/>
      <c r="Q86" s="304"/>
      <c r="R86" s="304"/>
      <c r="S86" s="304"/>
      <c r="T86" s="304"/>
      <c r="U86" s="304"/>
      <c r="V86" s="304"/>
      <c r="W86" s="304"/>
      <c r="X86" s="304"/>
      <c r="Y86" s="304"/>
      <c r="Z86" s="304"/>
      <c r="AA86" s="304"/>
      <c r="AB86" s="304"/>
      <c r="AC86" s="304"/>
      <c r="AD86" s="304"/>
      <c r="AE86" s="305"/>
    </row>
    <row r="87" spans="1:41" ht="9.75" customHeight="1">
      <c r="A87" s="288"/>
    </row>
    <row r="88" spans="1:41" ht="6" customHeight="1">
      <c r="A88" s="288"/>
      <c r="C88" s="296"/>
      <c r="D88" s="297"/>
      <c r="E88" s="297"/>
      <c r="F88" s="297"/>
      <c r="G88" s="297"/>
      <c r="H88" s="297"/>
      <c r="I88" s="297"/>
      <c r="J88" s="297"/>
      <c r="K88" s="297"/>
      <c r="L88" s="297"/>
      <c r="M88" s="297"/>
      <c r="N88" s="297"/>
      <c r="O88" s="297"/>
      <c r="P88" s="297"/>
      <c r="Q88" s="297"/>
      <c r="R88" s="297"/>
      <c r="S88" s="297"/>
      <c r="T88" s="297"/>
      <c r="U88" s="297"/>
      <c r="V88" s="297"/>
      <c r="W88" s="297"/>
      <c r="X88" s="297"/>
      <c r="Y88" s="297"/>
      <c r="Z88" s="297"/>
      <c r="AA88" s="297"/>
      <c r="AB88" s="297"/>
      <c r="AC88" s="297"/>
      <c r="AD88" s="297"/>
      <c r="AE88" s="298"/>
    </row>
    <row r="89" spans="1:41" ht="15.75">
      <c r="A89" s="288"/>
      <c r="B89" s="551" t="s">
        <v>316</v>
      </c>
      <c r="C89" s="299"/>
      <c r="D89" s="479" t="str">
        <f>Translate!$A$208</f>
        <v>Road - Articulated &gt;33t</v>
      </c>
      <c r="E89" s="465"/>
      <c r="F89" s="383" t="str">
        <f>Translate!$A$99</f>
        <v>roundtrips</v>
      </c>
      <c r="G89" s="301"/>
      <c r="H89" s="300"/>
      <c r="I89" s="306">
        <f>E89*M89*(1+V89)</f>
        <v>0</v>
      </c>
      <c r="J89" s="307" t="str">
        <f>'Emission factors'!$F$410</f>
        <v>km</v>
      </c>
      <c r="K89" s="295">
        <f>VLOOKUP(D89,EFtable,3,0)</f>
        <v>0.93694</v>
      </c>
      <c r="L89" s="293" t="str">
        <f>Translate!$A$112</f>
        <v>Distance</v>
      </c>
      <c r="M89" s="470">
        <v>50</v>
      </c>
      <c r="N89" s="354" t="str">
        <f>'Emission factors'!$F$410&amp;" "&amp;Translate!$A$114</f>
        <v>km  one way</v>
      </c>
      <c r="O89" s="353"/>
      <c r="P89" s="294"/>
      <c r="Q89" s="301"/>
      <c r="R89" s="308">
        <f>I89*K89</f>
        <v>0</v>
      </c>
      <c r="S89" s="307" t="str">
        <f>Translate!$A$102</f>
        <v>kgCO2e</v>
      </c>
      <c r="T89" s="301"/>
      <c r="U89" s="355" t="str">
        <f>Translate!$A$128</f>
        <v>empty-return rate</v>
      </c>
      <c r="V89" s="472">
        <v>0</v>
      </c>
      <c r="W89" s="301"/>
      <c r="X89" s="301"/>
      <c r="Y89" s="301"/>
      <c r="Z89" s="301"/>
      <c r="AA89" s="301"/>
      <c r="AB89" s="301"/>
      <c r="AC89" s="301"/>
      <c r="AD89" s="301"/>
      <c r="AE89" s="302"/>
      <c r="AH89">
        <f>HLOOKUP(AI89,$AP$1:$AV$2,2,0)</f>
        <v>2</v>
      </c>
      <c r="AI89" t="str">
        <f>Translate!$A$107</f>
        <v>Mob/demob</v>
      </c>
      <c r="AJ89" s="49">
        <f>R89</f>
        <v>0</v>
      </c>
      <c r="AL89" s="379">
        <f>VLOOKUP(D89,EFtable,8,0)*R89</f>
        <v>0</v>
      </c>
      <c r="AN89">
        <f>ROW(F90)-ROW(F88)</f>
        <v>2</v>
      </c>
      <c r="AO89" s="49">
        <f>AJ89</f>
        <v>0</v>
      </c>
    </row>
    <row r="90" spans="1:41" ht="5.0999999999999996" customHeight="1">
      <c r="A90" s="288"/>
      <c r="C90" s="303"/>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5"/>
    </row>
    <row r="91" spans="1:41">
      <c r="A91" s="288"/>
    </row>
    <row r="92" spans="1:41" ht="20.25">
      <c r="A92" s="288"/>
      <c r="B92" s="288"/>
      <c r="C92" s="288"/>
      <c r="D92" s="289"/>
      <c r="E92" s="288"/>
      <c r="F92" s="288"/>
      <c r="G92" s="288"/>
      <c r="H92" s="288"/>
      <c r="I92" s="288"/>
      <c r="J92" s="288"/>
      <c r="K92" s="288"/>
      <c r="L92" s="288"/>
      <c r="M92" s="288"/>
      <c r="N92" s="288"/>
      <c r="O92" s="288"/>
      <c r="P92" s="288"/>
      <c r="Q92" s="288"/>
      <c r="R92" s="288"/>
      <c r="S92" s="288"/>
      <c r="T92" s="288"/>
      <c r="U92" s="288"/>
      <c r="V92" s="288"/>
      <c r="W92" s="288"/>
      <c r="X92" s="288"/>
      <c r="Y92" s="288"/>
      <c r="Z92" s="288"/>
      <c r="AA92" s="288"/>
      <c r="AB92" s="288"/>
      <c r="AC92" s="288"/>
      <c r="AD92" s="288"/>
      <c r="AE92" s="288"/>
    </row>
    <row r="94" spans="1:41" ht="20.25">
      <c r="A94" s="17"/>
      <c r="B94" s="17"/>
      <c r="C94" s="17"/>
      <c r="D94" s="18" t="str">
        <f>AT11</f>
        <v>People's transportation    (Secondary source)</v>
      </c>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row>
    <row r="95" spans="1:41" ht="9.75" customHeight="1">
      <c r="A95" s="17"/>
    </row>
    <row r="96" spans="1:41" ht="6" customHeight="1">
      <c r="A96" s="17"/>
      <c r="C96" s="63"/>
      <c r="D96" s="64"/>
      <c r="E96" s="65"/>
      <c r="F96" s="65"/>
      <c r="G96" s="65"/>
      <c r="H96" s="65"/>
      <c r="I96" s="65"/>
      <c r="J96" s="65"/>
      <c r="K96" s="65"/>
      <c r="L96" s="65"/>
      <c r="M96" s="65"/>
      <c r="N96" s="65"/>
      <c r="O96" s="65"/>
      <c r="P96" s="65"/>
      <c r="Q96" s="65"/>
      <c r="R96" s="65"/>
      <c r="S96" s="65"/>
      <c r="T96" s="65"/>
      <c r="U96" s="65"/>
      <c r="V96" s="65"/>
      <c r="W96" s="65"/>
      <c r="X96" s="65"/>
      <c r="Y96" s="65"/>
      <c r="Z96" s="65"/>
      <c r="AA96" s="65"/>
      <c r="AB96" s="65"/>
      <c r="AC96" s="65"/>
      <c r="AD96" s="65"/>
      <c r="AE96" s="66"/>
    </row>
    <row r="97" spans="1:41" ht="47.1" customHeight="1">
      <c r="A97" s="17"/>
      <c r="C97" s="45"/>
      <c r="D97" s="698" t="str">
        <f>Translate!$A$82</f>
        <v>Coming by</v>
      </c>
      <c r="E97" s="697" t="str">
        <f>Translate!$A$93</f>
        <v>Number of roundtrips</v>
      </c>
      <c r="F97" s="787" t="str">
        <f>Translate!$A$100</f>
        <v>every X day(s)</v>
      </c>
      <c r="G97" s="787"/>
      <c r="H97" s="787"/>
      <c r="I97" s="67"/>
      <c r="J97" s="67"/>
      <c r="K97" s="67"/>
      <c r="L97" s="696" t="str">
        <f>Translate!$A$113&amp;"
("&amp;'Emission factors'!$F$410&amp;Translate!$A$114&amp;")"</f>
        <v>Average distance
(km one way)</v>
      </c>
      <c r="M97" s="67"/>
      <c r="N97" s="67"/>
      <c r="O97" s="67"/>
      <c r="P97" s="67"/>
      <c r="Q97" s="67"/>
      <c r="R97" s="67"/>
      <c r="S97" s="67"/>
      <c r="T97" s="67"/>
      <c r="U97" s="67"/>
      <c r="V97" s="67"/>
      <c r="W97" s="67"/>
      <c r="X97" s="67"/>
      <c r="Y97" s="67"/>
      <c r="Z97" s="67"/>
      <c r="AA97" s="67"/>
      <c r="AB97" s="67"/>
      <c r="AC97" s="67"/>
      <c r="AD97" s="67"/>
      <c r="AE97" s="68"/>
    </row>
    <row r="98" spans="1:41" ht="3.75" customHeight="1">
      <c r="A98" s="17"/>
      <c r="C98" s="45"/>
      <c r="D98" s="64"/>
      <c r="E98" s="65"/>
      <c r="F98" s="65"/>
      <c r="G98" s="65"/>
      <c r="H98" s="65"/>
      <c r="I98" s="65"/>
      <c r="J98" s="65"/>
      <c r="K98" s="65"/>
      <c r="L98" s="65"/>
      <c r="M98" s="67"/>
      <c r="N98" s="67"/>
      <c r="O98" s="67"/>
      <c r="P98" s="67"/>
      <c r="Q98" s="67"/>
      <c r="R98" s="67"/>
      <c r="S98" s="67"/>
      <c r="T98" s="67"/>
      <c r="U98" s="67"/>
      <c r="V98" s="67"/>
      <c r="W98" s="67"/>
      <c r="X98" s="67"/>
      <c r="Y98" s="67"/>
      <c r="Z98" s="67"/>
      <c r="AA98" s="67"/>
      <c r="AB98" s="67"/>
      <c r="AC98" s="67"/>
      <c r="AD98" s="67"/>
      <c r="AE98" s="68"/>
    </row>
    <row r="99" spans="1:41" ht="15.75">
      <c r="A99" s="17"/>
      <c r="C99" s="551" t="s">
        <v>316</v>
      </c>
      <c r="D99" s="705" t="str">
        <f>Translate!$A$217</f>
        <v>Car</v>
      </c>
      <c r="E99" s="480">
        <f>$E$10</f>
        <v>0</v>
      </c>
      <c r="F99" s="788">
        <v>1</v>
      </c>
      <c r="G99" s="789"/>
      <c r="H99" s="790"/>
      <c r="I99" s="44">
        <f>L99*E99*$E$9*2/F99</f>
        <v>0</v>
      </c>
      <c r="J99" s="43" t="str">
        <f>VLOOKUP(D99,EFtable,2,0)</f>
        <v>vkm</v>
      </c>
      <c r="K99" s="50">
        <f>VLOOKUP(D99,EFtable,3,0)</f>
        <v>0.21470999999999998</v>
      </c>
      <c r="L99" s="547">
        <v>50</v>
      </c>
      <c r="M99" s="67"/>
      <c r="N99" s="67"/>
      <c r="O99" s="67"/>
      <c r="P99" s="42">
        <f>I99*K99</f>
        <v>0</v>
      </c>
      <c r="Q99" s="43" t="str">
        <f>Translate!$A$102</f>
        <v>kgCO2e</v>
      </c>
      <c r="R99" s="67"/>
      <c r="S99" s="67"/>
      <c r="T99" s="67"/>
      <c r="U99" s="67"/>
      <c r="V99" s="67"/>
      <c r="W99" s="67"/>
      <c r="X99" s="67"/>
      <c r="Y99" s="67"/>
      <c r="Z99" s="67"/>
      <c r="AA99" s="67"/>
      <c r="AB99" s="67"/>
      <c r="AC99" s="67"/>
      <c r="AD99" s="67"/>
      <c r="AE99" s="68"/>
      <c r="AH99">
        <f>HLOOKUP(AI99,$AP$1:$AV$2,2,0)</f>
        <v>2</v>
      </c>
      <c r="AI99" t="str">
        <f>Translate!$A$108</f>
        <v>People's transportation</v>
      </c>
      <c r="AJ99" s="49">
        <f>P99</f>
        <v>0</v>
      </c>
      <c r="AL99" s="379">
        <f>VLOOKUP(D99,EFtable,8,0)*P99</f>
        <v>0</v>
      </c>
      <c r="AN99">
        <v>2</v>
      </c>
      <c r="AO99" s="49">
        <f>AJ99</f>
        <v>0</v>
      </c>
    </row>
    <row r="100" spans="1:41" ht="3.75" hidden="1" customHeight="1">
      <c r="A100" s="17"/>
      <c r="C100" s="63"/>
      <c r="D100" s="64"/>
      <c r="E100" s="65"/>
      <c r="F100" s="65"/>
      <c r="G100" s="65"/>
      <c r="H100" s="65"/>
      <c r="I100" s="65"/>
      <c r="J100" s="65"/>
      <c r="K100" s="65"/>
      <c r="L100" s="65"/>
      <c r="M100" s="67"/>
      <c r="N100" s="67"/>
      <c r="O100" s="67"/>
      <c r="P100" s="67"/>
      <c r="Q100" s="67"/>
      <c r="R100" s="67"/>
      <c r="S100" s="67"/>
      <c r="T100" s="67"/>
      <c r="U100" s="67"/>
      <c r="V100" s="67"/>
      <c r="W100" s="67"/>
      <c r="X100" s="67"/>
      <c r="Y100" s="67"/>
      <c r="Z100" s="67"/>
      <c r="AA100" s="67"/>
      <c r="AB100" s="67"/>
      <c r="AC100" s="67"/>
      <c r="AD100" s="67"/>
      <c r="AE100" s="68"/>
    </row>
    <row r="101" spans="1:41" ht="3.75" hidden="1" customHeight="1"/>
    <row r="102" spans="1:41" ht="3.75" customHeight="1">
      <c r="A102" s="17"/>
      <c r="C102" s="45"/>
      <c r="D102" s="559"/>
      <c r="E102" s="67"/>
      <c r="F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8"/>
    </row>
    <row r="103" spans="1:41" ht="15.75">
      <c r="A103" s="17"/>
      <c r="C103" s="551" t="s">
        <v>316</v>
      </c>
      <c r="D103" s="468" t="str">
        <f>Translate!$A$216</f>
        <v>Bus</v>
      </c>
      <c r="E103" s="481"/>
      <c r="F103" s="771">
        <v>1</v>
      </c>
      <c r="G103" s="771"/>
      <c r="H103" s="771"/>
      <c r="I103" s="44">
        <f>L103*E103*$E$9*2/F103</f>
        <v>0</v>
      </c>
      <c r="J103" s="43" t="str">
        <f>VLOOKUP(D103,EFtable,2,0)</f>
        <v>pkm</v>
      </c>
      <c r="K103" s="50">
        <f>VLOOKUP(D103,EFtable,3,0)</f>
        <v>0.12970999999999999</v>
      </c>
      <c r="L103" s="737">
        <v>50</v>
      </c>
      <c r="M103" s="67"/>
      <c r="N103" s="67"/>
      <c r="O103" s="67"/>
      <c r="P103" s="42">
        <f>I103*K103</f>
        <v>0</v>
      </c>
      <c r="Q103" s="43" t="str">
        <f>Translate!$A$102</f>
        <v>kgCO2e</v>
      </c>
      <c r="R103" s="67"/>
      <c r="S103" s="67"/>
      <c r="T103" s="67"/>
      <c r="U103" s="67"/>
      <c r="V103" s="67"/>
      <c r="W103" s="67"/>
      <c r="X103" s="67"/>
      <c r="Y103" s="67"/>
      <c r="Z103" s="67"/>
      <c r="AA103" s="67"/>
      <c r="AB103" s="67"/>
      <c r="AC103" s="67"/>
      <c r="AD103" s="67"/>
      <c r="AE103" s="68"/>
      <c r="AH103">
        <f>HLOOKUP(AI103,$AP$1:$AV$2,2,0)</f>
        <v>2</v>
      </c>
      <c r="AI103" t="str">
        <f>Translate!$A$108</f>
        <v>People's transportation</v>
      </c>
      <c r="AJ103" s="49">
        <f>P103</f>
        <v>0</v>
      </c>
      <c r="AL103" s="379">
        <f>VLOOKUP(D103,EFtable,8,0)*P103</f>
        <v>0</v>
      </c>
      <c r="AN103">
        <v>2</v>
      </c>
      <c r="AO103" s="49">
        <f>AJ103</f>
        <v>0</v>
      </c>
    </row>
    <row r="104" spans="1:41" ht="3.75" hidden="1" customHeight="1">
      <c r="A104" s="17"/>
      <c r="C104" s="63"/>
      <c r="D104" s="64"/>
      <c r="E104" s="65"/>
      <c r="F104" s="65"/>
      <c r="G104" s="65"/>
      <c r="H104" s="65"/>
      <c r="I104" s="65"/>
      <c r="J104" s="65"/>
      <c r="K104" s="65"/>
      <c r="L104" s="65"/>
      <c r="M104" s="67"/>
      <c r="N104" s="67"/>
      <c r="O104" s="67"/>
      <c r="P104" s="67"/>
      <c r="Q104" s="67"/>
      <c r="R104" s="67"/>
      <c r="S104" s="67"/>
      <c r="T104" s="67"/>
      <c r="U104" s="67"/>
      <c r="V104" s="67"/>
      <c r="W104" s="67"/>
      <c r="X104" s="67"/>
      <c r="Y104" s="67"/>
      <c r="Z104" s="67"/>
      <c r="AA104" s="67"/>
      <c r="AB104" s="67"/>
      <c r="AC104" s="67"/>
      <c r="AD104" s="67"/>
      <c r="AE104" s="68"/>
    </row>
    <row r="105" spans="1:41" ht="3.75" hidden="1" customHeight="1"/>
    <row r="106" spans="1:41" ht="3.75" customHeight="1">
      <c r="A106" s="17"/>
      <c r="C106" s="45"/>
      <c r="D106" s="559"/>
      <c r="E106" s="67"/>
      <c r="F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8"/>
    </row>
    <row r="107" spans="1:41" ht="15.75">
      <c r="A107" s="17"/>
      <c r="C107" s="551" t="s">
        <v>316</v>
      </c>
      <c r="D107" s="468" t="str">
        <f>Translate!$A$218</f>
        <v>Train</v>
      </c>
      <c r="E107" s="481"/>
      <c r="F107" s="771">
        <v>5</v>
      </c>
      <c r="G107" s="771"/>
      <c r="H107" s="771"/>
      <c r="I107" s="44">
        <f>L107*E107*$E$9*2/F107</f>
        <v>0</v>
      </c>
      <c r="J107" s="43" t="str">
        <f>VLOOKUP(D107,EFtable,2,0)</f>
        <v>pkm</v>
      </c>
      <c r="K107" s="50">
        <f>VLOOKUP(D107,EFtable,3,0)</f>
        <v>4.9049999999999996E-2</v>
      </c>
      <c r="L107" s="737">
        <v>300</v>
      </c>
      <c r="M107" s="67"/>
      <c r="N107" s="67"/>
      <c r="O107" s="67"/>
      <c r="P107" s="42">
        <f>I107*K107</f>
        <v>0</v>
      </c>
      <c r="Q107" s="43" t="str">
        <f>Translate!$A$102</f>
        <v>kgCO2e</v>
      </c>
      <c r="R107" s="67"/>
      <c r="S107" s="67"/>
      <c r="T107" s="67"/>
      <c r="U107" s="67"/>
      <c r="V107" s="67"/>
      <c r="W107" s="67"/>
      <c r="X107" s="67"/>
      <c r="Y107" s="67"/>
      <c r="Z107" s="67"/>
      <c r="AA107" s="67"/>
      <c r="AB107" s="67"/>
      <c r="AC107" s="67"/>
      <c r="AD107" s="67"/>
      <c r="AE107" s="68"/>
      <c r="AH107">
        <f>HLOOKUP(AI107,$AP$1:$AV$2,2,0)</f>
        <v>2</v>
      </c>
      <c r="AI107" t="str">
        <f>Translate!$A$108</f>
        <v>People's transportation</v>
      </c>
      <c r="AJ107" s="49">
        <f>P107</f>
        <v>0</v>
      </c>
      <c r="AL107" s="379">
        <f>VLOOKUP(D107,EFtable,8,0)*P107</f>
        <v>0</v>
      </c>
      <c r="AN107">
        <v>2</v>
      </c>
      <c r="AO107" s="49">
        <f>AJ107</f>
        <v>0</v>
      </c>
    </row>
    <row r="108" spans="1:41" ht="3.75" hidden="1" customHeight="1">
      <c r="A108" s="17"/>
      <c r="C108" s="69"/>
      <c r="D108" s="70"/>
      <c r="E108" s="71"/>
      <c r="F108" s="71"/>
      <c r="G108" s="71"/>
      <c r="H108" s="71"/>
      <c r="I108" s="71"/>
      <c r="J108" s="71"/>
      <c r="K108" s="71"/>
      <c r="L108" s="71"/>
      <c r="M108" s="71"/>
      <c r="N108" s="71"/>
      <c r="O108" s="71"/>
      <c r="P108" s="71"/>
      <c r="Q108" s="71"/>
      <c r="R108" s="71"/>
      <c r="S108" s="71"/>
      <c r="T108" s="71"/>
      <c r="U108" s="71"/>
      <c r="V108" s="71"/>
      <c r="W108" s="71"/>
      <c r="X108" s="71"/>
      <c r="Y108" s="71"/>
      <c r="Z108" s="71"/>
      <c r="AA108" s="71"/>
      <c r="AB108" s="71"/>
      <c r="AC108" s="71"/>
      <c r="AD108" s="71"/>
      <c r="AE108" s="72"/>
    </row>
    <row r="109" spans="1:41" ht="3.75" hidden="1" customHeight="1"/>
    <row r="110" spans="1:41" ht="3.75" customHeight="1">
      <c r="A110" s="17"/>
      <c r="C110" s="69"/>
      <c r="D110" s="70"/>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2"/>
    </row>
    <row r="111" spans="1:41">
      <c r="A111" s="17"/>
    </row>
    <row r="112" spans="1:41" ht="6" customHeight="1">
      <c r="A112" s="17"/>
      <c r="C112" s="63"/>
      <c r="D112" s="64"/>
      <c r="E112" s="65"/>
      <c r="F112" s="65"/>
      <c r="G112" s="65"/>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6"/>
    </row>
    <row r="113" spans="1:41" ht="15.75">
      <c r="A113" s="17"/>
      <c r="B113" s="551" t="s">
        <v>316</v>
      </c>
      <c r="C113" s="45"/>
      <c r="D113" s="468" t="str">
        <f>Translate!$A$218</f>
        <v>Train</v>
      </c>
      <c r="E113" s="465"/>
      <c r="F113" s="386" t="str">
        <f>VLOOKUP(D113,EFtable,2,0)</f>
        <v>pkm</v>
      </c>
      <c r="G113" s="67"/>
      <c r="H113" s="67"/>
      <c r="I113" s="67"/>
      <c r="J113" s="67"/>
      <c r="K113" s="51">
        <f>VLOOKUP(D113,EFtable,3,0)</f>
        <v>4.9049999999999996E-2</v>
      </c>
      <c r="L113" s="42">
        <f>E113*K113</f>
        <v>0</v>
      </c>
      <c r="M113" s="43" t="str">
        <f>Translate!$A$102</f>
        <v>kgCO2e</v>
      </c>
      <c r="N113" s="67"/>
      <c r="O113" s="67"/>
      <c r="P113" s="67"/>
      <c r="Q113" s="67"/>
      <c r="R113" s="67"/>
      <c r="S113" s="67"/>
      <c r="T113" s="67"/>
      <c r="U113" s="67"/>
      <c r="V113" s="67"/>
      <c r="W113" s="67"/>
      <c r="X113" s="67"/>
      <c r="Y113" s="67"/>
      <c r="Z113" s="67"/>
      <c r="AA113" s="67"/>
      <c r="AB113" s="67"/>
      <c r="AC113" s="67"/>
      <c r="AD113" s="67"/>
      <c r="AE113" s="68"/>
      <c r="AH113">
        <f>HLOOKUP(AI113,$AP$1:$AV$2,2,0)</f>
        <v>2</v>
      </c>
      <c r="AI113" t="str">
        <f>Translate!$A$108</f>
        <v>People's transportation</v>
      </c>
      <c r="AJ113" s="49">
        <f>L113</f>
        <v>0</v>
      </c>
      <c r="AL113" s="379">
        <f>VLOOKUP(D113,EFtable,8,0)*L113</f>
        <v>0</v>
      </c>
      <c r="AN113">
        <f>ROW(F114)-ROW(F112)</f>
        <v>2</v>
      </c>
      <c r="AO113" s="49">
        <f>AJ113</f>
        <v>0</v>
      </c>
    </row>
    <row r="114" spans="1:41" ht="5.0999999999999996" customHeight="1">
      <c r="A114" s="17"/>
      <c r="C114" s="69"/>
      <c r="D114" s="70"/>
      <c r="E114" s="71"/>
      <c r="F114" s="71"/>
      <c r="G114" s="71"/>
      <c r="H114" s="71"/>
      <c r="I114" s="71"/>
      <c r="J114" s="71"/>
      <c r="K114" s="71"/>
      <c r="L114" s="71"/>
      <c r="M114" s="71"/>
      <c r="N114" s="71"/>
      <c r="O114" s="71"/>
      <c r="P114" s="71"/>
      <c r="Q114" s="71"/>
      <c r="R114" s="71"/>
      <c r="S114" s="71"/>
      <c r="T114" s="71"/>
      <c r="U114" s="71"/>
      <c r="V114" s="71"/>
      <c r="W114" s="71"/>
      <c r="X114" s="71"/>
      <c r="Y114" s="71"/>
      <c r="Z114" s="71"/>
      <c r="AA114" s="71"/>
      <c r="AB114" s="71"/>
      <c r="AC114" s="71"/>
      <c r="AD114" s="71"/>
      <c r="AE114" s="72"/>
    </row>
    <row r="115" spans="1:41">
      <c r="A115" s="17"/>
    </row>
    <row r="116" spans="1:41" ht="20.25">
      <c r="A116" s="17"/>
      <c r="B116" s="17"/>
      <c r="C116" s="17"/>
      <c r="D116" s="18"/>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row>
    <row r="118" spans="1:41" ht="20.25">
      <c r="A118" s="73"/>
      <c r="B118" s="73"/>
      <c r="C118" s="73"/>
      <c r="D118" s="74" t="str">
        <f>AU11</f>
        <v>Assets    (Secondary source)</v>
      </c>
      <c r="E118" s="73"/>
      <c r="F118" s="73"/>
      <c r="G118" s="73"/>
      <c r="H118" s="73"/>
      <c r="I118" s="73"/>
      <c r="J118" s="73"/>
      <c r="K118" s="73"/>
      <c r="L118" s="73"/>
      <c r="M118" s="73"/>
      <c r="N118" s="73"/>
      <c r="O118" s="73"/>
      <c r="P118" s="73"/>
      <c r="Q118" s="73"/>
      <c r="R118" s="73"/>
      <c r="S118" s="73"/>
      <c r="T118" s="73"/>
      <c r="U118" s="73"/>
      <c r="V118" s="73"/>
      <c r="W118" s="73"/>
      <c r="X118" s="73"/>
      <c r="Y118" s="73"/>
      <c r="Z118" s="73"/>
      <c r="AA118" s="73"/>
      <c r="AB118" s="73"/>
      <c r="AC118" s="73"/>
      <c r="AD118" s="73"/>
      <c r="AE118" s="73"/>
    </row>
    <row r="119" spans="1:41">
      <c r="A119" s="73"/>
    </row>
    <row r="120" spans="1:41" ht="6" customHeight="1">
      <c r="A120" s="73"/>
      <c r="C120" s="85"/>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76"/>
      <c r="AC120" s="76"/>
      <c r="AD120" s="76"/>
      <c r="AE120" s="77"/>
    </row>
    <row r="121" spans="1:41" ht="15.75">
      <c r="A121" s="73"/>
      <c r="C121" s="86"/>
      <c r="D121" s="75" t="str">
        <f>Translate!$A$80</f>
        <v>Simplified ratio</v>
      </c>
      <c r="E121" s="490">
        <f ca="1">IF(AND(AU5,F121=Translate!$A$91),AU4,Translate!$A$92)</f>
        <v>1.3903359226777238E-2</v>
      </c>
      <c r="F121" s="545" t="str">
        <f>Translate!$A$91</f>
        <v>Default</v>
      </c>
      <c r="G121" s="78"/>
      <c r="H121" s="78"/>
      <c r="I121" s="78"/>
      <c r="J121" s="78"/>
      <c r="K121" s="79">
        <f ca="1">$P$1</f>
        <v>0</v>
      </c>
      <c r="L121" s="79">
        <f ca="1">IF(E121=Translate!$A$92,0,E121*K121)</f>
        <v>0</v>
      </c>
      <c r="M121" s="80" t="str">
        <f>Translate!$A$102</f>
        <v>kgCO2e</v>
      </c>
      <c r="N121" s="78"/>
      <c r="O121" s="78"/>
      <c r="P121" s="78"/>
      <c r="Q121" s="78"/>
      <c r="R121" s="78"/>
      <c r="S121" s="78"/>
      <c r="T121" s="78"/>
      <c r="U121" s="78"/>
      <c r="V121" s="78"/>
      <c r="W121" s="78"/>
      <c r="X121" s="78"/>
      <c r="Y121" s="78"/>
      <c r="Z121" s="78"/>
      <c r="AA121" s="78"/>
      <c r="AB121" s="78"/>
      <c r="AC121" s="78"/>
      <c r="AD121" s="78"/>
      <c r="AE121" s="81"/>
      <c r="AG121" t="s">
        <v>70</v>
      </c>
      <c r="AH121">
        <f>HLOOKUP(AI121,$AP$1:$AV$2,2,0)</f>
        <v>2</v>
      </c>
      <c r="AI121" t="str">
        <f>Translate!$A$109</f>
        <v>Assets</v>
      </c>
      <c r="AJ121" s="49">
        <f ca="1">L121</f>
        <v>0</v>
      </c>
      <c r="AL121" s="379">
        <f ca="1">100%*L121</f>
        <v>0</v>
      </c>
      <c r="AO121" s="49"/>
    </row>
    <row r="122" spans="1:41" ht="5.0999999999999996" customHeight="1">
      <c r="A122" s="73"/>
      <c r="C122" s="84"/>
      <c r="D122" s="82"/>
      <c r="E122" s="82"/>
      <c r="F122" s="82"/>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3"/>
    </row>
    <row r="123" spans="1:41" ht="9.75" customHeight="1">
      <c r="A123" s="73"/>
    </row>
    <row r="124" spans="1:41" ht="6" customHeight="1">
      <c r="A124" s="73"/>
      <c r="C124" s="85"/>
      <c r="D124" s="76"/>
      <c r="E124" s="76"/>
      <c r="F124" s="76"/>
      <c r="G124" s="76"/>
      <c r="H124" s="76"/>
      <c r="I124" s="76"/>
      <c r="J124" s="76"/>
      <c r="K124" s="76"/>
      <c r="L124" s="76"/>
      <c r="M124" s="76"/>
      <c r="N124" s="76"/>
      <c r="O124" s="76"/>
      <c r="P124" s="76"/>
      <c r="Q124" s="76"/>
      <c r="R124" s="76"/>
      <c r="S124" s="76"/>
      <c r="T124" s="76"/>
      <c r="U124" s="76"/>
      <c r="V124" s="76"/>
      <c r="W124" s="76"/>
      <c r="X124" s="76"/>
      <c r="Y124" s="76"/>
      <c r="Z124" s="76"/>
      <c r="AA124" s="76"/>
      <c r="AB124" s="76"/>
      <c r="AC124" s="76"/>
      <c r="AD124" s="76"/>
      <c r="AE124" s="77"/>
    </row>
    <row r="125" spans="1:41" ht="15.75">
      <c r="A125" s="73"/>
      <c r="B125" s="551" t="s">
        <v>316</v>
      </c>
      <c r="C125" s="86"/>
      <c r="D125" s="468" t="str">
        <f>Translate!$A$222</f>
        <v>Machines</v>
      </c>
      <c r="E125" s="465"/>
      <c r="F125" s="87" t="str">
        <f>VLOOKUP(D125,EFtable,2,0)</f>
        <v>t</v>
      </c>
      <c r="G125" s="78"/>
      <c r="H125" s="78"/>
      <c r="I125" s="149">
        <f>E125*U125/(Z125*R125)</f>
        <v>0</v>
      </c>
      <c r="J125" s="80" t="str">
        <f>VLOOKUP(D125,EFtable,2,0)</f>
        <v>t</v>
      </c>
      <c r="K125" s="149">
        <f>VLOOKUP(D125,EFtable,3,0)</f>
        <v>3666.6666666666665</v>
      </c>
      <c r="L125" s="79">
        <f>I125*K125</f>
        <v>0</v>
      </c>
      <c r="M125" s="80" t="str">
        <f>Translate!$A$102</f>
        <v>kgCO2e</v>
      </c>
      <c r="N125" s="78"/>
      <c r="O125" s="78"/>
      <c r="P125" s="658" t="str">
        <f>Translate!$A$116</f>
        <v>Lifetime</v>
      </c>
      <c r="Q125" s="384"/>
      <c r="R125" s="482">
        <v>10</v>
      </c>
      <c r="S125" s="385" t="str">
        <f>Translate!$A$121</f>
        <v>years</v>
      </c>
      <c r="T125" s="75" t="str">
        <f>Translate!$A$126</f>
        <v>Use time</v>
      </c>
      <c r="U125" s="483">
        <f>$E$9</f>
        <v>0</v>
      </c>
      <c r="V125" s="75" t="str">
        <f>Translate!$A$129</f>
        <v>days</v>
      </c>
      <c r="W125" s="384"/>
      <c r="X125" s="659" t="str">
        <f>Translate!$A$67</f>
        <v>Working days</v>
      </c>
      <c r="Y125" s="660"/>
      <c r="Z125" s="661">
        <v>150</v>
      </c>
      <c r="AA125" s="662" t="str">
        <f>Translate!$A$129&amp;" / "&amp;Translate!$A$122</f>
        <v>days / year</v>
      </c>
      <c r="AB125" s="78"/>
      <c r="AC125" s="78"/>
      <c r="AD125" s="78"/>
      <c r="AE125" s="81"/>
      <c r="AH125">
        <f>HLOOKUP(AI125,$AP$1:$AV$2,2,0)</f>
        <v>2</v>
      </c>
      <c r="AI125" t="str">
        <f>Translate!$A$109</f>
        <v>Assets</v>
      </c>
      <c r="AJ125" s="49">
        <f>L125</f>
        <v>0</v>
      </c>
      <c r="AL125" s="379">
        <f>VLOOKUP("Machines",EFtable,8,0)*L125</f>
        <v>0</v>
      </c>
      <c r="AN125">
        <f>ROW(F126)-ROW(F124)</f>
        <v>2</v>
      </c>
      <c r="AO125" s="49">
        <f>AJ125</f>
        <v>0</v>
      </c>
    </row>
    <row r="126" spans="1:41" ht="5.0999999999999996" customHeight="1">
      <c r="A126" s="73"/>
      <c r="C126" s="84"/>
      <c r="D126" s="82"/>
      <c r="E126" s="82"/>
      <c r="F126" s="8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3"/>
    </row>
    <row r="127" spans="1:41">
      <c r="A127" s="73"/>
    </row>
    <row r="128" spans="1:41" ht="20.25">
      <c r="A128" s="73"/>
      <c r="B128" s="73"/>
      <c r="C128" s="73"/>
      <c r="D128" s="74"/>
      <c r="E128" s="73"/>
      <c r="F128" s="73"/>
      <c r="G128" s="73"/>
      <c r="H128" s="73"/>
      <c r="I128" s="73"/>
      <c r="J128" s="73"/>
      <c r="K128" s="73"/>
      <c r="L128" s="73"/>
      <c r="M128" s="73"/>
      <c r="N128" s="73"/>
      <c r="O128" s="73"/>
      <c r="P128" s="73"/>
      <c r="Q128" s="73"/>
      <c r="R128" s="73"/>
      <c r="S128" s="73"/>
      <c r="T128" s="73"/>
      <c r="U128" s="73"/>
      <c r="V128" s="73"/>
      <c r="W128" s="73"/>
      <c r="X128" s="73"/>
      <c r="Y128" s="73"/>
      <c r="Z128" s="73"/>
      <c r="AA128" s="73"/>
      <c r="AB128" s="73"/>
      <c r="AC128" s="73"/>
      <c r="AD128" s="73"/>
      <c r="AE128" s="73"/>
    </row>
    <row r="130" spans="1:41" ht="20.25">
      <c r="A130" s="249"/>
      <c r="B130" s="249"/>
      <c r="C130" s="249"/>
      <c r="D130" s="250" t="str">
        <f>AV11</f>
        <v>Waste    (Secondary source)</v>
      </c>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c r="AA130" s="249"/>
      <c r="AB130" s="249"/>
      <c r="AC130" s="249"/>
      <c r="AD130" s="249"/>
      <c r="AE130" s="249"/>
    </row>
    <row r="131" spans="1:41">
      <c r="A131" s="249"/>
    </row>
    <row r="132" spans="1:41" ht="6" customHeight="1">
      <c r="A132" s="249"/>
      <c r="C132" s="252"/>
      <c r="D132" s="253"/>
      <c r="E132" s="253"/>
      <c r="F132" s="253"/>
      <c r="G132" s="253"/>
      <c r="H132" s="253"/>
      <c r="I132" s="253"/>
      <c r="J132" s="253"/>
      <c r="K132" s="253"/>
      <c r="L132" s="253"/>
      <c r="M132" s="253"/>
      <c r="N132" s="253"/>
      <c r="O132" s="253"/>
      <c r="P132" s="253"/>
      <c r="Q132" s="253"/>
      <c r="R132" s="253"/>
      <c r="S132" s="253"/>
      <c r="T132" s="253"/>
      <c r="U132" s="253"/>
      <c r="V132" s="253"/>
      <c r="W132" s="253"/>
      <c r="X132" s="253"/>
      <c r="Y132" s="253"/>
      <c r="Z132" s="253"/>
      <c r="AA132" s="253"/>
      <c r="AB132" s="253"/>
      <c r="AC132" s="253"/>
      <c r="AD132" s="253"/>
      <c r="AE132" s="254"/>
    </row>
    <row r="133" spans="1:41" ht="15.75">
      <c r="A133" s="249"/>
      <c r="C133" s="255"/>
      <c r="D133" s="251" t="str">
        <f>Translate!$A$80</f>
        <v>Simplified ratio</v>
      </c>
      <c r="E133" s="491">
        <f ca="1">IF(AND(AV5,F133=Translate!$A$91),AV4,Translate!$A$92)</f>
        <v>0</v>
      </c>
      <c r="F133" s="544" t="str">
        <f>Translate!$A$91</f>
        <v>Default</v>
      </c>
      <c r="G133" s="259"/>
      <c r="H133" s="259"/>
      <c r="I133" s="259"/>
      <c r="J133" s="259"/>
      <c r="K133" s="261">
        <f ca="1">$P$1</f>
        <v>0</v>
      </c>
      <c r="L133" s="261">
        <f ca="1">IF(E133=Translate!$A$92,0,E133*K133)</f>
        <v>0</v>
      </c>
      <c r="M133" s="262" t="str">
        <f>Translate!$A$102</f>
        <v>kgCO2e</v>
      </c>
      <c r="N133" s="259"/>
      <c r="O133" s="259"/>
      <c r="P133" s="259"/>
      <c r="Q133" s="259"/>
      <c r="R133" s="259"/>
      <c r="S133" s="259"/>
      <c r="T133" s="259"/>
      <c r="U133" s="259"/>
      <c r="V133" s="259"/>
      <c r="W133" s="259"/>
      <c r="X133" s="259"/>
      <c r="Y133" s="259"/>
      <c r="Z133" s="259"/>
      <c r="AA133" s="259"/>
      <c r="AB133" s="259"/>
      <c r="AC133" s="259"/>
      <c r="AD133" s="259"/>
      <c r="AE133" s="260"/>
      <c r="AG133" t="s">
        <v>70</v>
      </c>
      <c r="AH133">
        <f>HLOOKUP(AI133,$AP$1:$AV$2,2,0)</f>
        <v>2</v>
      </c>
      <c r="AI133" t="str">
        <f>Translate!$A$110</f>
        <v>Waste</v>
      </c>
      <c r="AJ133" s="49">
        <f ca="1">L133</f>
        <v>0</v>
      </c>
      <c r="AL133" s="379">
        <f ca="1">100%*L133</f>
        <v>0</v>
      </c>
      <c r="AO133" s="49"/>
    </row>
    <row r="134" spans="1:41" ht="5.0999999999999996" customHeight="1">
      <c r="A134" s="249"/>
      <c r="C134" s="256"/>
      <c r="D134" s="257"/>
      <c r="E134" s="257"/>
      <c r="F134" s="257"/>
      <c r="G134" s="257"/>
      <c r="H134" s="257"/>
      <c r="I134" s="257"/>
      <c r="J134" s="257"/>
      <c r="K134" s="257"/>
      <c r="L134" s="257"/>
      <c r="M134" s="257"/>
      <c r="N134" s="257"/>
      <c r="O134" s="257"/>
      <c r="P134" s="257"/>
      <c r="Q134" s="257"/>
      <c r="R134" s="257"/>
      <c r="S134" s="257"/>
      <c r="T134" s="257"/>
      <c r="U134" s="257"/>
      <c r="V134" s="257"/>
      <c r="W134" s="257"/>
      <c r="X134" s="257"/>
      <c r="Y134" s="257"/>
      <c r="Z134" s="257"/>
      <c r="AA134" s="257"/>
      <c r="AB134" s="257"/>
      <c r="AC134" s="257"/>
      <c r="AD134" s="257"/>
      <c r="AE134" s="258"/>
    </row>
    <row r="135" spans="1:41" ht="9.75" customHeight="1">
      <c r="A135" s="249"/>
    </row>
    <row r="136" spans="1:41" ht="6" customHeight="1">
      <c r="A136" s="249"/>
      <c r="C136" s="252"/>
      <c r="D136" s="253"/>
      <c r="E136" s="253"/>
      <c r="F136" s="253"/>
      <c r="G136" s="253"/>
      <c r="H136" s="253"/>
      <c r="I136" s="253"/>
      <c r="J136" s="253"/>
      <c r="K136" s="253"/>
      <c r="L136" s="253"/>
      <c r="M136" s="253"/>
      <c r="N136" s="253"/>
      <c r="O136" s="253"/>
      <c r="P136" s="253"/>
      <c r="Q136" s="253"/>
      <c r="R136" s="253"/>
      <c r="S136" s="253"/>
      <c r="T136" s="253"/>
      <c r="U136" s="253"/>
      <c r="V136" s="253"/>
      <c r="W136" s="253"/>
      <c r="X136" s="253"/>
      <c r="Y136" s="253"/>
      <c r="Z136" s="253"/>
      <c r="AA136" s="253"/>
      <c r="AB136" s="253"/>
      <c r="AC136" s="253"/>
      <c r="AD136" s="253"/>
      <c r="AE136" s="254"/>
    </row>
    <row r="137" spans="1:41" ht="15.75">
      <c r="A137" s="249"/>
      <c r="B137" s="551" t="s">
        <v>316</v>
      </c>
      <c r="C137" s="255"/>
      <c r="D137" s="468" t="str">
        <f>Translate!$A$84</f>
        <v>Waste 1</v>
      </c>
      <c r="E137" s="465"/>
      <c r="F137" s="264" t="str">
        <f>'Emission factors'!$F$411</f>
        <v>t</v>
      </c>
      <c r="G137" s="259"/>
      <c r="H137" s="259"/>
      <c r="I137" s="263">
        <f>Q137*X137*(1+AA137)</f>
        <v>0</v>
      </c>
      <c r="J137" s="262" t="str">
        <f>'Emission factors'!$F$410</f>
        <v>km</v>
      </c>
      <c r="K137" s="274">
        <f>VLOOKUP(T137,EFtable,3,0)</f>
        <v>0.98243999999999998</v>
      </c>
      <c r="L137" s="275">
        <f>I137*K137</f>
        <v>0</v>
      </c>
      <c r="M137" s="262" t="str">
        <f>Translate!$A$102</f>
        <v>kgCO2e</v>
      </c>
      <c r="N137" s="259"/>
      <c r="O137" s="259"/>
      <c r="P137" s="271" t="str">
        <f>Translate!$A$112</f>
        <v>Distance</v>
      </c>
      <c r="Q137" s="470">
        <v>10</v>
      </c>
      <c r="R137" s="272" t="str">
        <f>'Emission factors'!$F$410</f>
        <v>km</v>
      </c>
      <c r="S137" s="271" t="str">
        <f>Translate!$A$120</f>
        <v>Type</v>
      </c>
      <c r="T137" s="471" t="str">
        <f>Translate!$A$206</f>
        <v>Road - Rigid &gt;17t</v>
      </c>
      <c r="U137" s="271" t="str">
        <f>Translate!$A$127</f>
        <v>Load</v>
      </c>
      <c r="V137" s="484">
        <f>VLOOKUP(T137,'Emission factors'!$C$313:$E$329,2,0)</f>
        <v>7.5</v>
      </c>
      <c r="W137" s="264" t="str">
        <f>F137</f>
        <v>t</v>
      </c>
      <c r="X137" s="471">
        <f>IF(V137=0,0,ROUNDUP(E137/V137,0))</f>
        <v>0</v>
      </c>
      <c r="Y137" s="272" t="str">
        <f>Translate!$A$130</f>
        <v>travels</v>
      </c>
      <c r="Z137" s="273" t="str">
        <f>Translate!$A$128</f>
        <v>empty-return rate</v>
      </c>
      <c r="AA137" s="472">
        <v>0.5</v>
      </c>
      <c r="AB137" s="259"/>
      <c r="AC137" s="259"/>
      <c r="AD137" s="259"/>
      <c r="AE137" s="260"/>
      <c r="AH137">
        <f>HLOOKUP(AI137,$AP$1:$AV$2,2,0)</f>
        <v>2</v>
      </c>
      <c r="AI137" t="str">
        <f>Translate!$A$110</f>
        <v>Waste</v>
      </c>
      <c r="AJ137" s="49">
        <f>L137</f>
        <v>0</v>
      </c>
      <c r="AL137" s="379">
        <f>VLOOKUP(T137,EFtable,8,0)*L137</f>
        <v>0</v>
      </c>
      <c r="AN137">
        <f>ROW(F138)-ROW(F136)</f>
        <v>2</v>
      </c>
      <c r="AO137" s="49">
        <f>AJ137</f>
        <v>0</v>
      </c>
    </row>
    <row r="138" spans="1:41" ht="5.0999999999999996" customHeight="1">
      <c r="A138" s="249"/>
      <c r="C138" s="256"/>
      <c r="D138" s="257"/>
      <c r="E138" s="257"/>
      <c r="F138" s="257"/>
      <c r="G138" s="257"/>
      <c r="H138" s="257"/>
      <c r="I138" s="257"/>
      <c r="J138" s="257"/>
      <c r="K138" s="257"/>
      <c r="L138" s="257"/>
      <c r="M138" s="257"/>
      <c r="N138" s="257"/>
      <c r="O138" s="257"/>
      <c r="P138" s="257"/>
      <c r="Q138" s="257"/>
      <c r="R138" s="257"/>
      <c r="S138" s="257"/>
      <c r="T138" s="257"/>
      <c r="U138" s="257"/>
      <c r="V138" s="257"/>
      <c r="W138" s="257"/>
      <c r="X138" s="257"/>
      <c r="Y138" s="257"/>
      <c r="Z138" s="257"/>
      <c r="AA138" s="257"/>
      <c r="AB138" s="257"/>
      <c r="AC138" s="257"/>
      <c r="AD138" s="257"/>
      <c r="AE138" s="258"/>
    </row>
    <row r="139" spans="1:41">
      <c r="A139" s="249"/>
    </row>
    <row r="140" spans="1:41" ht="6" customHeight="1">
      <c r="A140" s="249"/>
      <c r="C140" s="252"/>
      <c r="D140" s="253"/>
      <c r="E140" s="253"/>
      <c r="F140" s="253"/>
      <c r="G140" s="253"/>
      <c r="H140" s="253"/>
      <c r="I140" s="253"/>
      <c r="J140" s="253"/>
      <c r="K140" s="253"/>
      <c r="L140" s="253"/>
      <c r="M140" s="253"/>
      <c r="N140" s="253"/>
      <c r="O140" s="253"/>
      <c r="P140" s="253"/>
      <c r="Q140" s="253"/>
      <c r="R140" s="253"/>
      <c r="S140" s="253"/>
      <c r="T140" s="253"/>
      <c r="U140" s="253"/>
      <c r="V140" s="253"/>
      <c r="W140" s="253"/>
      <c r="X140" s="253"/>
      <c r="Y140" s="253"/>
      <c r="Z140" s="253"/>
      <c r="AA140" s="253"/>
      <c r="AB140" s="253"/>
      <c r="AC140" s="253"/>
      <c r="AD140" s="253"/>
      <c r="AE140" s="254"/>
    </row>
    <row r="141" spans="1:41" ht="15.75">
      <c r="A141" s="249"/>
      <c r="B141" s="551" t="str">
        <f>Translate!$A$242</f>
        <v>-</v>
      </c>
      <c r="C141" s="255"/>
      <c r="D141" s="468" t="str">
        <f>Translate!$A$85</f>
        <v>Waste 2</v>
      </c>
      <c r="E141" s="465"/>
      <c r="F141" s="264" t="str">
        <f>'Emission factors'!$F$411</f>
        <v>t</v>
      </c>
      <c r="G141" s="259"/>
      <c r="H141" s="259"/>
      <c r="I141" s="263">
        <f>Q141*X141*(1+AA141)</f>
        <v>0</v>
      </c>
      <c r="J141" s="262" t="str">
        <f>'Emission factors'!$F$410</f>
        <v>km</v>
      </c>
      <c r="K141" s="274">
        <f>VLOOKUP(T141,EFtable,3,0)</f>
        <v>0.98243999999999998</v>
      </c>
      <c r="L141" s="275">
        <f>I141*K141</f>
        <v>0</v>
      </c>
      <c r="M141" s="262" t="str">
        <f>Translate!$A$102</f>
        <v>kgCO2e</v>
      </c>
      <c r="N141" s="259"/>
      <c r="O141" s="259"/>
      <c r="P141" s="271" t="str">
        <f>Translate!$A$112</f>
        <v>Distance</v>
      </c>
      <c r="Q141" s="470">
        <v>10</v>
      </c>
      <c r="R141" s="272" t="str">
        <f>'Emission factors'!$F$410</f>
        <v>km</v>
      </c>
      <c r="S141" s="271" t="str">
        <f>Translate!$A$120</f>
        <v>Type</v>
      </c>
      <c r="T141" s="471" t="str">
        <f>Translate!$A$206</f>
        <v>Road - Rigid &gt;17t</v>
      </c>
      <c r="U141" s="271" t="str">
        <f>Translate!$A$127</f>
        <v>Load</v>
      </c>
      <c r="V141" s="484">
        <f>VLOOKUP(T141,'Emission factors'!$C$313:$E$329,2,0)</f>
        <v>7.5</v>
      </c>
      <c r="W141" s="264" t="str">
        <f>F141</f>
        <v>t</v>
      </c>
      <c r="X141" s="471">
        <f>IF(V141=0,0,ROUNDUP(E141/V141,0))</f>
        <v>0</v>
      </c>
      <c r="Y141" s="272" t="str">
        <f>Translate!$A$130</f>
        <v>travels</v>
      </c>
      <c r="Z141" s="273" t="str">
        <f>Translate!$A$128</f>
        <v>empty-return rate</v>
      </c>
      <c r="AA141" s="472">
        <v>0.5</v>
      </c>
      <c r="AB141" s="259"/>
      <c r="AC141" s="259"/>
      <c r="AD141" s="259"/>
      <c r="AE141" s="260"/>
      <c r="AH141">
        <f>HLOOKUP(AI141,$AP$1:$AV$2,2,0)</f>
        <v>2</v>
      </c>
      <c r="AI141" t="str">
        <f>Translate!$A$110</f>
        <v>Waste</v>
      </c>
      <c r="AJ141" s="49">
        <f>L141</f>
        <v>0</v>
      </c>
      <c r="AL141" s="379">
        <f>VLOOKUP(T141,EFtable,8,0)*L141</f>
        <v>0</v>
      </c>
      <c r="AN141">
        <f>ROW(F142)-ROW(F140)</f>
        <v>2</v>
      </c>
      <c r="AO141" s="49">
        <f>AJ141</f>
        <v>0</v>
      </c>
    </row>
    <row r="142" spans="1:41" ht="5.0999999999999996" customHeight="1">
      <c r="A142" s="249"/>
      <c r="C142" s="256"/>
      <c r="D142" s="257"/>
      <c r="E142" s="257"/>
      <c r="F142" s="257"/>
      <c r="G142" s="257"/>
      <c r="H142" s="257"/>
      <c r="I142" s="257"/>
      <c r="J142" s="257"/>
      <c r="K142" s="257"/>
      <c r="L142" s="257"/>
      <c r="M142" s="257"/>
      <c r="N142" s="257"/>
      <c r="O142" s="257"/>
      <c r="P142" s="257"/>
      <c r="Q142" s="257"/>
      <c r="R142" s="257"/>
      <c r="S142" s="257"/>
      <c r="T142" s="257"/>
      <c r="U142" s="257"/>
      <c r="V142" s="257"/>
      <c r="W142" s="257"/>
      <c r="X142" s="257"/>
      <c r="Y142" s="257"/>
      <c r="Z142" s="257"/>
      <c r="AA142" s="257"/>
      <c r="AB142" s="257"/>
      <c r="AC142" s="257"/>
      <c r="AD142" s="257"/>
      <c r="AE142" s="258"/>
    </row>
    <row r="143" spans="1:41">
      <c r="A143" s="249"/>
    </row>
    <row r="144" spans="1:41" ht="20.25">
      <c r="A144" s="249"/>
      <c r="B144" s="249"/>
      <c r="C144" s="249"/>
      <c r="D144" s="250"/>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49"/>
      <c r="AB144" s="249"/>
      <c r="AC144" s="249"/>
      <c r="AD144" s="249"/>
      <c r="AE144" s="249"/>
    </row>
    <row r="146" spans="1:40" ht="20.25">
      <c r="A146" s="357"/>
      <c r="B146" s="357"/>
      <c r="C146" s="357"/>
      <c r="D146" s="358" t="str">
        <f>Translate!$A$86</f>
        <v>Externaly calculated emissions</v>
      </c>
      <c r="E146" s="357"/>
      <c r="F146" s="357"/>
      <c r="G146" s="357"/>
      <c r="H146" s="357"/>
      <c r="I146" s="357"/>
      <c r="J146" s="357"/>
      <c r="K146" s="357"/>
      <c r="L146" s="357"/>
      <c r="M146" s="357"/>
      <c r="N146" s="357"/>
      <c r="O146" s="357"/>
      <c r="P146" s="357"/>
      <c r="Q146" s="357"/>
      <c r="R146" s="357"/>
      <c r="S146" s="357"/>
      <c r="T146" s="357"/>
      <c r="U146" s="357"/>
      <c r="V146" s="357"/>
      <c r="W146" s="357"/>
      <c r="X146" s="357"/>
      <c r="Y146" s="357"/>
      <c r="Z146" s="357"/>
      <c r="AA146" s="357"/>
      <c r="AB146" s="357"/>
      <c r="AC146" s="357"/>
      <c r="AD146" s="357"/>
      <c r="AE146" s="357"/>
    </row>
    <row r="147" spans="1:40">
      <c r="A147" s="357"/>
    </row>
    <row r="148" spans="1:40" ht="6" customHeight="1">
      <c r="A148" s="357"/>
      <c r="C148" s="359"/>
      <c r="D148" s="362"/>
      <c r="E148" s="362"/>
      <c r="F148" s="362"/>
      <c r="G148" s="362"/>
      <c r="H148" s="362"/>
      <c r="I148" s="362"/>
      <c r="J148" s="362"/>
      <c r="K148" s="362"/>
      <c r="L148" s="362"/>
      <c r="M148" s="362"/>
      <c r="N148" s="362"/>
      <c r="O148" s="362"/>
      <c r="P148" s="362"/>
      <c r="Q148" s="362"/>
      <c r="R148" s="362"/>
      <c r="S148" s="362"/>
      <c r="T148" s="362"/>
      <c r="U148" s="362"/>
      <c r="V148" s="362"/>
      <c r="W148" s="362"/>
      <c r="X148" s="362"/>
      <c r="Y148" s="362"/>
      <c r="Z148" s="362"/>
      <c r="AA148" s="362"/>
      <c r="AB148" s="362"/>
      <c r="AC148" s="362"/>
      <c r="AD148" s="362"/>
      <c r="AE148" s="363"/>
    </row>
    <row r="149" spans="1:40" ht="15.75">
      <c r="A149" s="357"/>
      <c r="B149" s="551" t="s">
        <v>316</v>
      </c>
      <c r="C149" s="360"/>
      <c r="D149" s="652" t="str">
        <f>Translate!$A$47</f>
        <v>Name</v>
      </c>
      <c r="E149" s="470"/>
      <c r="F149" s="468" t="str">
        <f>Translate!$A$104</f>
        <v>Materials</v>
      </c>
      <c r="G149" s="368"/>
      <c r="H149" s="651"/>
      <c r="I149" s="366"/>
      <c r="J149" s="366"/>
      <c r="K149" s="366"/>
      <c r="L149" s="465"/>
      <c r="M149" s="369" t="str">
        <f>Translate!$A$102</f>
        <v>kgCO2e</v>
      </c>
      <c r="N149" s="366"/>
      <c r="O149" s="366"/>
      <c r="P149" s="366"/>
      <c r="Q149" s="366"/>
      <c r="R149" s="366"/>
      <c r="S149" s="366"/>
      <c r="T149" s="366"/>
      <c r="U149" s="366"/>
      <c r="V149" s="366"/>
      <c r="W149" s="366"/>
      <c r="X149" s="366"/>
      <c r="Y149" s="366"/>
      <c r="Z149" s="366"/>
      <c r="AA149" s="366"/>
      <c r="AB149" s="366"/>
      <c r="AC149" s="366"/>
      <c r="AD149" s="366"/>
      <c r="AE149" s="367"/>
      <c r="AG149" t="s">
        <v>346</v>
      </c>
      <c r="AH149">
        <f>HLOOKUP(AI149,$AP$1:$AV$2,2,0)</f>
        <v>1</v>
      </c>
      <c r="AI149" t="str">
        <f>F149</f>
        <v>Materials</v>
      </c>
      <c r="AJ149" s="49">
        <f>L149</f>
        <v>0</v>
      </c>
      <c r="AK149" t="str">
        <f>IF(F149=$AQ$1,Translate!$A$118,"")</f>
        <v>Other</v>
      </c>
      <c r="AN149">
        <f>ROW(F150)-ROW(F148)</f>
        <v>2</v>
      </c>
    </row>
    <row r="150" spans="1:40" ht="5.0999999999999996" customHeight="1">
      <c r="A150" s="357"/>
      <c r="C150" s="361"/>
      <c r="D150" s="364"/>
      <c r="E150" s="364"/>
      <c r="F150" s="364"/>
      <c r="G150" s="364"/>
      <c r="H150" s="364"/>
      <c r="I150" s="364"/>
      <c r="J150" s="364"/>
      <c r="K150" s="364"/>
      <c r="L150" s="364"/>
      <c r="M150" s="364"/>
      <c r="N150" s="364"/>
      <c r="O150" s="364"/>
      <c r="P150" s="364"/>
      <c r="Q150" s="364"/>
      <c r="R150" s="364"/>
      <c r="S150" s="364"/>
      <c r="T150" s="364"/>
      <c r="U150" s="364"/>
      <c r="V150" s="364"/>
      <c r="W150" s="364"/>
      <c r="X150" s="364"/>
      <c r="Y150" s="364"/>
      <c r="Z150" s="364"/>
      <c r="AA150" s="364"/>
      <c r="AB150" s="364"/>
      <c r="AC150" s="364"/>
      <c r="AD150" s="364"/>
      <c r="AE150" s="365"/>
    </row>
    <row r="151" spans="1:40">
      <c r="A151" s="357"/>
    </row>
    <row r="152" spans="1:40" ht="20.25">
      <c r="A152" s="357"/>
      <c r="B152" s="357"/>
      <c r="C152" s="357"/>
      <c r="D152" s="358"/>
      <c r="E152" s="357"/>
      <c r="F152" s="357"/>
      <c r="G152" s="357"/>
      <c r="H152" s="357"/>
      <c r="I152" s="357"/>
      <c r="J152" s="357"/>
      <c r="K152" s="357"/>
      <c r="L152" s="357"/>
      <c r="M152" s="357"/>
      <c r="N152" s="357"/>
      <c r="O152" s="357"/>
      <c r="P152" s="357"/>
      <c r="Q152" s="357"/>
      <c r="R152" s="357"/>
      <c r="S152" s="357"/>
      <c r="T152" s="357"/>
      <c r="U152" s="357"/>
      <c r="V152" s="357"/>
      <c r="W152" s="357"/>
      <c r="X152" s="357"/>
      <c r="Y152" s="357"/>
      <c r="Z152" s="357"/>
      <c r="AA152" s="357"/>
      <c r="AB152" s="357"/>
      <c r="AC152" s="357"/>
      <c r="AD152" s="357"/>
      <c r="AE152" s="357"/>
    </row>
  </sheetData>
  <sheetProtection algorithmName="SHA-512" hashValue="dgDR+j2VKKK4jltlchGPCmh7n8NZvMCqkNIwtkWx0jwloMYpS4WMGfhvDoEGjofR1r31Y20PyiDRNtT6ZR9rZw==" saltValue="nCwLPVFb1bSoeADvbkZNjw==" spinCount="100000" sheet="1" objects="1" scenarios="1" formatColumns="0" formatRows="0"/>
  <mergeCells count="10">
    <mergeCell ref="F97:H97"/>
    <mergeCell ref="F99:H99"/>
    <mergeCell ref="F103:H103"/>
    <mergeCell ref="F107:H107"/>
    <mergeCell ref="T3:Z4"/>
    <mergeCell ref="AB4:AF10"/>
    <mergeCell ref="B6:B10"/>
    <mergeCell ref="T6:Z10"/>
    <mergeCell ref="V12:X12"/>
    <mergeCell ref="D27:D28"/>
  </mergeCells>
  <conditionalFormatting sqref="R7:S10 R6:T6">
    <cfRule type="expression" dxfId="142" priority="136">
      <formula>AND($AW$10,NOT($T$6=""))</formula>
    </cfRule>
  </conditionalFormatting>
  <conditionalFormatting sqref="O19:AE21 O23:AE24 O22 AE22 O25 AE25 O32:AD32 O36:O37 O50:AD50 O51:O52">
    <cfRule type="expression" dxfId="141" priority="137">
      <formula>IF($AR$2=2,1,0)</formula>
    </cfRule>
  </conditionalFormatting>
  <conditionalFormatting sqref="G22:H22 D29:E29 D32:E32 G30:H30 G33:H33 G39:H39 N30 G28:H28 N28 N22 G32:N32 G29:N29">
    <cfRule type="expression" dxfId="140" priority="138">
      <formula>IF($AQ$2=2,1,0)</formula>
    </cfRule>
  </conditionalFormatting>
  <conditionalFormatting sqref="C68:AE68 C70:AE70 C69 G69:J69 N69:AE69 C72:AE72 C73 C74:AE74 G73:J73">
    <cfRule type="expression" dxfId="139" priority="139">
      <formula>IF($AP$2=2,1,0)</formula>
    </cfRule>
  </conditionalFormatting>
  <conditionalFormatting sqref="C96:AE96 C110:AE110 C97 I97:K97 C112:AE112 C114:AE114 C113 G113:J113 N113:AE113 N97:AE97 N99:O99 R99:AE99 R103:AE103 N103:O103 N107:O107 R107:AE107">
    <cfRule type="expression" dxfId="138" priority="140">
      <formula>IF($AT$2=2,1,0)</formula>
    </cfRule>
  </conditionalFormatting>
  <conditionalFormatting sqref="C120:AE120 C122:AE122 C121 G121:J121 N121:AE121 C124:AE124 C126:AE126 C125 G125:H125 N125:O125 C132:AE132 C134:AE134 C133 G133:J133 N133:AE133 G137:H137 N137:O137 C138:AE138 C136:AE136 C137 AC137:AE137 AB125:AE125">
    <cfRule type="expression" dxfId="137" priority="141">
      <formula>IF($AU$2=2,1,0)</formula>
    </cfRule>
  </conditionalFormatting>
  <conditionalFormatting sqref="C80:AE80 C84:AE84 C82:AE82 C81 G81:J81 N81:AE81 C86:AE86 C85 AC85:AE85">
    <cfRule type="expression" dxfId="136" priority="135">
      <formula>IF($AS$2=2,1,0)</formula>
    </cfRule>
  </conditionalFormatting>
  <conditionalFormatting sqref="AB137">
    <cfRule type="expression" dxfId="135" priority="134">
      <formula>IF($AU$2=2,1,0)</formula>
    </cfRule>
  </conditionalFormatting>
  <conditionalFormatting sqref="AB85">
    <cfRule type="expression" dxfId="134" priority="133">
      <formula>IF($AS$2=2,1,0)</formula>
    </cfRule>
  </conditionalFormatting>
  <conditionalFormatting sqref="P47:AD47">
    <cfRule type="expression" dxfId="133" priority="132">
      <formula>IF($AR$2=2,1,0)</formula>
    </cfRule>
  </conditionalFormatting>
  <conditionalFormatting sqref="O53:AE53">
    <cfRule type="expression" dxfId="132" priority="130">
      <formula>IF($AR$2=2,1,0)</formula>
    </cfRule>
  </conditionalFormatting>
  <conditionalFormatting sqref="C53:N53">
    <cfRule type="expression" dxfId="131" priority="131">
      <formula>IF($AQ$2=2,1,0)</formula>
    </cfRule>
  </conditionalFormatting>
  <conditionalFormatting sqref="P52:AD52">
    <cfRule type="expression" dxfId="130" priority="129">
      <formula>IF($AR$2=2,1,0)</formula>
    </cfRule>
  </conditionalFormatting>
  <conditionalFormatting sqref="O58:AE58">
    <cfRule type="expression" dxfId="129" priority="127">
      <formula>IF($AR$2=2,1,0)</formula>
    </cfRule>
  </conditionalFormatting>
  <conditionalFormatting sqref="C58:N58">
    <cfRule type="expression" dxfId="128" priority="128">
      <formula>IF($AQ$2=2,1,0)</formula>
    </cfRule>
  </conditionalFormatting>
  <conditionalFormatting sqref="P57:AD57">
    <cfRule type="expression" dxfId="127" priority="126">
      <formula>IF($AR$2=2,1,0)</formula>
    </cfRule>
  </conditionalFormatting>
  <conditionalFormatting sqref="E37">
    <cfRule type="expression" dxfId="126" priority="115">
      <formula>IF(E37="do not apply",1,0)</formula>
    </cfRule>
  </conditionalFormatting>
  <conditionalFormatting sqref="E52">
    <cfRule type="expression" dxfId="125" priority="125">
      <formula>IF(E52="do not apply",1,0)</formula>
    </cfRule>
  </conditionalFormatting>
  <conditionalFormatting sqref="E57">
    <cfRule type="expression" dxfId="124" priority="124">
      <formula>IF(E57="do not apply",1,0)</formula>
    </cfRule>
  </conditionalFormatting>
  <conditionalFormatting sqref="O31">
    <cfRule type="expression" dxfId="123" priority="123">
      <formula>IF($AR$2=2,1,0)</formula>
    </cfRule>
  </conditionalFormatting>
  <conditionalFormatting sqref="P31:AD31">
    <cfRule type="expression" dxfId="122" priority="122">
      <formula>IF($AR$2=2,1,0)</formula>
    </cfRule>
  </conditionalFormatting>
  <conditionalFormatting sqref="E31">
    <cfRule type="expression" dxfId="121" priority="121">
      <formula>IF(E31="do not apply",1,0)</formula>
    </cfRule>
  </conditionalFormatting>
  <conditionalFormatting sqref="O34">
    <cfRule type="expression" dxfId="120" priority="120">
      <formula>IF($AR$2=2,1,0)</formula>
    </cfRule>
  </conditionalFormatting>
  <conditionalFormatting sqref="P34:AD34">
    <cfRule type="expression" dxfId="119" priority="119">
      <formula>IF($AR$2=2,1,0)</formula>
    </cfRule>
  </conditionalFormatting>
  <conditionalFormatting sqref="E34">
    <cfRule type="expression" dxfId="118" priority="118">
      <formula>IF(E34="do not apply",1,0)</formula>
    </cfRule>
  </conditionalFormatting>
  <conditionalFormatting sqref="O37">
    <cfRule type="expression" dxfId="117" priority="117">
      <formula>IF($AR$2=2,1,0)</formula>
    </cfRule>
  </conditionalFormatting>
  <conditionalFormatting sqref="P37:AD37">
    <cfRule type="expression" dxfId="116" priority="116">
      <formula>IF($AR$2=2,1,0)</formula>
    </cfRule>
  </conditionalFormatting>
  <conditionalFormatting sqref="H40:M40">
    <cfRule type="expression" dxfId="115" priority="109">
      <formula>IF($AQ$2=2,1,0)</formula>
    </cfRule>
  </conditionalFormatting>
  <conditionalFormatting sqref="O40">
    <cfRule type="expression" dxfId="114" priority="114">
      <formula>IF($AR$2=2,1,0)</formula>
    </cfRule>
  </conditionalFormatting>
  <conditionalFormatting sqref="P40:AD40">
    <cfRule type="expression" dxfId="113" priority="113">
      <formula>IF($AR$2=2,1,0)</formula>
    </cfRule>
  </conditionalFormatting>
  <conditionalFormatting sqref="E40">
    <cfRule type="expression" dxfId="112" priority="112">
      <formula>IF(E40="do not apply",1,0)</formula>
    </cfRule>
  </conditionalFormatting>
  <conditionalFormatting sqref="H34:M34">
    <cfRule type="expression" dxfId="111" priority="111">
      <formula>IF($AQ$2=2,1,0)</formula>
    </cfRule>
  </conditionalFormatting>
  <conditionalFormatting sqref="H37:M37">
    <cfRule type="expression" dxfId="110" priority="110">
      <formula>IF($AQ$2=2,1,0)</formula>
    </cfRule>
  </conditionalFormatting>
  <conditionalFormatting sqref="H47:M47">
    <cfRule type="expression" dxfId="109" priority="108">
      <formula>IF($AQ$2=2,1,0)</formula>
    </cfRule>
  </conditionalFormatting>
  <conditionalFormatting sqref="H52:M52">
    <cfRule type="expression" dxfId="108" priority="107">
      <formula>IF($AQ$2=2,1,0)</formula>
    </cfRule>
  </conditionalFormatting>
  <conditionalFormatting sqref="H57:M57">
    <cfRule type="expression" dxfId="107" priority="106">
      <formula>IF($AQ$2=2,1,0)</formula>
    </cfRule>
  </conditionalFormatting>
  <conditionalFormatting sqref="L22:M22">
    <cfRule type="expression" dxfId="106" priority="105">
      <formula>IF($AQ$2=2,1,0)</formula>
    </cfRule>
  </conditionalFormatting>
  <conditionalFormatting sqref="Y85:Z85">
    <cfRule type="expression" dxfId="105" priority="104">
      <formula>IF($AS$2=2,1,0)</formula>
    </cfRule>
  </conditionalFormatting>
  <conditionalFormatting sqref="X85">
    <cfRule type="expression" dxfId="104" priority="100">
      <formula>IF($AS$2=2,1,0)</formula>
    </cfRule>
  </conditionalFormatting>
  <conditionalFormatting sqref="G85">
    <cfRule type="expression" dxfId="103" priority="102">
      <formula>IF($AS$2=2,1,0)</formula>
    </cfRule>
  </conditionalFormatting>
  <conditionalFormatting sqref="AA85">
    <cfRule type="expression" dxfId="102" priority="103">
      <formula>IF($AS$2=2,1,0)</formula>
    </cfRule>
  </conditionalFormatting>
  <conditionalFormatting sqref="H85">
    <cfRule type="expression" dxfId="101" priority="101">
      <formula>IF($AS$2=2,1,0)</formula>
    </cfRule>
  </conditionalFormatting>
  <conditionalFormatting sqref="X89">
    <cfRule type="expression" dxfId="100" priority="90">
      <formula>IF($AS$2=2,1,0)</formula>
    </cfRule>
  </conditionalFormatting>
  <conditionalFormatting sqref="W85">
    <cfRule type="expression" dxfId="99" priority="99">
      <formula>IF($AS$2=2,1,0)</formula>
    </cfRule>
  </conditionalFormatting>
  <conditionalFormatting sqref="Q85">
    <cfRule type="expression" dxfId="98" priority="98">
      <formula>IF($AS$2=2,1,0)</formula>
    </cfRule>
  </conditionalFormatting>
  <conditionalFormatting sqref="T85">
    <cfRule type="expression" dxfId="97" priority="97">
      <formula>IF($AS$2=2,1,0)</formula>
    </cfRule>
  </conditionalFormatting>
  <conditionalFormatting sqref="C88:AE88">
    <cfRule type="expression" dxfId="96" priority="96">
      <formula>IF($AS$2=2,1,0)</formula>
    </cfRule>
  </conditionalFormatting>
  <conditionalFormatting sqref="AB89">
    <cfRule type="expression" dxfId="95" priority="95">
      <formula>IF($AS$2=2,1,0)</formula>
    </cfRule>
  </conditionalFormatting>
  <conditionalFormatting sqref="Y89:Z89">
    <cfRule type="expression" dxfId="94" priority="94">
      <formula>IF($AS$2=2,1,0)</formula>
    </cfRule>
  </conditionalFormatting>
  <conditionalFormatting sqref="G89">
    <cfRule type="expression" dxfId="93" priority="92">
      <formula>IF($AS$2=2,1,0)</formula>
    </cfRule>
  </conditionalFormatting>
  <conditionalFormatting sqref="AA89">
    <cfRule type="expression" dxfId="92" priority="93">
      <formula>IF($AS$2=2,1,0)</formula>
    </cfRule>
  </conditionalFormatting>
  <conditionalFormatting sqref="H89">
    <cfRule type="expression" dxfId="91" priority="91">
      <formula>IF($AS$2=2,1,0)</formula>
    </cfRule>
  </conditionalFormatting>
  <conditionalFormatting sqref="W89">
    <cfRule type="expression" dxfId="90" priority="89">
      <formula>IF($AS$2=2,1,0)</formula>
    </cfRule>
  </conditionalFormatting>
  <conditionalFormatting sqref="Q89">
    <cfRule type="expression" dxfId="89" priority="88">
      <formula>IF($AS$2=2,1,0)</formula>
    </cfRule>
  </conditionalFormatting>
  <conditionalFormatting sqref="T89">
    <cfRule type="expression" dxfId="88" priority="87">
      <formula>IF($AS$2=2,1,0)</formula>
    </cfRule>
  </conditionalFormatting>
  <conditionalFormatting sqref="AE30:AE40 O26:AE29">
    <cfRule type="expression" dxfId="87" priority="86">
      <formula>IF($AR$2=2,1,0)</formula>
    </cfRule>
  </conditionalFormatting>
  <conditionalFormatting sqref="O38">
    <cfRule type="expression" dxfId="86" priority="85">
      <formula>IF($AR$2=2,1,0)</formula>
    </cfRule>
  </conditionalFormatting>
  <conditionalFormatting sqref="P38:AD38">
    <cfRule type="expression" dxfId="85" priority="84">
      <formula>IF($AR$2=2,1,0)</formula>
    </cfRule>
  </conditionalFormatting>
  <conditionalFormatting sqref="O39">
    <cfRule type="expression" dxfId="84" priority="83">
      <formula>IF($AR$2=2,1,0)</formula>
    </cfRule>
  </conditionalFormatting>
  <conditionalFormatting sqref="O48:AE48">
    <cfRule type="expression" dxfId="83" priority="78">
      <formula>IF($AR$2=2,1,0)</formula>
    </cfRule>
  </conditionalFormatting>
  <conditionalFormatting sqref="O43:AE43">
    <cfRule type="expression" dxfId="82" priority="82">
      <formula>IF($AR$2=2,1,0)</formula>
    </cfRule>
  </conditionalFormatting>
  <conditionalFormatting sqref="O45:AE45">
    <cfRule type="expression" dxfId="81" priority="81">
      <formula>IF($AR$2=2,1,0)</formula>
    </cfRule>
  </conditionalFormatting>
  <conditionalFormatting sqref="AE46:AE47">
    <cfRule type="expression" dxfId="80" priority="80">
      <formula>IF($AR$2=2,1,0)</formula>
    </cfRule>
  </conditionalFormatting>
  <conditionalFormatting sqref="O46:O47">
    <cfRule type="expression" dxfId="79" priority="79">
      <formula>IF($AR$2=2,1,0)</formula>
    </cfRule>
  </conditionalFormatting>
  <conditionalFormatting sqref="L20">
    <cfRule type="expression" dxfId="78" priority="77">
      <formula>IF($AQ$2=2,1,0)</formula>
    </cfRule>
  </conditionalFormatting>
  <conditionalFormatting sqref="W25:AD25 P25:S25 U25">
    <cfRule type="expression" dxfId="77" priority="76">
      <formula>IF($M$21,1,0)</formula>
    </cfRule>
  </conditionalFormatting>
  <conditionalFormatting sqref="P22 R22:AD22">
    <cfRule type="expression" dxfId="76" priority="75">
      <formula>IF($M$21,0,1)</formula>
    </cfRule>
  </conditionalFormatting>
  <conditionalFormatting sqref="O35:AD35">
    <cfRule type="expression" dxfId="75" priority="73">
      <formula>IF($AR$2=2,1,0)</formula>
    </cfRule>
  </conditionalFormatting>
  <conditionalFormatting sqref="D35:E35 G35:N35">
    <cfRule type="expression" dxfId="74" priority="74">
      <formula>IF($AQ$2=2,1,0)</formula>
    </cfRule>
  </conditionalFormatting>
  <conditionalFormatting sqref="O35">
    <cfRule type="expression" dxfId="73" priority="72">
      <formula>IF($AR$2=2,1,0)</formula>
    </cfRule>
  </conditionalFormatting>
  <conditionalFormatting sqref="M97 M99 M103 M107">
    <cfRule type="expression" dxfId="72" priority="71">
      <formula>IF($AT$2=2,1,0)</formula>
    </cfRule>
  </conditionalFormatting>
  <conditionalFormatting sqref="V25">
    <cfRule type="expression" dxfId="71" priority="70">
      <formula>IF($M$21,1,0)</formula>
    </cfRule>
  </conditionalFormatting>
  <conditionalFormatting sqref="F40">
    <cfRule type="expression" dxfId="70" priority="69">
      <formula>IF(F40="-reused-",1,0)</formula>
    </cfRule>
  </conditionalFormatting>
  <conditionalFormatting sqref="F47">
    <cfRule type="expression" dxfId="69" priority="68">
      <formula>IF(F47="-reused-",1,0)</formula>
    </cfRule>
  </conditionalFormatting>
  <conditionalFormatting sqref="F57 F52">
    <cfRule type="expression" dxfId="68" priority="67">
      <formula>IF(F52="-reused-",1,0)</formula>
    </cfRule>
  </conditionalFormatting>
  <conditionalFormatting sqref="C64:AE64 C66:AE66 C65 G65:J65 N65:AE65">
    <cfRule type="expression" dxfId="67" priority="66">
      <formula>IF($AP$2=2,1,0)</formula>
    </cfRule>
  </conditionalFormatting>
  <conditionalFormatting sqref="C22:C23 C31:C32 C37:C38 C40 C34:C35 C43 C25:C29">
    <cfRule type="expression" dxfId="66" priority="65">
      <formula>IF($AQ$2=2,1,0)</formula>
    </cfRule>
  </conditionalFormatting>
  <conditionalFormatting sqref="G141:H141 N141:O141 C142:AE142 C140:AE140 C141 AC141:AE141">
    <cfRule type="expression" dxfId="65" priority="64">
      <formula>IF($AU$2=2,1,0)</formula>
    </cfRule>
  </conditionalFormatting>
  <conditionalFormatting sqref="AB141">
    <cfRule type="expression" dxfId="64" priority="63">
      <formula>IF($AU$2=2,1,0)</formula>
    </cfRule>
  </conditionalFormatting>
  <conditionalFormatting sqref="C98:AE98">
    <cfRule type="expression" dxfId="63" priority="62">
      <formula>IF($AT$2=2,1,0)</formula>
    </cfRule>
  </conditionalFormatting>
  <conditionalFormatting sqref="C100:L100">
    <cfRule type="expression" dxfId="62" priority="61">
      <formula>IF($AT$2=2,1,0)</formula>
    </cfRule>
  </conditionalFormatting>
  <conditionalFormatting sqref="C104:L104">
    <cfRule type="expression" dxfId="61" priority="60">
      <formula>IF($AT$2=2,1,0)</formula>
    </cfRule>
  </conditionalFormatting>
  <conditionalFormatting sqref="M100:AE100">
    <cfRule type="expression" dxfId="60" priority="59">
      <formula>IF($AT$2=2,1,0)</formula>
    </cfRule>
  </conditionalFormatting>
  <conditionalFormatting sqref="M104:AE104">
    <cfRule type="expression" dxfId="59" priority="58">
      <formula>IF($AT$2=2,1,0)</formula>
    </cfRule>
  </conditionalFormatting>
  <conditionalFormatting sqref="M102:AE102">
    <cfRule type="expression" dxfId="58" priority="56">
      <formula>IF($AT$2=2,1,0)</formula>
    </cfRule>
  </conditionalFormatting>
  <conditionalFormatting sqref="C102:L102">
    <cfRule type="expression" dxfId="57" priority="57">
      <formula>IF($AT$2=2,1,0)</formula>
    </cfRule>
  </conditionalFormatting>
  <conditionalFormatting sqref="M106:AE106">
    <cfRule type="expression" dxfId="56" priority="54">
      <formula>IF($AT$2=2,1,0)</formula>
    </cfRule>
  </conditionalFormatting>
  <conditionalFormatting sqref="C106:L106">
    <cfRule type="expression" dxfId="55" priority="55">
      <formula>IF($AT$2=2,1,0)</formula>
    </cfRule>
  </conditionalFormatting>
  <conditionalFormatting sqref="Q22">
    <cfRule type="expression" dxfId="54" priority="53">
      <formula>IF($M$21,0,1)</formula>
    </cfRule>
  </conditionalFormatting>
  <conditionalFormatting sqref="T24">
    <cfRule type="expression" dxfId="53" priority="52">
      <formula>IF($M$21,0,1)</formula>
    </cfRule>
  </conditionalFormatting>
  <conditionalFormatting sqref="V39">
    <cfRule type="expression" dxfId="52" priority="38">
      <formula>IF($M$21,1,0)</formula>
    </cfRule>
  </conditionalFormatting>
  <conditionalFormatting sqref="T46">
    <cfRule type="expression" dxfId="51" priority="51">
      <formula>IF($M$21,0,1)</formula>
    </cfRule>
  </conditionalFormatting>
  <conditionalFormatting sqref="T51">
    <cfRule type="expression" dxfId="50" priority="50">
      <formula>IF($M$21,0,1)</formula>
    </cfRule>
  </conditionalFormatting>
  <conditionalFormatting sqref="T56">
    <cfRule type="expression" dxfId="49" priority="49">
      <formula>IF($M$21,0,1)</formula>
    </cfRule>
  </conditionalFormatting>
  <conditionalFormatting sqref="O33">
    <cfRule type="expression" dxfId="48" priority="48">
      <formula>IF($AR$2=2,1,0)</formula>
    </cfRule>
  </conditionalFormatting>
  <conditionalFormatting sqref="T25">
    <cfRule type="expression" dxfId="47" priority="47">
      <formula>IF($M$21,1,0)</formula>
    </cfRule>
  </conditionalFormatting>
  <conditionalFormatting sqref="X30:AD30 P30 U30 R30:S30">
    <cfRule type="expression" dxfId="46" priority="46">
      <formula>IF($M$21,1,0)</formula>
    </cfRule>
  </conditionalFormatting>
  <conditionalFormatting sqref="V30">
    <cfRule type="expression" dxfId="45" priority="45">
      <formula>IF($M$21,1,0)</formula>
    </cfRule>
  </conditionalFormatting>
  <conditionalFormatting sqref="T30">
    <cfRule type="expression" dxfId="44" priority="44">
      <formula>IF($M$21,1,0)</formula>
    </cfRule>
  </conditionalFormatting>
  <conditionalFormatting sqref="Y33:AD33 P33:S33 U33">
    <cfRule type="expression" dxfId="43" priority="43">
      <formula>IF($M$21,1,0)</formula>
    </cfRule>
  </conditionalFormatting>
  <conditionalFormatting sqref="V33">
    <cfRule type="expression" dxfId="42" priority="42">
      <formula>IF($M$21,1,0)</formula>
    </cfRule>
  </conditionalFormatting>
  <conditionalFormatting sqref="Y36:AD36 P36 U36 R36:S36">
    <cfRule type="expression" dxfId="41" priority="41">
      <formula>IF($M$21,1,0)</formula>
    </cfRule>
  </conditionalFormatting>
  <conditionalFormatting sqref="V36">
    <cfRule type="expression" dxfId="40" priority="40">
      <formula>IF($M$21,1,0)</formula>
    </cfRule>
  </conditionalFormatting>
  <conditionalFormatting sqref="W39:AD39 P39 U39 R39:S39">
    <cfRule type="expression" dxfId="39" priority="39">
      <formula>IF($M$21,1,0)</formula>
    </cfRule>
  </conditionalFormatting>
  <conditionalFormatting sqref="O30">
    <cfRule type="expression" dxfId="38" priority="37">
      <formula>IF($AR$2=2,1,0)</formula>
    </cfRule>
  </conditionalFormatting>
  <conditionalFormatting sqref="Q30">
    <cfRule type="expression" dxfId="37" priority="36">
      <formula>IF($M$21,1,0)</formula>
    </cfRule>
  </conditionalFormatting>
  <conditionalFormatting sqref="Q36">
    <cfRule type="expression" dxfId="36" priority="35">
      <formula>IF($M$21,1,0)</formula>
    </cfRule>
  </conditionalFormatting>
  <conditionalFormatting sqref="Q39">
    <cfRule type="expression" dxfId="35" priority="34">
      <formula>IF($M$21,1,0)</formula>
    </cfRule>
  </conditionalFormatting>
  <conditionalFormatting sqref="T33">
    <cfRule type="expression" dxfId="34" priority="33">
      <formula>IF($M$21,1,0)</formula>
    </cfRule>
  </conditionalFormatting>
  <conditionalFormatting sqref="T36">
    <cfRule type="expression" dxfId="33" priority="32">
      <formula>IF($M$21,1,0)</formula>
    </cfRule>
  </conditionalFormatting>
  <conditionalFormatting sqref="T39">
    <cfRule type="expression" dxfId="32" priority="31">
      <formula>IF($M$21,1,0)</formula>
    </cfRule>
  </conditionalFormatting>
  <conditionalFormatting sqref="O56:O57">
    <cfRule type="expression" dxfId="31" priority="30">
      <formula>IF($AR$2=2,1,0)</formula>
    </cfRule>
  </conditionalFormatting>
  <conditionalFormatting sqref="O55:AD55">
    <cfRule type="expression" dxfId="30" priority="29">
      <formula>IF($AR$2=2,1,0)</formula>
    </cfRule>
  </conditionalFormatting>
  <conditionalFormatting sqref="AE50">
    <cfRule type="expression" dxfId="29" priority="28">
      <formula>IF($AR$2=2,1,0)</formula>
    </cfRule>
  </conditionalFormatting>
  <conditionalFormatting sqref="AE51:AE52">
    <cfRule type="expression" dxfId="28" priority="27">
      <formula>IF($AR$2=2,1,0)</formula>
    </cfRule>
  </conditionalFormatting>
  <conditionalFormatting sqref="AE55">
    <cfRule type="expression" dxfId="27" priority="26">
      <formula>IF($AR$2=2,1,0)</formula>
    </cfRule>
  </conditionalFormatting>
  <conditionalFormatting sqref="AE56:AE57">
    <cfRule type="expression" dxfId="26" priority="25">
      <formula>IF($AR$2=2,1,0)</formula>
    </cfRule>
  </conditionalFormatting>
  <conditionalFormatting sqref="E47">
    <cfRule type="expression" dxfId="25" priority="24">
      <formula>IF(E47="do not apply",1,0)</formula>
    </cfRule>
  </conditionalFormatting>
  <conditionalFormatting sqref="C108:AE108">
    <cfRule type="expression" dxfId="24" priority="23">
      <formula>IF($AT$2=2,1,0)</formula>
    </cfRule>
  </conditionalFormatting>
  <conditionalFormatting sqref="O42:AE42">
    <cfRule type="expression" dxfId="23" priority="22">
      <formula>IF($AR$2=2,1,0)</formula>
    </cfRule>
  </conditionalFormatting>
  <conditionalFormatting sqref="C42">
    <cfRule type="expression" dxfId="22" priority="21">
      <formula>IF($AQ$2=2,1,0)</formula>
    </cfRule>
  </conditionalFormatting>
  <conditionalFormatting sqref="O41:AE41">
    <cfRule type="expression" dxfId="21" priority="20">
      <formula>IF($AR$2=2,1,0)</formula>
    </cfRule>
  </conditionalFormatting>
  <conditionalFormatting sqref="C41">
    <cfRule type="expression" dxfId="20" priority="19">
      <formula>IF($AQ$2=2,1,0)</formula>
    </cfRule>
  </conditionalFormatting>
  <conditionalFormatting sqref="C90:AE90">
    <cfRule type="expression" dxfId="19" priority="18">
      <formula>IF($AS$2=2,1,0)</formula>
    </cfRule>
  </conditionalFormatting>
  <conditionalFormatting sqref="C89">
    <cfRule type="expression" dxfId="18" priority="17">
      <formula>IF($AS$2=2,1,0)</formula>
    </cfRule>
  </conditionalFormatting>
  <conditionalFormatting sqref="AC89:AE89">
    <cfRule type="expression" dxfId="17" priority="16">
      <formula>IF($AS$2=2,1,0)</formula>
    </cfRule>
  </conditionalFormatting>
  <conditionalFormatting sqref="F29 F32">
    <cfRule type="expression" dxfId="16" priority="15">
      <formula>IF($AQ$2=2,1,0)</formula>
    </cfRule>
  </conditionalFormatting>
  <conditionalFormatting sqref="F35">
    <cfRule type="expression" dxfId="15" priority="14">
      <formula>IF($AQ$2=2,1,0)</formula>
    </cfRule>
  </conditionalFormatting>
  <conditionalFormatting sqref="F37">
    <cfRule type="expression" dxfId="14" priority="13">
      <formula>IF(F37="-reused-",1,0)</formula>
    </cfRule>
  </conditionalFormatting>
  <conditionalFormatting sqref="F34">
    <cfRule type="expression" dxfId="13" priority="12">
      <formula>IF(F34="-reused-",1,0)</formula>
    </cfRule>
  </conditionalFormatting>
  <conditionalFormatting sqref="F31">
    <cfRule type="expression" dxfId="12" priority="11">
      <formula>IF(F31="-reused-",1,0)</formula>
    </cfRule>
  </conditionalFormatting>
  <conditionalFormatting sqref="F30">
    <cfRule type="expression" dxfId="11" priority="10">
      <formula>IF(COUNTIF(#REF!,F30)=0,1,0)</formula>
    </cfRule>
  </conditionalFormatting>
  <conditionalFormatting sqref="W36">
    <cfRule type="expression" dxfId="10" priority="9">
      <formula>IF($M$21,1,0)</formula>
    </cfRule>
  </conditionalFormatting>
  <conditionalFormatting sqref="W33">
    <cfRule type="expression" dxfId="9" priority="8">
      <formula>IF($M$21,1,0)</formula>
    </cfRule>
  </conditionalFormatting>
  <conditionalFormatting sqref="W30">
    <cfRule type="expression" dxfId="8" priority="7">
      <formula>IF($M$21,1,0)</formula>
    </cfRule>
  </conditionalFormatting>
  <conditionalFormatting sqref="F33">
    <cfRule type="expression" dxfId="7" priority="6">
      <formula>IF(COUNTIF(#REF!,F33)=0,1,0)</formula>
    </cfRule>
  </conditionalFormatting>
  <conditionalFormatting sqref="F36">
    <cfRule type="expression" dxfId="6" priority="5">
      <formula>IF(COUNTIF(#REF!,F36)=0,1,0)</formula>
    </cfRule>
  </conditionalFormatting>
  <conditionalFormatting sqref="F39">
    <cfRule type="expression" dxfId="5" priority="4">
      <formula>IF(COUNTIF(#REF!,F39)=0,1,0)</formula>
    </cfRule>
  </conditionalFormatting>
  <conditionalFormatting sqref="F25">
    <cfRule type="expression" dxfId="4" priority="1">
      <formula>IF(COUNTIF(#REF!,F25)=0,1,0)</formula>
    </cfRule>
  </conditionalFormatting>
  <conditionalFormatting sqref="X33">
    <cfRule type="expression" dxfId="3" priority="2">
      <formula>IF($M$21,1,0)</formula>
    </cfRule>
  </conditionalFormatting>
  <conditionalFormatting sqref="X36">
    <cfRule type="expression" dxfId="2" priority="3">
      <formula>IF($M$21,1,0)</formula>
    </cfRule>
  </conditionalFormatting>
  <dataValidations count="17">
    <dataValidation type="list" allowBlank="1" showInputMessage="1" showErrorMessage="1" sqref="F30 F33 F36 F39 F25" xr:uid="{5F2AEFB8-00F0-4645-B8C7-548AB2920DB5}">
      <formula1>OFFSET(AS25,-AM25+5,0,2)</formula1>
    </dataValidation>
    <dataValidation type="list" allowBlank="1" showInputMessage="1" showErrorMessage="1" sqref="D125" xr:uid="{D2A4225C-E224-4BF6-95EC-BEAFCF556960}">
      <formula1>FEAssets</formula1>
    </dataValidation>
    <dataValidation type="list" allowBlank="1" showInputMessage="1" showErrorMessage="1" sqref="E6" xr:uid="{0E149C33-6D1C-4499-80B7-875685E3234E}">
      <formula1>techniques</formula1>
    </dataValidation>
    <dataValidation type="list" allowBlank="1" showInputMessage="1" showErrorMessage="1" sqref="D85 D89" xr:uid="{4EB47933-5D2F-4312-A3AE-54F1055239F0}">
      <formula1>EFMobDemob</formula1>
    </dataValidation>
    <dataValidation type="list" showInputMessage="1" showErrorMessage="1" sqref="F149" xr:uid="{B231B68C-4442-4F86-AAB0-35022104907F}">
      <formula1>$H$7:$H$13</formula1>
    </dataValidation>
    <dataValidation type="list" allowBlank="1" showInputMessage="1" showErrorMessage="1" sqref="D113 D99 D103 D107" xr:uid="{210D6A53-FEF7-4F71-AC4C-72C1C9C61272}">
      <formula1>FETransportation</formula1>
    </dataValidation>
    <dataValidation allowBlank="1" showInputMessage="1" showErrorMessage="1" promptTitle="Duplication" sqref="B20 C39 B46 B51 C24 C30 B137 C33 C36 B56 B69 B73 B85 B89 B113 B125 B149 B65 B141 C99 C103 C107" xr:uid="{A0621E67-A4FA-41B5-84DC-8F643EFFB688}"/>
    <dataValidation type="list" allowBlank="1" showInputMessage="1" showErrorMessage="1" sqref="E24" xr:uid="{78E84F7D-E517-4385-ACFA-EA2A746AEDAD}">
      <formula1>CementTypeName</formula1>
    </dataValidation>
    <dataValidation type="list" allowBlank="1" showInputMessage="1" showErrorMessage="1" sqref="L21" xr:uid="{4F797523-F16D-4DF4-96C1-86613F54DAD0}">
      <formula1>concrete_origin</formula1>
    </dataValidation>
    <dataValidation type="list" allowBlank="1" showInputMessage="1" showErrorMessage="1" sqref="F22" xr:uid="{7A72110B-E957-4F82-9028-ADBE04F23044}">
      <formula1>concreteunits</formula1>
    </dataValidation>
    <dataValidation type="list" allowBlank="1" showInputMessage="1" showErrorMessage="1" sqref="E12" xr:uid="{1FDEB2B7-1A05-4B47-95D4-4F6BFD181BF7}">
      <formula1>Countries</formula1>
    </dataValidation>
    <dataValidation type="list" allowBlank="1" showInputMessage="1" showErrorMessage="1" sqref="T33 T22 T46 T51 T56 T36 T25 T30 T39" xr:uid="{41FBC7AF-8A5E-4673-8CE4-A0DD8277EB02}">
      <formula1>EFFreight</formula1>
    </dataValidation>
    <dataValidation type="list" allowBlank="1" showInputMessage="1" showErrorMessage="1" sqref="D46 D51 D39 D36 D33 D30 D56" xr:uid="{3635C499-AC5A-41E7-87CA-FF0AD9401EA1}">
      <formula1>FEMaterials</formula1>
    </dataValidation>
    <dataValidation type="list" allowBlank="1" showInputMessage="1" showErrorMessage="1" sqref="D69" xr:uid="{0FA48072-81DC-4FF6-9FAD-7599C6E6321D}">
      <formula1>FEEnergy</formula1>
    </dataValidation>
    <dataValidation type="list" allowBlank="1" showInputMessage="1" showErrorMessage="1" sqref="T141 T137" xr:uid="{41CCC904-874F-4E67-AD7A-799AB67F2638}">
      <formula1>FEFreight</formula1>
    </dataValidation>
    <dataValidation type="list" allowBlank="1" showInputMessage="1" showErrorMessage="1" sqref="F47 F52 F57 F31 F34 F37 F40" xr:uid="{949AE035-F514-41D6-9C01-FB27EA5AA410}">
      <formula1>new_recycled_reused</formula1>
    </dataValidation>
    <dataValidation type="list" allowBlank="1" showInputMessage="1" showErrorMessage="1" sqref="F65 F81 F121 F133" xr:uid="{9D82639C-2147-4807-8CEC-66DB9638F3A1}">
      <formula1>ratio_use</formula1>
    </dataValidation>
  </dataValidations>
  <pageMargins left="0.7" right="0.7" top="0.75" bottom="0.75" header="0.5" footer="0.5"/>
  <pageSetup paperSize="9" orientation="portrait" horizontalDpi="4294967292" verticalDpi="42949672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F2B99-4C0E-4E41-B161-E2076527D910}">
  <sheetPr codeName="Feuil10">
    <tabColor theme="6"/>
    <pageSetUpPr fitToPage="1"/>
  </sheetPr>
  <dimension ref="A1:AD71"/>
  <sheetViews>
    <sheetView topLeftCell="C18" workbookViewId="0">
      <selection activeCell="E4" sqref="E4"/>
    </sheetView>
  </sheetViews>
  <sheetFormatPr baseColWidth="10" defaultColWidth="10.6640625" defaultRowHeight="15"/>
  <cols>
    <col min="1" max="2" width="16.33203125" style="95" hidden="1" customWidth="1"/>
    <col min="3" max="3" width="25" style="95" customWidth="1"/>
    <col min="4" max="4" width="3.5546875" style="95" customWidth="1"/>
    <col min="5" max="5" width="22.33203125" style="95" customWidth="1"/>
    <col min="6" max="6" width="13.5546875" style="95" customWidth="1"/>
    <col min="7" max="7" width="7.33203125" style="95" customWidth="1"/>
    <col min="8" max="8" width="10.6640625" style="95"/>
    <col min="9" max="9" width="17.5546875" style="95" customWidth="1"/>
    <col min="10" max="10" width="10.33203125" style="95" customWidth="1"/>
    <col min="11" max="11" width="18.33203125" style="95" customWidth="1"/>
    <col min="12" max="12" width="5.109375" style="95" customWidth="1"/>
    <col min="13" max="16384" width="10.6640625" style="95"/>
  </cols>
  <sheetData>
    <row r="1" spans="1:30" hidden="1">
      <c r="A1" s="95" t="s">
        <v>94</v>
      </c>
      <c r="E1" s="11">
        <f ca="1">IF(ISERROR(INDIRECT("'"&amp;E4&amp;"'!A1")),0,1)</f>
        <v>0</v>
      </c>
      <c r="T1" s="435" t="s">
        <v>347</v>
      </c>
      <c r="U1" s="402">
        <f ca="1">IF($E$1,INDIRECT("'"&amp;$E$4&amp;"'!"&amp;ADDRESS(ROW(U1),COLUMN(U1))),0)</f>
        <v>0</v>
      </c>
      <c r="V1" s="437" t="s">
        <v>348</v>
      </c>
      <c r="W1" s="439">
        <f ca="1">IF($E$1,INDIRECT("'"&amp;$E$4&amp;"'!"&amp;ADDRESS(ROW(W1),COLUMN(W1))),0)</f>
        <v>0</v>
      </c>
      <c r="AA1" s="95" t="s">
        <v>290</v>
      </c>
      <c r="AB1" s="95">
        <f ca="1">IF($E$1,INDIRECT("'"&amp;$E$4&amp;"'!"&amp;ADDRESS(ROW(AB1),COLUMN(AB1))),0)</f>
        <v>0</v>
      </c>
      <c r="AC1" s="95" t="s">
        <v>292</v>
      </c>
      <c r="AD1" s="95">
        <f ca="1">IF(E1,INDIRECT("'"&amp;$E$4&amp;"'!"&amp;ADDRESS(ROW(AD1),COLUMN(AD1))),0)</f>
        <v>0</v>
      </c>
    </row>
    <row r="2" spans="1:30" hidden="1">
      <c r="AA2" s="95" t="s">
        <v>291</v>
      </c>
      <c r="AB2" s="95">
        <f ca="1">IF($E$1,INDIRECT("'"&amp;$E$4&amp;"'!"&amp;ADDRESS(ROW(AB2),COLUMN(AB2))),0)</f>
        <v>0</v>
      </c>
    </row>
    <row r="3" spans="1:30" ht="15.75" thickBot="1"/>
    <row r="4" spans="1:30" ht="16.5" thickBot="1">
      <c r="C4" s="819" t="str">
        <f>Translate!$A$144</f>
        <v>select your project or subproject</v>
      </c>
      <c r="D4" s="820"/>
      <c r="E4" s="339"/>
      <c r="H4" s="685" t="str">
        <f>Translate!$A$148</f>
        <v>Your Company name</v>
      </c>
      <c r="I4" s="340" t="str">
        <f>Translate!$A$149</f>
        <v xml:space="preserve"> </v>
      </c>
    </row>
    <row r="6" spans="1:30" ht="15.75" thickBot="1"/>
    <row r="7" spans="1:30">
      <c r="D7" s="315"/>
      <c r="E7" s="316"/>
      <c r="F7" s="316"/>
      <c r="G7" s="316"/>
      <c r="H7" s="316"/>
      <c r="I7" s="316"/>
      <c r="J7" s="316"/>
      <c r="K7" s="316"/>
      <c r="L7" s="317"/>
    </row>
    <row r="8" spans="1:30" ht="74.099999999999994" customHeight="1">
      <c r="D8" s="318"/>
      <c r="E8" s="11"/>
      <c r="F8" s="11"/>
      <c r="G8" s="11"/>
      <c r="H8" s="11"/>
      <c r="I8" s="11"/>
      <c r="J8" s="11"/>
      <c r="K8" s="11"/>
      <c r="L8" s="319"/>
    </row>
    <row r="9" spans="1:30" ht="27" customHeight="1">
      <c r="D9" s="807" t="str">
        <f>Translate!$A$32</f>
        <v>EFFC DFI Project Carbon Calculator</v>
      </c>
      <c r="E9" s="808"/>
      <c r="F9" s="808"/>
      <c r="G9" s="808"/>
      <c r="H9" s="808"/>
      <c r="I9" s="808"/>
      <c r="J9" s="808"/>
      <c r="K9" s="808"/>
      <c r="L9" s="809"/>
    </row>
    <row r="10" spans="1:30">
      <c r="D10" s="318"/>
      <c r="E10" s="11"/>
      <c r="F10" s="11"/>
      <c r="G10" s="11"/>
      <c r="H10" s="11"/>
      <c r="I10" s="11"/>
      <c r="J10" s="11"/>
      <c r="K10" s="11"/>
      <c r="L10" s="349" t="str">
        <f>'READ ME'!$E$10</f>
        <v>v4.0</v>
      </c>
    </row>
    <row r="11" spans="1:30" ht="15" customHeight="1">
      <c r="D11" s="318"/>
      <c r="E11" s="98" t="str">
        <f>Translate!$A$145</f>
        <v>Company</v>
      </c>
      <c r="F11" s="314" t="str">
        <f>I4</f>
        <v xml:space="preserve"> </v>
      </c>
      <c r="G11" s="109"/>
      <c r="H11" s="26"/>
      <c r="I11" s="11"/>
      <c r="J11" s="810" t="str">
        <f>Translate!$A$152&amp;" :"</f>
        <v>Emission factor database :</v>
      </c>
      <c r="K11" s="811"/>
      <c r="L11" s="319"/>
    </row>
    <row r="12" spans="1:30" ht="20.25">
      <c r="D12" s="318"/>
      <c r="E12" s="312" t="str">
        <f>Translate!$A$35</f>
        <v>Project</v>
      </c>
      <c r="F12" s="313" t="str">
        <f ca="1">IF(E$1,INDIRECT("'"&amp;E$4&amp;"'!E5"),"")</f>
        <v/>
      </c>
      <c r="G12" s="109"/>
      <c r="H12" s="26"/>
      <c r="I12" s="11"/>
      <c r="J12" s="812" t="str">
        <f>'READ ME'!F18</f>
        <v>EFFC DFI methodology recommended emission factors</v>
      </c>
      <c r="K12" s="813"/>
      <c r="L12" s="319"/>
      <c r="P12" s="351"/>
    </row>
    <row r="13" spans="1:30">
      <c r="D13" s="318"/>
      <c r="E13" s="334" t="str">
        <f>Translate!$A$8</f>
        <v>DATE</v>
      </c>
      <c r="F13" s="350" t="str">
        <f ca="1">IF(E$1,INDIRECT("'"&amp;E$4&amp;"'!E7"),"")</f>
        <v/>
      </c>
      <c r="G13" s="11"/>
      <c r="H13" s="11"/>
      <c r="I13" s="11"/>
      <c r="J13" s="814"/>
      <c r="K13" s="815"/>
      <c r="L13" s="319"/>
      <c r="P13" s="352"/>
    </row>
    <row r="14" spans="1:30">
      <c r="D14" s="318"/>
      <c r="E14" s="334" t="str">
        <f>Translate!$A$66</f>
        <v>Author</v>
      </c>
      <c r="F14" s="350" t="str">
        <f ca="1">IF(E$1,INDIRECT("'"&amp;E$4&amp;"'!E8"),"")</f>
        <v/>
      </c>
      <c r="G14" s="11"/>
      <c r="H14" s="11"/>
      <c r="I14" s="11"/>
      <c r="J14" s="326" t="str">
        <f ca="1">IF('Emission factors'!C250=0,"",'Emission factors'!C250)</f>
        <v/>
      </c>
      <c r="K14" s="327" t="str">
        <f ca="1">IF('Emission factors'!C250=0,"",Translate!$A$153)</f>
        <v/>
      </c>
      <c r="L14" s="319"/>
    </row>
    <row r="15" spans="1:30">
      <c r="D15" s="318"/>
      <c r="E15" s="11"/>
      <c r="F15" s="11"/>
      <c r="G15" s="11"/>
      <c r="H15" s="11"/>
      <c r="I15" s="11"/>
      <c r="J15" s="11"/>
      <c r="K15" s="11"/>
      <c r="L15" s="319"/>
    </row>
    <row r="16" spans="1:30" ht="15.75">
      <c r="B16" s="325"/>
      <c r="D16" s="318"/>
      <c r="E16" s="110" t="str">
        <f ca="1">IF(F16="","",Translate!$A$70)</f>
        <v/>
      </c>
      <c r="F16" s="322" t="str">
        <f ca="1">IF(AND($E$1,$AD$1=0),INDIRECT("'"&amp;$E$4&amp;"'!E12"),"")</f>
        <v/>
      </c>
      <c r="G16" s="26"/>
      <c r="H16" s="11"/>
      <c r="I16" s="114" t="str">
        <f>Translate!$A$134</f>
        <v>Total</v>
      </c>
      <c r="J16" s="323" t="str">
        <f ca="1">IF(E1=0,"",IF(B31=0,0,ROUND(B31,-ROUNDDOWN(LOG(ABS(B31)),0)+1)))</f>
        <v/>
      </c>
      <c r="K16" s="115" t="str">
        <f>Translate!$A$115</f>
        <v>tCO2e</v>
      </c>
      <c r="L16" s="319"/>
    </row>
    <row r="17" spans="1:14">
      <c r="A17" s="309">
        <f ca="1">IF(SUM(F17)=0,0,$J$16/F17*1000)</f>
        <v>0</v>
      </c>
      <c r="B17" s="309"/>
      <c r="D17" s="318"/>
      <c r="E17" s="111" t="str">
        <f>Translate!$A$69</f>
        <v>Project value</v>
      </c>
      <c r="F17" s="321" t="str">
        <f ca="1">IF(E$1,INDIRECT("'"&amp;E$4&amp;"'!E11"),"")</f>
        <v/>
      </c>
      <c r="G17" s="112" t="str">
        <f ca="1">IF(E$1,INDIRECT("'"&amp;E$4&amp;"'!F11"),"")</f>
        <v/>
      </c>
      <c r="H17" s="11"/>
      <c r="I17" s="105" t="str">
        <f ca="1">IF($F17=0,"",Translate!$A$150&amp;" "&amp;E17)</f>
        <v>ratio per Project value</v>
      </c>
      <c r="J17" s="324" t="str">
        <f ca="1">IF(A17=0,"",ROUND(A17*IF(N17,1000,1),-ROUNDDOWN(LOG(ABS(A17*IF(N17,1000,1))),0)+1))</f>
        <v/>
      </c>
      <c r="K17" s="26" t="str">
        <f ca="1">IF($F17=0,"",IF(N17,Translate!$A$155,Translate!$A$154)&amp;G17)</f>
        <v xml:space="preserve">kgCO2e / </v>
      </c>
      <c r="L17" s="319"/>
      <c r="N17" s="711" t="b">
        <v>0</v>
      </c>
    </row>
    <row r="18" spans="1:14">
      <c r="A18" s="309">
        <f ca="1">IF(SUM(F18)=0,0,$J$16/F18*1000)</f>
        <v>0</v>
      </c>
      <c r="B18" s="309"/>
      <c r="D18" s="318"/>
      <c r="E18" s="105" t="str">
        <f ca="1">IF(AND($E$1,$AB$1=0),INDIRECT("'"&amp;$E$4&amp;"'!D13"),"")</f>
        <v/>
      </c>
      <c r="F18" s="322" t="str">
        <f ca="1">IF(AND($E$1,$AB$1=0),INDIRECT("'"&amp;$E$4&amp;"'!E13"),"")</f>
        <v/>
      </c>
      <c r="G18" s="26" t="str">
        <f ca="1">IF(AND($E$1,$AB$1=0),INDIRECT("'"&amp;$E$4&amp;"'!F13"),"")</f>
        <v/>
      </c>
      <c r="H18" s="11"/>
      <c r="I18" s="105" t="str">
        <f ca="1">IF(SUM($F18)=0,"",Translate!$A$150&amp;" "&amp;E18)</f>
        <v/>
      </c>
      <c r="J18" s="324" t="str">
        <f ca="1">IF(A18=0,"",ROUND(A18*IF(N18,1000,1),-ROUNDDOWN(LOG(ABS(A18*IF(N18,1000,1))),0)+1))</f>
        <v/>
      </c>
      <c r="K18" s="26" t="str">
        <f ca="1">IF(SUM($F18)=0,"",IF(N18,Translate!$A$155,Translate!$A$154)&amp;G18)</f>
        <v/>
      </c>
      <c r="L18" s="319"/>
      <c r="N18" s="711" t="b">
        <v>0</v>
      </c>
    </row>
    <row r="19" spans="1:14">
      <c r="A19" s="309">
        <f ca="1">IF(SUM(F19)=0,0,$J$16/F19*1000)</f>
        <v>0</v>
      </c>
      <c r="B19" s="309"/>
      <c r="D19" s="318"/>
      <c r="E19" s="105" t="str">
        <f ca="1">IF(AND($E$1,$AB$2=0),INDIRECT("'"&amp;$E$4&amp;"'!D14"),"")</f>
        <v/>
      </c>
      <c r="F19" s="322" t="str">
        <f ca="1">IF(AND($E$1,$AB$2=0),INDIRECT("'"&amp;$E$4&amp;"'!E14"),"")</f>
        <v/>
      </c>
      <c r="G19" s="26" t="str">
        <f ca="1">IF(AND($E$1,$AB$2=0),INDIRECT("'"&amp;$E$4&amp;"'!F14"),"")</f>
        <v/>
      </c>
      <c r="H19" s="11"/>
      <c r="I19" s="105" t="str">
        <f ca="1">IF(SUM($F19)=0,"",Translate!$A$150&amp;" "&amp;E19)</f>
        <v/>
      </c>
      <c r="J19" s="324" t="str">
        <f ca="1">IF(A19=0,"",ROUND(A19*IF(N19,1000,1),-ROUNDDOWN(LOG(ABS(A19*IF(N19,1000,1))),0)+1))</f>
        <v/>
      </c>
      <c r="K19" s="26" t="str">
        <f ca="1">IF(SUM($F19)=0,"",IF(N19,Translate!$A$155,Translate!$A$154)&amp;G19)</f>
        <v/>
      </c>
      <c r="L19" s="319"/>
      <c r="N19" s="711" t="b">
        <v>0</v>
      </c>
    </row>
    <row r="20" spans="1:14">
      <c r="D20" s="318"/>
      <c r="E20" s="11"/>
      <c r="F20" s="11"/>
      <c r="G20" s="11"/>
      <c r="H20" s="11"/>
      <c r="I20" s="11"/>
      <c r="J20" s="11"/>
      <c r="K20" s="11"/>
      <c r="L20" s="319"/>
    </row>
    <row r="21" spans="1:14">
      <c r="A21" s="95" t="str">
        <f>ADDRESS(ROW(P7),COLUMN(P7))</f>
        <v>$P$7</v>
      </c>
      <c r="B21" s="95" t="str">
        <f ca="1">IF(E$1,INDIRECT("'"&amp;E$4&amp;"'!"&amp;$A21),"")</f>
        <v/>
      </c>
      <c r="D21" s="318"/>
      <c r="E21" s="105" t="str">
        <f>Translate!$A$104</f>
        <v>Materials</v>
      </c>
      <c r="F21" s="113" t="str">
        <f ca="1">IF(E1=0,"",IF(B21=0,0,ROUND(B21,-ROUNDDOWN(LOG(ABS(B21)),0)+1)))</f>
        <v/>
      </c>
      <c r="G21" s="11"/>
      <c r="H21" s="11"/>
      <c r="I21" s="11"/>
      <c r="J21" s="11"/>
      <c r="K21" s="11"/>
      <c r="L21" s="319"/>
    </row>
    <row r="22" spans="1:14">
      <c r="A22" s="95" t="str">
        <f>ADDRESS(ROW(AJ2),COLUMN(AJ2))</f>
        <v>$AJ$2</v>
      </c>
      <c r="B22" s="95" t="str">
        <f ca="1">IF(E$1,INDIRECT("'"&amp;E$4&amp;"'!"&amp;$A22),"")</f>
        <v/>
      </c>
      <c r="D22" s="318"/>
      <c r="E22" s="392" t="str">
        <f>Translate!$A$73</f>
        <v>Concrete / Slurry / Grout mix</v>
      </c>
      <c r="F22" s="429" t="str">
        <f ca="1">IF(E1=0,"",IF(B22=0,0,ROUND(B22,-ROUNDDOWN(LOG(ABS(B22)),0)+1)))</f>
        <v/>
      </c>
      <c r="G22" s="11"/>
      <c r="H22" s="11"/>
      <c r="I22" s="11"/>
      <c r="J22" s="11"/>
      <c r="K22" s="11"/>
      <c r="L22" s="319"/>
    </row>
    <row r="23" spans="1:14">
      <c r="A23" s="95" t="str">
        <f>ADDRESS(ROW(AK2),COLUMN(AK2))</f>
        <v>$AK$2</v>
      </c>
      <c r="B23" s="95" t="str">
        <f ca="1">IF(E$1,INDIRECT("'"&amp;E$4&amp;"'!"&amp;$A23),"")</f>
        <v/>
      </c>
      <c r="D23" s="318"/>
      <c r="E23" s="392" t="str">
        <f>Translate!$A$138</f>
        <v>Steel</v>
      </c>
      <c r="F23" s="429" t="str">
        <f ca="1">IF(E1=0,"",IF(B23=0,0,ROUND(B23,-ROUNDDOWN(LOG(ABS(B23)),0)+1)))</f>
        <v/>
      </c>
      <c r="G23" s="11"/>
      <c r="H23" s="11"/>
      <c r="I23" s="11"/>
      <c r="J23" s="11"/>
      <c r="K23" s="11"/>
      <c r="L23" s="319"/>
    </row>
    <row r="24" spans="1:14">
      <c r="A24" s="95" t="str">
        <f>ADDRESS(ROW(AL2),COLUMN(AL2))</f>
        <v>$AL$2</v>
      </c>
      <c r="B24" s="95" t="str">
        <f ca="1">IF(E$1,INDIRECT("'"&amp;E$4&amp;"'!"&amp;$A24),"")</f>
        <v/>
      </c>
      <c r="D24" s="318"/>
      <c r="E24" s="392" t="str">
        <f>Translate!$A$118</f>
        <v>Other</v>
      </c>
      <c r="F24" s="429" t="str">
        <f ca="1">IF(E1=0,"",IF(B24=0,0,ROUND(B24,-ROUNDDOWN(LOG(ABS(B24)),0)+1)))</f>
        <v/>
      </c>
      <c r="G24" s="11"/>
      <c r="H24" s="11"/>
      <c r="I24" s="11"/>
      <c r="J24" s="11"/>
      <c r="K24" s="11"/>
      <c r="L24" s="319"/>
    </row>
    <row r="25" spans="1:14">
      <c r="A25" s="95" t="str">
        <f t="shared" ref="A25:A31" si="0">ADDRESS(ROW(P8),COLUMN(P8))</f>
        <v>$P$8</v>
      </c>
      <c r="B25" s="95" t="str">
        <f t="shared" ref="B25:B31" ca="1" si="1">IF(E$1,INDIRECT("'"&amp;E$4&amp;"'!"&amp;$A25),"")</f>
        <v/>
      </c>
      <c r="D25" s="318"/>
      <c r="E25" s="105" t="str">
        <f>Translate!$A$105</f>
        <v>Energy</v>
      </c>
      <c r="F25" s="113" t="str">
        <f ca="1">IF(E1=0,"",IF(B25=0,0,ROUND(B25,-ROUNDDOWN(LOG(ABS(B25)),0)+1)))</f>
        <v/>
      </c>
      <c r="G25" s="11"/>
      <c r="H25" s="11"/>
      <c r="I25" s="11"/>
      <c r="J25" s="11"/>
      <c r="K25" s="11"/>
      <c r="L25" s="319"/>
    </row>
    <row r="26" spans="1:14">
      <c r="A26" s="95" t="str">
        <f t="shared" si="0"/>
        <v>$P$9</v>
      </c>
      <c r="B26" s="95" t="str">
        <f t="shared" ca="1" si="1"/>
        <v/>
      </c>
      <c r="D26" s="318"/>
      <c r="E26" s="105" t="str">
        <f>Translate!$A$106</f>
        <v>Freight</v>
      </c>
      <c r="F26" s="113" t="str">
        <f ca="1">IF(E1=0,"",IF(B26=0,0,ROUND(B26,-ROUNDDOWN(LOG(ABS(B26)),0)+1)))</f>
        <v/>
      </c>
      <c r="G26" s="11"/>
      <c r="H26" s="11"/>
      <c r="I26" s="11"/>
      <c r="J26" s="11"/>
      <c r="K26" s="11"/>
      <c r="L26" s="319"/>
    </row>
    <row r="27" spans="1:14">
      <c r="A27" s="95" t="str">
        <f t="shared" si="0"/>
        <v>$P$10</v>
      </c>
      <c r="B27" s="95" t="str">
        <f t="shared" ca="1" si="1"/>
        <v/>
      </c>
      <c r="D27" s="318"/>
      <c r="E27" s="105" t="str">
        <f>Translate!$A$107</f>
        <v>Mob/demob</v>
      </c>
      <c r="F27" s="113" t="str">
        <f ca="1">IF(E1=0,"",IF(B27=0,0,ROUND(B27,-ROUNDDOWN(LOG(ABS(B27)),0)+1)))</f>
        <v/>
      </c>
      <c r="G27" s="11"/>
      <c r="H27" s="11"/>
      <c r="I27" s="11"/>
      <c r="J27" s="11"/>
      <c r="K27" s="11"/>
      <c r="L27" s="319"/>
    </row>
    <row r="28" spans="1:14">
      <c r="A28" s="95" t="str">
        <f t="shared" si="0"/>
        <v>$P$11</v>
      </c>
      <c r="B28" s="95" t="str">
        <f t="shared" ca="1" si="1"/>
        <v/>
      </c>
      <c r="D28" s="318"/>
      <c r="E28" s="105" t="str">
        <f>Translate!$A$108</f>
        <v>People's transportation</v>
      </c>
      <c r="F28" s="113" t="str">
        <f ca="1">IF(E1=0,"",IF(B28=0,0,ROUND(B28,-ROUNDDOWN(LOG(ABS(B28)),0)+1)))</f>
        <v/>
      </c>
      <c r="G28" s="11"/>
      <c r="H28" s="11"/>
      <c r="I28" s="11"/>
      <c r="J28" s="11"/>
      <c r="K28" s="11"/>
      <c r="L28" s="319"/>
    </row>
    <row r="29" spans="1:14">
      <c r="A29" s="95" t="str">
        <f t="shared" si="0"/>
        <v>$P$12</v>
      </c>
      <c r="B29" s="95" t="str">
        <f t="shared" ca="1" si="1"/>
        <v/>
      </c>
      <c r="D29" s="318"/>
      <c r="E29" s="105" t="str">
        <f>Translate!$A$109</f>
        <v>Assets</v>
      </c>
      <c r="F29" s="113" t="str">
        <f ca="1">IF(E1=0,"",IF(B29=0,0,ROUND(B29,-ROUNDDOWN(LOG(ABS(B29)),0)+1)))</f>
        <v/>
      </c>
      <c r="G29" s="11"/>
      <c r="H29" s="11"/>
      <c r="I29" s="11"/>
      <c r="J29" s="11"/>
      <c r="K29" s="11"/>
      <c r="L29" s="319"/>
    </row>
    <row r="30" spans="1:14">
      <c r="A30" s="95" t="str">
        <f t="shared" si="0"/>
        <v>$P$13</v>
      </c>
      <c r="B30" s="95" t="str">
        <f t="shared" ca="1" si="1"/>
        <v/>
      </c>
      <c r="D30" s="318"/>
      <c r="E30" s="105" t="str">
        <f>Translate!$A$110</f>
        <v>Waste</v>
      </c>
      <c r="F30" s="113" t="str">
        <f ca="1">IF(E1=0,"",IF(B30=0,0,ROUND(B30,-ROUNDDOWN(LOG(ABS(B30)),0)+1)))</f>
        <v/>
      </c>
      <c r="G30" s="11"/>
      <c r="H30" s="11"/>
      <c r="I30" s="11"/>
      <c r="J30" s="11"/>
      <c r="K30" s="11"/>
      <c r="L30" s="319"/>
    </row>
    <row r="31" spans="1:14">
      <c r="A31" s="95" t="str">
        <f t="shared" si="0"/>
        <v>$P$14</v>
      </c>
      <c r="B31" s="95" t="str">
        <f t="shared" ca="1" si="1"/>
        <v/>
      </c>
      <c r="D31" s="318"/>
      <c r="E31" s="11"/>
      <c r="F31" s="11"/>
      <c r="G31" s="11"/>
      <c r="H31" s="11"/>
      <c r="I31" s="11"/>
      <c r="J31" s="11"/>
      <c r="K31" s="11"/>
      <c r="L31" s="319"/>
    </row>
    <row r="32" spans="1:14">
      <c r="D32" s="318"/>
      <c r="E32" s="11"/>
      <c r="F32" s="11"/>
      <c r="G32" s="11"/>
      <c r="H32" s="11"/>
      <c r="I32" s="11"/>
      <c r="J32" s="11"/>
      <c r="K32" s="11"/>
      <c r="L32" s="319"/>
    </row>
    <row r="33" spans="4:12">
      <c r="D33" s="318"/>
      <c r="E33" s="11"/>
      <c r="F33" s="11"/>
      <c r="G33" s="11"/>
      <c r="H33" s="11"/>
      <c r="I33" s="11"/>
      <c r="J33" s="11"/>
      <c r="K33" s="11"/>
      <c r="L33" s="319"/>
    </row>
    <row r="34" spans="4:12">
      <c r="D34" s="318"/>
      <c r="E34" s="11"/>
      <c r="F34" s="11"/>
      <c r="G34" s="11"/>
      <c r="H34" s="11"/>
      <c r="I34" s="11"/>
      <c r="J34" s="11"/>
      <c r="K34" s="11"/>
      <c r="L34" s="319"/>
    </row>
    <row r="35" spans="4:12">
      <c r="D35" s="318"/>
      <c r="E35" s="11"/>
      <c r="F35" s="11"/>
      <c r="G35" s="11"/>
      <c r="H35" s="11"/>
      <c r="I35" s="11"/>
      <c r="J35" s="11"/>
      <c r="K35" s="11"/>
      <c r="L35" s="319"/>
    </row>
    <row r="36" spans="4:12" ht="72" customHeight="1">
      <c r="D36" s="318"/>
      <c r="E36" s="11"/>
      <c r="F36" s="11"/>
      <c r="G36" s="11"/>
      <c r="H36" s="11"/>
      <c r="I36" s="11"/>
      <c r="J36" s="11"/>
      <c r="K36" s="11"/>
      <c r="L36" s="319"/>
    </row>
    <row r="37" spans="4:12" ht="117" customHeight="1">
      <c r="D37" s="318"/>
      <c r="E37" s="11"/>
      <c r="F37" s="11"/>
      <c r="G37" s="11"/>
      <c r="H37" s="11"/>
      <c r="I37" s="11"/>
      <c r="J37" s="11"/>
      <c r="K37" s="11"/>
      <c r="L37" s="319"/>
    </row>
    <row r="38" spans="4:12" ht="20.100000000000001" customHeight="1">
      <c r="D38" s="318"/>
      <c r="E38" s="653" t="str">
        <f>Translate!$A$11</f>
        <v>Activities covered</v>
      </c>
      <c r="F38" s="11"/>
      <c r="G38" s="11"/>
      <c r="H38" s="11"/>
      <c r="I38" s="11"/>
      <c r="J38" s="11"/>
      <c r="K38" s="11"/>
      <c r="L38" s="319"/>
    </row>
    <row r="39" spans="4:12" ht="60.75" customHeight="1">
      <c r="D39" s="318"/>
      <c r="E39" s="816"/>
      <c r="F39" s="817"/>
      <c r="G39" s="817"/>
      <c r="H39" s="817"/>
      <c r="I39" s="817"/>
      <c r="J39" s="817"/>
      <c r="K39" s="818"/>
      <c r="L39" s="319"/>
    </row>
    <row r="40" spans="4:12">
      <c r="D40" s="318"/>
      <c r="E40" s="11"/>
      <c r="F40" s="11"/>
      <c r="G40" s="11"/>
      <c r="H40" s="11"/>
      <c r="I40" s="11"/>
      <c r="J40" s="11"/>
      <c r="K40" s="11"/>
      <c r="L40" s="319"/>
    </row>
    <row r="41" spans="4:12">
      <c r="D41" s="330"/>
      <c r="E41" s="331" t="str">
        <f ca="1">IF('Emission factors'!C250=0,"",Translate!$A$146)</f>
        <v/>
      </c>
      <c r="F41" s="331"/>
      <c r="G41" s="331"/>
      <c r="H41" s="331"/>
      <c r="I41" s="331"/>
      <c r="J41" s="331"/>
      <c r="K41" s="331"/>
      <c r="L41" s="332"/>
    </row>
    <row r="42" spans="4:12">
      <c r="D42" s="333" t="str">
        <f ca="1">IF('Emission factors'!$C$250&gt;D41,D41+1,"")</f>
        <v/>
      </c>
      <c r="E42" s="11" t="str">
        <f ca="1">IF($D42="","",VLOOKUP($D42,'Emission factors'!$C$251:$G$280,COLUMN('Emission factors'!D$250)-2,0))</f>
        <v/>
      </c>
      <c r="F42" s="11" t="str">
        <f ca="1">IF($D42="","",VLOOKUP($D42,'Emission factors'!$C$251:$G$280,COLUMN('Emission factors'!E$250)-2,0))</f>
        <v/>
      </c>
      <c r="G42" s="11" t="str">
        <f ca="1">IF($D42="","",VLOOKUP($D42,'Emission factors'!$C$251:$G$280,COLUMN('Emission factors'!F$250)-2,0))</f>
        <v/>
      </c>
      <c r="H42" s="133"/>
      <c r="I42" s="11" t="str">
        <f ca="1">IF($D42="","",VLOOKUP($D42,'Emission factors'!$C$251:$G$280,COLUMN('Emission factors'!G$250)-2,0))</f>
        <v/>
      </c>
      <c r="J42" s="11"/>
      <c r="K42" s="11"/>
      <c r="L42" s="319"/>
    </row>
    <row r="43" spans="4:12">
      <c r="D43" s="333" t="str">
        <f ca="1">IF('Emission factors'!$C$250&gt;D42,D42+1,"")</f>
        <v/>
      </c>
      <c r="E43" s="11" t="str">
        <f ca="1">IF($D43="","",VLOOKUP($D43,'Emission factors'!$C$251:$G$280,COLUMN('Emission factors'!D$250)-2,0))</f>
        <v/>
      </c>
      <c r="F43" s="11" t="str">
        <f ca="1">IF($D43="","",VLOOKUP($D43,'Emission factors'!$C$251:$G$280,COLUMN('Emission factors'!E$250)-2,0))</f>
        <v/>
      </c>
      <c r="G43" s="11" t="str">
        <f ca="1">IF($D43="","",VLOOKUP($D43,'Emission factors'!$C$251:$G$280,COLUMN('Emission factors'!F$250)-2,0))</f>
        <v/>
      </c>
      <c r="H43" s="133"/>
      <c r="I43" s="11" t="str">
        <f ca="1">IF($D43="","",VLOOKUP($D43,'Emission factors'!$C$251:$G$280,COLUMN('Emission factors'!G$250)-2,0))</f>
        <v/>
      </c>
      <c r="J43" s="11"/>
      <c r="K43" s="11"/>
      <c r="L43" s="319"/>
    </row>
    <row r="44" spans="4:12">
      <c r="D44" s="333" t="str">
        <f ca="1">IF('Emission factors'!$C$250&gt;D43,D43+1,"")</f>
        <v/>
      </c>
      <c r="E44" s="11" t="str">
        <f ca="1">IF($D44="","",VLOOKUP($D44,'Emission factors'!$C$251:$G$280,COLUMN('Emission factors'!D$250)-2,0))</f>
        <v/>
      </c>
      <c r="F44" s="11" t="str">
        <f ca="1">IF($D44="","",VLOOKUP($D44,'Emission factors'!$C$251:$G$280,COLUMN('Emission factors'!E$250)-2,0))</f>
        <v/>
      </c>
      <c r="G44" s="11" t="str">
        <f ca="1">IF($D44="","",VLOOKUP($D44,'Emission factors'!$C$251:$G$280,COLUMN('Emission factors'!F$250)-2,0))</f>
        <v/>
      </c>
      <c r="H44" s="133"/>
      <c r="I44" s="11" t="str">
        <f ca="1">IF($D44="","",VLOOKUP($D44,'Emission factors'!$C$251:$G$280,COLUMN('Emission factors'!G$250)-2,0))</f>
        <v/>
      </c>
      <c r="J44" s="11"/>
      <c r="K44" s="11"/>
      <c r="L44" s="319"/>
    </row>
    <row r="45" spans="4:12">
      <c r="D45" s="333" t="str">
        <f ca="1">IF('Emission factors'!$C$250&gt;D44,D44+1,"")</f>
        <v/>
      </c>
      <c r="E45" s="11" t="str">
        <f ca="1">IF($D45="","",VLOOKUP($D45,'Emission factors'!$C$251:$G$280,COLUMN('Emission factors'!D$250)-2,0))</f>
        <v/>
      </c>
      <c r="F45" s="11" t="str">
        <f ca="1">IF($D45="","",VLOOKUP($D45,'Emission factors'!$C$251:$G$280,COLUMN('Emission factors'!E$250)-2,0))</f>
        <v/>
      </c>
      <c r="G45" s="11" t="str">
        <f ca="1">IF($D45="","",VLOOKUP($D45,'Emission factors'!$C$251:$G$280,COLUMN('Emission factors'!F$250)-2,0))</f>
        <v/>
      </c>
      <c r="H45" s="133"/>
      <c r="I45" s="11" t="str">
        <f ca="1">IF($D45="","",VLOOKUP($D45,'Emission factors'!$C$251:$G$280,COLUMN('Emission factors'!G$250)-2,0))</f>
        <v/>
      </c>
      <c r="J45" s="11"/>
      <c r="K45" s="11"/>
      <c r="L45" s="319"/>
    </row>
    <row r="46" spans="4:12">
      <c r="D46" s="333" t="str">
        <f ca="1">IF('Emission factors'!$C$250&gt;D45,D45+1,"")</f>
        <v/>
      </c>
      <c r="E46" s="11" t="str">
        <f ca="1">IF($D46="","",VLOOKUP($D46,'Emission factors'!$C$251:$G$280,COLUMN('Emission factors'!D$250)-2,0))</f>
        <v/>
      </c>
      <c r="F46" s="11" t="str">
        <f ca="1">IF($D46="","",VLOOKUP($D46,'Emission factors'!$C$251:$G$280,COLUMN('Emission factors'!E$250)-2,0))</f>
        <v/>
      </c>
      <c r="G46" s="11" t="str">
        <f ca="1">IF($D46="","",VLOOKUP($D46,'Emission factors'!$C$251:$G$280,COLUMN('Emission factors'!F$250)-2,0))</f>
        <v/>
      </c>
      <c r="H46" s="133"/>
      <c r="I46" s="11" t="str">
        <f ca="1">IF($D46="","",VLOOKUP($D46,'Emission factors'!$C$251:$G$280,COLUMN('Emission factors'!G$250)-2,0))</f>
        <v/>
      </c>
      <c r="J46" s="11"/>
      <c r="K46" s="11"/>
      <c r="L46" s="319"/>
    </row>
    <row r="47" spans="4:12">
      <c r="D47" s="333" t="str">
        <f ca="1">IF('Emission factors'!$C$250&gt;D46,D46+1,"")</f>
        <v/>
      </c>
      <c r="E47" s="11" t="str">
        <f ca="1">IF($D47="","",VLOOKUP($D47,'Emission factors'!$C$251:$G$280,COLUMN('Emission factors'!D$250)-2,0))</f>
        <v/>
      </c>
      <c r="F47" s="11" t="str">
        <f ca="1">IF($D47="","",VLOOKUP($D47,'Emission factors'!$C$251:$G$280,COLUMN('Emission factors'!E$250)-2,0))</f>
        <v/>
      </c>
      <c r="G47" s="11" t="str">
        <f ca="1">IF($D47="","",VLOOKUP($D47,'Emission factors'!$C$251:$G$280,COLUMN('Emission factors'!F$250)-2,0))</f>
        <v/>
      </c>
      <c r="H47" s="133"/>
      <c r="I47" s="11" t="str">
        <f ca="1">IF($D47="","",VLOOKUP($D47,'Emission factors'!$C$251:$G$280,COLUMN('Emission factors'!G$250)-2,0))</f>
        <v/>
      </c>
      <c r="J47" s="11"/>
      <c r="K47" s="11"/>
      <c r="L47" s="319"/>
    </row>
    <row r="48" spans="4:12">
      <c r="D48" s="333" t="str">
        <f ca="1">IF('Emission factors'!$C$250&gt;D47,D47+1,"")</f>
        <v/>
      </c>
      <c r="E48" s="11" t="str">
        <f ca="1">IF($D48="","",VLOOKUP($D48,'Emission factors'!$C$251:$G$280,COLUMN('Emission factors'!D$250)-2,0))</f>
        <v/>
      </c>
      <c r="F48" s="11" t="str">
        <f ca="1">IF($D48="","",VLOOKUP($D48,'Emission factors'!$C$251:$G$280,COLUMN('Emission factors'!E$250)-2,0))</f>
        <v/>
      </c>
      <c r="G48" s="11" t="str">
        <f ca="1">IF($D48="","",VLOOKUP($D48,'Emission factors'!$C$251:$G$280,COLUMN('Emission factors'!F$250)-2,0))</f>
        <v/>
      </c>
      <c r="H48" s="133"/>
      <c r="I48" s="11" t="str">
        <f ca="1">IF($D48="","",VLOOKUP($D48,'Emission factors'!$C$251:$G$280,COLUMN('Emission factors'!G$250)-2,0))</f>
        <v/>
      </c>
      <c r="J48" s="11"/>
      <c r="K48" s="11"/>
      <c r="L48" s="319"/>
    </row>
    <row r="49" spans="4:12">
      <c r="D49" s="333" t="str">
        <f ca="1">IF('Emission factors'!$C$250&gt;D48,D48+1,"")</f>
        <v/>
      </c>
      <c r="E49" s="11" t="str">
        <f ca="1">IF($D49="","",VLOOKUP($D49,'Emission factors'!$C$251:$G$280,COLUMN('Emission factors'!D$250)-2,0))</f>
        <v/>
      </c>
      <c r="F49" s="11" t="str">
        <f ca="1">IF($D49="","",VLOOKUP($D49,'Emission factors'!$C$251:$G$280,COLUMN('Emission factors'!E$250)-2,0))</f>
        <v/>
      </c>
      <c r="G49" s="11" t="str">
        <f ca="1">IF($D49="","",VLOOKUP($D49,'Emission factors'!$C$251:$G$280,COLUMN('Emission factors'!F$250)-2,0))</f>
        <v/>
      </c>
      <c r="H49" s="133"/>
      <c r="I49" s="11" t="str">
        <f ca="1">IF($D49="","",VLOOKUP($D49,'Emission factors'!$C$251:$G$280,COLUMN('Emission factors'!G$250)-2,0))</f>
        <v/>
      </c>
      <c r="J49" s="11"/>
      <c r="K49" s="11"/>
      <c r="L49" s="319"/>
    </row>
    <row r="50" spans="4:12" ht="15.75" thickBot="1">
      <c r="D50" s="554"/>
      <c r="E50" s="555"/>
      <c r="F50" s="556" t="str">
        <f ca="1">IF(W1,Translate!$A$147,"")</f>
        <v/>
      </c>
      <c r="G50" s="555"/>
      <c r="H50" s="555"/>
      <c r="I50" s="557" t="str">
        <f ca="1">IF(U1,Translate!$A$151,"")</f>
        <v/>
      </c>
      <c r="J50" s="555"/>
      <c r="K50" s="555"/>
      <c r="L50" s="558"/>
    </row>
    <row r="65" spans="3:8">
      <c r="C65" s="390" t="str">
        <f>Translate!$A$104</f>
        <v>Materials</v>
      </c>
      <c r="D65" s="391"/>
      <c r="E65" s="390" t="str">
        <f ca="1">B22</f>
        <v/>
      </c>
      <c r="F65" s="390" t="str">
        <f ca="1">B23</f>
        <v/>
      </c>
      <c r="G65" s="390" t="str">
        <f ca="1">B24</f>
        <v/>
      </c>
      <c r="H65" s="391" t="e">
        <f ca="1">IF(B21=0,0,ROUND(B21,-ROUNDDOWN(LOG(ABS(B21)),0)+1))</f>
        <v>#VALUE!</v>
      </c>
    </row>
    <row r="66" spans="3:8">
      <c r="C66" s="390" t="str">
        <f>Translate!$A$105</f>
        <v>Energy</v>
      </c>
      <c r="D66" s="391" t="str">
        <f t="shared" ref="D66:D71" ca="1" si="2">B25</f>
        <v/>
      </c>
      <c r="H66" s="391" t="e">
        <f t="shared" ref="H66:H71" ca="1" si="3">IF(D66=0,0,ROUND(D66,-ROUNDDOWN(LOG(ABS(D66)),0)+1))</f>
        <v>#VALUE!</v>
      </c>
    </row>
    <row r="67" spans="3:8">
      <c r="C67" s="390" t="str">
        <f>Translate!$A$106</f>
        <v>Freight</v>
      </c>
      <c r="D67" s="391" t="str">
        <f t="shared" ca="1" si="2"/>
        <v/>
      </c>
      <c r="H67" s="391" t="e">
        <f t="shared" ca="1" si="3"/>
        <v>#VALUE!</v>
      </c>
    </row>
    <row r="68" spans="3:8">
      <c r="C68" s="390" t="str">
        <f>Translate!$A$107</f>
        <v>Mob/demob</v>
      </c>
      <c r="D68" s="391" t="str">
        <f t="shared" ca="1" si="2"/>
        <v/>
      </c>
      <c r="H68" s="391" t="e">
        <f t="shared" ca="1" si="3"/>
        <v>#VALUE!</v>
      </c>
    </row>
    <row r="69" spans="3:8">
      <c r="C69" s="390" t="str">
        <f>Translate!$A$108</f>
        <v>People's transportation</v>
      </c>
      <c r="D69" s="391" t="str">
        <f t="shared" ca="1" si="2"/>
        <v/>
      </c>
      <c r="H69" s="391" t="e">
        <f t="shared" ca="1" si="3"/>
        <v>#VALUE!</v>
      </c>
    </row>
    <row r="70" spans="3:8">
      <c r="C70" s="390" t="str">
        <f>Translate!$A$109</f>
        <v>Assets</v>
      </c>
      <c r="D70" s="391" t="str">
        <f t="shared" ca="1" si="2"/>
        <v/>
      </c>
      <c r="H70" s="391" t="e">
        <f t="shared" ca="1" si="3"/>
        <v>#VALUE!</v>
      </c>
    </row>
    <row r="71" spans="3:8">
      <c r="C71" s="390" t="str">
        <f>Translate!$A$110</f>
        <v>Waste</v>
      </c>
      <c r="D71" s="391" t="str">
        <f t="shared" ca="1" si="2"/>
        <v/>
      </c>
      <c r="H71" s="391" t="e">
        <f t="shared" ca="1" si="3"/>
        <v>#VALUE!</v>
      </c>
    </row>
  </sheetData>
  <sheetProtection password="C67E" sheet="1" objects="1" scenarios="1" formatColumns="0" formatRows="0"/>
  <dataConsolidate/>
  <mergeCells count="5">
    <mergeCell ref="C4:D4"/>
    <mergeCell ref="D9:L9"/>
    <mergeCell ref="J11:K11"/>
    <mergeCell ref="J12:K13"/>
    <mergeCell ref="E39:K39"/>
  </mergeCells>
  <conditionalFormatting sqref="E16:G16">
    <cfRule type="expression" dxfId="1" priority="2">
      <formula>IF($AD$1&gt;0,1,0)</formula>
    </cfRule>
  </conditionalFormatting>
  <conditionalFormatting sqref="E39:K39">
    <cfRule type="expression" dxfId="0" priority="1">
      <formula>ISBLANK($E$39)</formula>
    </cfRule>
  </conditionalFormatting>
  <dataValidations count="1">
    <dataValidation type="list" allowBlank="1" showInputMessage="1" showErrorMessage="1" sqref="E4" xr:uid="{E33FA8AF-6258-4A5C-9051-7A721D8A6B7F}">
      <formula1>ALLSUBANDPROJECTS</formula1>
    </dataValidation>
  </dataValidations>
  <pageMargins left="0.75000000000000011" right="0.75000000000000011" top="0.75" bottom="0.75" header="0.5" footer="0.5"/>
  <pageSetup paperSize="9" scale="66" orientation="portrait" horizontalDpi="4294967292" verticalDpi="4294967292"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0AA02-14B2-4F5F-8873-3A365514E335}">
  <sheetPr codeName="Feuil12">
    <tabColor theme="1" tint="0.59999389629810485"/>
    <pageSetUpPr fitToPage="1"/>
  </sheetPr>
  <dimension ref="A1:AG221"/>
  <sheetViews>
    <sheetView showGridLines="0" topLeftCell="F12" workbookViewId="0">
      <selection activeCell="J16" sqref="J16"/>
    </sheetView>
  </sheetViews>
  <sheetFormatPr baseColWidth="10" defaultColWidth="10.6640625" defaultRowHeight="15"/>
  <cols>
    <col min="1" max="5" width="10.6640625" style="380" hidden="1" customWidth="1"/>
    <col min="6" max="6" width="2.88671875" style="380" customWidth="1"/>
    <col min="7" max="7" width="7" style="380" customWidth="1"/>
    <col min="8" max="8" width="4.6640625" style="380" customWidth="1"/>
    <col min="9" max="9" width="24.5546875" style="380" customWidth="1"/>
    <col min="10" max="10" width="10.6640625" style="380" customWidth="1"/>
    <col min="11" max="11" width="10.6640625" style="380"/>
    <col min="12" max="12" width="10.6640625" style="380" customWidth="1"/>
    <col min="13" max="13" width="10.6640625" style="380"/>
    <col min="14" max="15" width="10.6640625" style="380" customWidth="1"/>
    <col min="16" max="16" width="8" style="380" hidden="1" customWidth="1"/>
    <col min="17" max="17" width="10.6640625" style="380"/>
    <col min="18" max="18" width="6.5546875" style="380" customWidth="1"/>
    <col min="19" max="19" width="5.5546875" style="380" customWidth="1"/>
    <col min="20" max="20" width="6.33203125" style="380" customWidth="1"/>
    <col min="21" max="21" width="13.33203125" style="380" customWidth="1"/>
    <col min="22" max="22" width="12" style="380" customWidth="1"/>
    <col min="23" max="16384" width="10.6640625" style="380"/>
  </cols>
  <sheetData>
    <row r="1" spans="1:33" hidden="1">
      <c r="A1" s="380" t="s">
        <v>285</v>
      </c>
      <c r="F1" s="95"/>
      <c r="G1" s="96"/>
      <c r="H1" s="96"/>
      <c r="I1" s="96"/>
      <c r="J1" s="96" t="s">
        <v>373</v>
      </c>
      <c r="K1" s="96">
        <f ca="1">SUM(J189:O189,J193:O193)</f>
        <v>0</v>
      </c>
      <c r="L1" s="96"/>
      <c r="M1" s="96"/>
      <c r="N1" s="96"/>
      <c r="O1" s="96"/>
      <c r="P1" s="96"/>
      <c r="Q1" s="96"/>
      <c r="R1" s="96"/>
      <c r="S1" s="96"/>
      <c r="T1" s="96"/>
    </row>
    <row r="2" spans="1:33" hidden="1">
      <c r="F2" s="95"/>
      <c r="G2" s="96"/>
      <c r="H2" s="96"/>
      <c r="I2" s="96"/>
      <c r="J2" s="96" t="s">
        <v>374</v>
      </c>
      <c r="K2" s="96">
        <f ca="1">SUM(J191:O191,J195:O195)</f>
        <v>0</v>
      </c>
      <c r="L2" s="96"/>
      <c r="M2" s="96"/>
      <c r="N2" s="96"/>
      <c r="O2" s="96"/>
      <c r="P2" s="96"/>
      <c r="Q2" s="96"/>
      <c r="R2" s="96"/>
      <c r="S2" s="96"/>
      <c r="T2" s="96"/>
    </row>
    <row r="3" spans="1:33" hidden="1">
      <c r="F3" s="95"/>
      <c r="G3" s="96"/>
      <c r="H3" s="96"/>
      <c r="I3" s="96"/>
      <c r="J3" s="96"/>
      <c r="K3" s="96"/>
      <c r="L3" s="96"/>
      <c r="M3" s="96"/>
      <c r="N3" s="96"/>
      <c r="O3" s="96"/>
      <c r="P3" s="96"/>
      <c r="Q3" s="96"/>
      <c r="R3" s="96"/>
      <c r="S3" s="96"/>
      <c r="T3" s="96"/>
    </row>
    <row r="4" spans="1:33" hidden="1">
      <c r="F4" s="95"/>
      <c r="G4" s="96"/>
      <c r="H4" s="96"/>
      <c r="I4" s="96"/>
      <c r="J4" s="96"/>
      <c r="K4" s="96"/>
      <c r="L4" s="96"/>
      <c r="M4" s="96"/>
      <c r="N4" s="96"/>
      <c r="O4" s="96"/>
      <c r="P4" s="96"/>
      <c r="Q4" s="96"/>
      <c r="R4" s="96"/>
      <c r="S4" s="96"/>
      <c r="T4" s="96"/>
    </row>
    <row r="5" spans="1:33" hidden="1">
      <c r="E5" s="380" t="s">
        <v>447</v>
      </c>
      <c r="F5" s="95"/>
      <c r="G5" s="96"/>
      <c r="H5" s="96"/>
      <c r="I5" s="96"/>
      <c r="J5" s="96"/>
      <c r="K5" s="96"/>
      <c r="L5" s="96"/>
      <c r="M5" s="96"/>
      <c r="N5" s="96"/>
      <c r="O5" s="96"/>
      <c r="P5" s="96"/>
      <c r="Q5" s="96"/>
      <c r="R5" s="96"/>
      <c r="S5" s="96"/>
      <c r="T5" s="96"/>
    </row>
    <row r="6" spans="1:33" hidden="1">
      <c r="E6" s="380" t="s">
        <v>0</v>
      </c>
      <c r="F6" s="95"/>
      <c r="G6" s="96"/>
      <c r="H6" s="96"/>
      <c r="I6" s="96"/>
      <c r="J6" s="96"/>
      <c r="K6" s="96"/>
      <c r="L6" s="96"/>
      <c r="M6" s="96"/>
      <c r="N6" s="96"/>
      <c r="O6" s="96"/>
      <c r="P6" s="96"/>
      <c r="Q6" s="96"/>
      <c r="R6" s="96"/>
      <c r="S6" s="96"/>
      <c r="T6" s="96"/>
    </row>
    <row r="7" spans="1:33" hidden="1">
      <c r="F7" s="95"/>
      <c r="G7" s="96"/>
      <c r="H7" s="96"/>
      <c r="I7" s="96"/>
      <c r="J7" s="96"/>
      <c r="K7" s="96"/>
      <c r="L7" s="96"/>
      <c r="M7" s="96"/>
      <c r="N7" s="96"/>
      <c r="O7" s="96"/>
      <c r="P7" s="96"/>
      <c r="Q7" s="96"/>
      <c r="R7" s="96"/>
      <c r="S7" s="96"/>
      <c r="T7" s="96"/>
    </row>
    <row r="8" spans="1:33" hidden="1">
      <c r="F8" s="95"/>
      <c r="G8" s="96"/>
      <c r="H8" s="96"/>
      <c r="I8" s="96"/>
      <c r="J8" s="96"/>
      <c r="K8" s="96"/>
      <c r="L8" s="96"/>
      <c r="M8" s="96"/>
      <c r="N8" s="96"/>
      <c r="O8" s="96"/>
      <c r="P8" s="96"/>
      <c r="Q8" s="96"/>
      <c r="R8" s="96"/>
      <c r="S8" s="96"/>
      <c r="T8" s="96"/>
    </row>
    <row r="9" spans="1:33" hidden="1">
      <c r="F9" s="95"/>
      <c r="G9" s="96"/>
      <c r="H9" s="96"/>
      <c r="I9" s="96"/>
      <c r="J9" s="96"/>
      <c r="K9" s="96"/>
      <c r="L9" s="96"/>
      <c r="M9" s="96"/>
      <c r="N9" s="96"/>
      <c r="O9" s="96"/>
      <c r="P9" s="96"/>
      <c r="Q9" s="96"/>
      <c r="R9" s="96"/>
      <c r="S9" s="96"/>
      <c r="T9" s="96"/>
    </row>
    <row r="10" spans="1:33" hidden="1">
      <c r="F10" s="95"/>
      <c r="G10" s="96"/>
      <c r="H10" s="96"/>
      <c r="I10" s="96"/>
      <c r="J10" s="96"/>
      <c r="K10" s="96"/>
      <c r="L10" s="96"/>
      <c r="M10" s="96"/>
      <c r="N10" s="96"/>
      <c r="O10" s="96"/>
      <c r="P10" s="96"/>
      <c r="Q10" s="96"/>
      <c r="R10" s="96"/>
      <c r="S10" s="96"/>
      <c r="T10" s="96"/>
    </row>
    <row r="11" spans="1:33" hidden="1">
      <c r="F11" s="95"/>
      <c r="G11" s="96"/>
      <c r="H11" s="96"/>
      <c r="I11" s="96"/>
      <c r="J11" s="96"/>
      <c r="K11" s="96"/>
      <c r="L11" s="96"/>
      <c r="M11" s="96"/>
      <c r="N11" s="96"/>
      <c r="O11" s="96"/>
      <c r="P11" s="96"/>
      <c r="Q11" s="96"/>
      <c r="R11" s="96"/>
      <c r="S11" s="96"/>
      <c r="T11" s="96"/>
    </row>
    <row r="12" spans="1:33" ht="15.75" thickBot="1">
      <c r="F12" s="95"/>
      <c r="G12" s="96"/>
      <c r="H12" s="96"/>
      <c r="I12" s="96"/>
      <c r="J12" s="96"/>
      <c r="K12" s="96"/>
      <c r="L12" s="96"/>
      <c r="M12" s="96"/>
      <c r="N12" s="96"/>
      <c r="O12" s="96"/>
      <c r="P12" s="96"/>
      <c r="Q12" s="96"/>
      <c r="R12" s="96"/>
      <c r="S12" s="96"/>
      <c r="T12" s="96"/>
      <c r="U12" s="95"/>
      <c r="V12" s="95"/>
      <c r="W12" s="95"/>
      <c r="X12" s="95"/>
      <c r="Y12" s="95"/>
      <c r="Z12" s="95"/>
      <c r="AA12" s="95"/>
      <c r="AB12" s="95"/>
      <c r="AG12" s="625" t="str">
        <f>Translate!A496</f>
        <v>Projects emissions</v>
      </c>
    </row>
    <row r="13" spans="1:33" ht="29.1" customHeight="1" thickBot="1">
      <c r="F13" s="95"/>
      <c r="G13" s="533"/>
      <c r="H13" s="534" t="str">
        <f>Translate!$A$156</f>
        <v>Comparison sheet</v>
      </c>
      <c r="I13" s="535"/>
      <c r="J13" s="535"/>
      <c r="K13" s="535"/>
      <c r="L13" s="535"/>
      <c r="M13" s="535"/>
      <c r="N13" s="535"/>
      <c r="O13" s="535"/>
      <c r="P13" s="535"/>
      <c r="Q13" s="535"/>
      <c r="R13" s="535"/>
      <c r="S13" s="535"/>
      <c r="T13" s="536"/>
      <c r="U13" s="95"/>
      <c r="V13" s="95"/>
      <c r="W13" s="95"/>
      <c r="X13" s="95"/>
      <c r="Y13" s="95"/>
      <c r="Z13" s="95"/>
      <c r="AA13" s="95"/>
      <c r="AB13" s="95"/>
      <c r="AG13" s="625" t="str">
        <f>Translate!A173</f>
        <v>emissions repartition</v>
      </c>
    </row>
    <row r="14" spans="1:33" ht="15.75" thickBot="1">
      <c r="A14" s="95"/>
      <c r="B14" s="95"/>
      <c r="C14" s="95"/>
      <c r="D14" s="95"/>
      <c r="E14" s="95"/>
      <c r="F14" s="95"/>
      <c r="G14" s="382"/>
      <c r="H14" s="346"/>
      <c r="I14" s="346"/>
      <c r="J14" s="346"/>
      <c r="K14" s="346"/>
      <c r="L14" s="346"/>
      <c r="M14" s="346"/>
      <c r="N14" s="346"/>
      <c r="O14" s="346"/>
      <c r="P14" s="346"/>
      <c r="Q14" s="346"/>
      <c r="R14" s="346"/>
      <c r="S14" s="346"/>
      <c r="T14" s="347"/>
      <c r="U14" s="95"/>
      <c r="V14" s="95"/>
      <c r="W14" s="95"/>
      <c r="X14" s="95"/>
      <c r="Y14" s="95"/>
      <c r="Z14" s="95"/>
      <c r="AA14" s="95"/>
      <c r="AB14" s="95"/>
      <c r="AG14" s="625" t="str">
        <f>Translate!A172</f>
        <v>Projects emission repartitions</v>
      </c>
    </row>
    <row r="15" spans="1:33" ht="16.5" thickBot="1">
      <c r="A15" s="95"/>
      <c r="B15" s="95"/>
      <c r="C15" s="95"/>
      <c r="D15" s="95"/>
      <c r="E15" s="95"/>
      <c r="F15" s="95"/>
      <c r="G15" s="136"/>
      <c r="H15" s="96"/>
      <c r="I15" s="96"/>
      <c r="J15" s="348" t="str">
        <f>Translate!$A$166</f>
        <v>Select the subprojects and projects that you want to compare</v>
      </c>
      <c r="K15" s="346"/>
      <c r="L15" s="346"/>
      <c r="M15" s="346"/>
      <c r="N15" s="346"/>
      <c r="O15" s="347"/>
      <c r="P15" s="96"/>
      <c r="Q15" s="96"/>
      <c r="R15" s="96"/>
      <c r="S15" s="96"/>
      <c r="T15" s="137"/>
      <c r="U15" s="95"/>
      <c r="V15" s="95"/>
      <c r="W15" s="95"/>
      <c r="X15" s="95"/>
      <c r="Y15" s="95"/>
      <c r="Z15" s="95"/>
      <c r="AA15" s="95"/>
      <c r="AB15" s="95"/>
      <c r="AG15" s="625" t="str">
        <f>Translate!A173</f>
        <v>emissions repartition</v>
      </c>
    </row>
    <row r="16" spans="1:33" ht="15.75" thickBot="1">
      <c r="A16" s="95"/>
      <c r="B16" s="95"/>
      <c r="C16" s="95"/>
      <c r="D16" s="95"/>
      <c r="E16" s="95"/>
      <c r="F16" s="95"/>
      <c r="G16" s="136"/>
      <c r="H16" s="96"/>
      <c r="I16" s="96"/>
      <c r="J16" s="496"/>
      <c r="K16" s="496"/>
      <c r="L16" s="496"/>
      <c r="M16" s="496"/>
      <c r="N16" s="496"/>
      <c r="O16" s="497"/>
      <c r="P16" s="96"/>
      <c r="Q16" s="96"/>
      <c r="R16" s="96"/>
      <c r="S16" s="96"/>
      <c r="T16" s="137"/>
      <c r="U16" s="95"/>
      <c r="V16" s="95"/>
      <c r="W16" s="95"/>
      <c r="X16" s="95"/>
      <c r="Y16" s="95"/>
      <c r="Z16" s="95"/>
      <c r="AA16" s="95"/>
      <c r="AB16" s="95"/>
      <c r="AG16" s="625" t="str">
        <f>Translate!A136</f>
        <v>Materials detail</v>
      </c>
    </row>
    <row r="17" spans="1:33" ht="12" hidden="1" customHeight="1">
      <c r="A17" s="95"/>
      <c r="B17" s="95"/>
      <c r="C17" s="95"/>
      <c r="D17" s="95"/>
      <c r="E17" s="95"/>
      <c r="F17" s="95"/>
      <c r="G17" s="136"/>
      <c r="H17" s="96"/>
      <c r="I17" s="96"/>
      <c r="J17" s="96">
        <f t="shared" ref="J17:O17" ca="1" si="0">IF(ISERROR(INDIRECT("'"&amp;J16&amp;"'!A1")),0,1)</f>
        <v>0</v>
      </c>
      <c r="K17" s="96">
        <f t="shared" ca="1" si="0"/>
        <v>0</v>
      </c>
      <c r="L17" s="96">
        <f t="shared" ca="1" si="0"/>
        <v>0</v>
      </c>
      <c r="M17" s="96">
        <f t="shared" ca="1" si="0"/>
        <v>0</v>
      </c>
      <c r="N17" s="96">
        <f t="shared" ca="1" si="0"/>
        <v>0</v>
      </c>
      <c r="O17" s="96">
        <f t="shared" ca="1" si="0"/>
        <v>0</v>
      </c>
      <c r="P17" s="96">
        <v>1</v>
      </c>
      <c r="Q17" s="96"/>
      <c r="R17" s="96"/>
      <c r="S17" s="96"/>
      <c r="T17" s="137"/>
      <c r="U17" s="95"/>
      <c r="V17" s="95"/>
      <c r="W17" s="95"/>
      <c r="X17" s="95"/>
      <c r="Y17" s="95"/>
      <c r="Z17" s="95"/>
      <c r="AA17" s="95"/>
      <c r="AB17" s="95"/>
    </row>
    <row r="18" spans="1:33">
      <c r="A18" s="95"/>
      <c r="B18" s="95"/>
      <c r="C18" s="95"/>
      <c r="D18" s="95"/>
      <c r="E18" s="95"/>
      <c r="F18" s="95"/>
      <c r="G18" s="136"/>
      <c r="H18" s="96"/>
      <c r="I18" s="96"/>
      <c r="J18" s="96"/>
      <c r="K18" s="96"/>
      <c r="L18" s="96"/>
      <c r="M18" s="96"/>
      <c r="N18" s="96"/>
      <c r="O18" s="96"/>
      <c r="P18" s="96"/>
      <c r="Q18" s="96"/>
      <c r="R18" s="96"/>
      <c r="S18" s="96"/>
      <c r="T18" s="137"/>
      <c r="U18" s="95"/>
      <c r="V18" s="95"/>
      <c r="W18" s="95"/>
      <c r="X18" s="95"/>
      <c r="Y18" s="95"/>
      <c r="Z18" s="95"/>
      <c r="AA18" s="95"/>
      <c r="AB18" s="95"/>
    </row>
    <row r="19" spans="1:33" ht="12" customHeight="1" thickBot="1">
      <c r="A19" s="95"/>
      <c r="B19" s="95"/>
      <c r="C19" s="95"/>
      <c r="D19" s="95"/>
      <c r="E19" s="95"/>
      <c r="F19" s="95"/>
      <c r="G19" s="136"/>
      <c r="H19" s="96"/>
      <c r="I19" s="96"/>
      <c r="J19" s="96"/>
      <c r="K19" s="96"/>
      <c r="L19" s="96"/>
      <c r="M19" s="96"/>
      <c r="N19" s="96"/>
      <c r="O19" s="96"/>
      <c r="P19" s="96"/>
      <c r="Q19" s="96"/>
      <c r="R19" s="96"/>
      <c r="S19" s="96"/>
      <c r="T19" s="137"/>
      <c r="U19" s="95"/>
      <c r="V19" s="95"/>
      <c r="W19" s="95"/>
      <c r="X19" s="95"/>
      <c r="Y19" s="95"/>
      <c r="Z19" s="95"/>
      <c r="AA19" s="95"/>
      <c r="AB19" s="95"/>
    </row>
    <row r="20" spans="1:33" ht="15" customHeight="1">
      <c r="A20" s="320"/>
      <c r="B20" s="95"/>
      <c r="C20" s="95"/>
      <c r="D20" s="95"/>
      <c r="E20" s="95"/>
      <c r="F20" s="95"/>
      <c r="G20" s="560"/>
      <c r="H20" s="738"/>
      <c r="I20" s="821"/>
      <c r="J20" s="821"/>
      <c r="K20" s="821"/>
      <c r="L20" s="738"/>
      <c r="M20" s="738"/>
      <c r="N20" s="738"/>
      <c r="O20" s="738"/>
      <c r="P20" s="738"/>
      <c r="Q20" s="738"/>
      <c r="R20" s="738"/>
      <c r="S20" s="738"/>
      <c r="T20" s="562"/>
      <c r="U20" s="320"/>
      <c r="V20" s="320"/>
      <c r="W20" s="320"/>
      <c r="X20" s="320"/>
      <c r="Y20" s="320"/>
      <c r="Z20" s="320"/>
      <c r="AA20" s="320"/>
      <c r="AB20" s="320"/>
      <c r="AC20" s="320"/>
      <c r="AD20" s="320"/>
      <c r="AG20" s="609" t="str">
        <f>Translate!$A$172</f>
        <v>Projects emission repartitions</v>
      </c>
    </row>
    <row r="21" spans="1:33" ht="15" customHeight="1">
      <c r="A21" s="95"/>
      <c r="B21" s="95"/>
      <c r="C21" s="95"/>
      <c r="D21" s="95"/>
      <c r="E21" s="95"/>
      <c r="F21" s="95"/>
      <c r="G21" s="568"/>
      <c r="H21" s="567"/>
      <c r="I21" s="822"/>
      <c r="J21" s="822"/>
      <c r="K21" s="822"/>
      <c r="L21" s="564"/>
      <c r="M21" s="563"/>
      <c r="N21" s="563"/>
      <c r="O21" s="567"/>
      <c r="P21" s="567"/>
      <c r="Q21" s="567"/>
      <c r="R21" s="567"/>
      <c r="S21" s="567"/>
      <c r="T21" s="566"/>
      <c r="U21" s="565"/>
      <c r="V21" s="565"/>
      <c r="W21" s="565"/>
      <c r="X21" s="565"/>
      <c r="Y21" s="565"/>
      <c r="Z21" s="565"/>
      <c r="AA21" s="565"/>
      <c r="AB21" s="565"/>
      <c r="AC21" s="565"/>
      <c r="AD21" s="565"/>
      <c r="AG21" s="610" t="str">
        <f>Translate!$A$173</f>
        <v>emissions repartition</v>
      </c>
    </row>
    <row r="22" spans="1:33" ht="15" customHeight="1">
      <c r="A22" s="95"/>
      <c r="B22" s="95"/>
      <c r="C22" s="95"/>
      <c r="D22" s="95"/>
      <c r="E22" s="95"/>
      <c r="F22" s="95"/>
      <c r="G22" s="568"/>
      <c r="H22" s="567"/>
      <c r="I22" s="822"/>
      <c r="J22" s="822"/>
      <c r="K22" s="822"/>
      <c r="L22" s="564"/>
      <c r="M22" s="564"/>
      <c r="N22" s="564"/>
      <c r="O22" s="567"/>
      <c r="P22" s="567"/>
      <c r="Q22" s="567"/>
      <c r="R22" s="567"/>
      <c r="S22" s="567"/>
      <c r="T22" s="566"/>
      <c r="U22" s="565"/>
      <c r="V22" s="565"/>
      <c r="W22" s="565"/>
      <c r="X22" s="565"/>
      <c r="Y22" s="565"/>
      <c r="Z22" s="565"/>
      <c r="AA22" s="565"/>
      <c r="AB22" s="565"/>
      <c r="AC22" s="565"/>
      <c r="AD22" s="565"/>
      <c r="AG22" s="609" t="str">
        <f>Translate!$A$136</f>
        <v>Materials detail</v>
      </c>
    </row>
    <row r="23" spans="1:33" ht="15" customHeight="1">
      <c r="A23" s="95"/>
      <c r="B23" s="95"/>
      <c r="C23" s="95"/>
      <c r="D23" s="95"/>
      <c r="E23" s="95"/>
      <c r="F23" s="95"/>
      <c r="G23" s="568"/>
      <c r="H23" s="567"/>
      <c r="I23" s="564"/>
      <c r="J23" s="563"/>
      <c r="K23" s="563"/>
      <c r="L23" s="564"/>
      <c r="M23" s="563"/>
      <c r="N23" s="563"/>
      <c r="O23" s="567"/>
      <c r="P23" s="567"/>
      <c r="Q23" s="567"/>
      <c r="R23" s="567"/>
      <c r="S23" s="567"/>
      <c r="T23" s="566"/>
      <c r="U23" s="565"/>
      <c r="V23" s="565"/>
      <c r="W23" s="565"/>
      <c r="X23" s="565"/>
      <c r="Y23" s="565"/>
      <c r="Z23" s="565"/>
      <c r="AA23" s="565"/>
      <c r="AB23" s="565"/>
      <c r="AC23" s="565"/>
      <c r="AD23" s="565"/>
    </row>
    <row r="24" spans="1:33" ht="15" customHeight="1">
      <c r="A24" s="95"/>
      <c r="B24" s="95"/>
      <c r="C24" s="95"/>
      <c r="D24" s="95"/>
      <c r="E24" s="95"/>
      <c r="F24" s="95"/>
      <c r="G24" s="568"/>
      <c r="H24" s="567"/>
      <c r="I24" s="564"/>
      <c r="J24" s="564"/>
      <c r="K24" s="564"/>
      <c r="L24"/>
      <c r="M24"/>
      <c r="N24"/>
      <c r="O24" s="567"/>
      <c r="P24" s="567"/>
      <c r="Q24" s="567"/>
      <c r="R24" s="567"/>
      <c r="S24" s="567"/>
      <c r="T24" s="566"/>
      <c r="U24" s="565"/>
      <c r="V24" s="565"/>
      <c r="W24" s="565"/>
      <c r="X24" s="565"/>
      <c r="Y24" s="565"/>
      <c r="Z24" s="565"/>
      <c r="AA24" s="565"/>
      <c r="AB24" s="565"/>
      <c r="AC24" s="565"/>
      <c r="AD24" s="565"/>
    </row>
    <row r="25" spans="1:33" ht="15" customHeight="1" thickBot="1">
      <c r="A25" s="95"/>
      <c r="B25" s="95"/>
      <c r="C25" s="95"/>
      <c r="D25" s="95"/>
      <c r="E25" s="95"/>
      <c r="F25" s="95"/>
      <c r="G25" s="568"/>
      <c r="H25" s="567"/>
      <c r="I25" s="564"/>
      <c r="J25" s="563"/>
      <c r="K25" s="563"/>
      <c r="L25"/>
      <c r="M25"/>
      <c r="N25"/>
      <c r="O25" s="567"/>
      <c r="P25" s="567"/>
      <c r="Q25" s="567"/>
      <c r="R25" s="567"/>
      <c r="S25" s="567"/>
      <c r="T25" s="566"/>
      <c r="U25" s="565"/>
      <c r="V25" s="565"/>
      <c r="W25" s="565"/>
      <c r="X25" s="565"/>
      <c r="Y25" s="565"/>
      <c r="Z25" s="565"/>
      <c r="AA25" s="565"/>
      <c r="AB25" s="565"/>
      <c r="AC25" s="565"/>
      <c r="AD25" s="565"/>
    </row>
    <row r="26" spans="1:33" ht="33.75" customHeight="1" thickBot="1">
      <c r="A26" s="95"/>
      <c r="B26" s="95"/>
      <c r="C26" s="95"/>
      <c r="D26" s="95"/>
      <c r="E26" s="95"/>
      <c r="F26" s="95"/>
      <c r="G26" s="533"/>
      <c r="H26" s="534" t="str">
        <f>Translate!$A$157</f>
        <v>Comparison sheet (1/2)</v>
      </c>
      <c r="I26" s="535"/>
      <c r="J26" s="535"/>
      <c r="K26" s="535"/>
      <c r="L26" s="535"/>
      <c r="M26" s="535"/>
      <c r="N26" s="535"/>
      <c r="O26" s="535"/>
      <c r="P26" s="535"/>
      <c r="Q26" s="535"/>
      <c r="R26" s="535"/>
      <c r="S26" s="535"/>
      <c r="T26" s="536"/>
      <c r="U26" s="95"/>
      <c r="V26" s="95"/>
      <c r="W26" s="95"/>
      <c r="X26" s="95"/>
      <c r="Y26" s="95"/>
      <c r="Z26" s="95"/>
      <c r="AA26" s="95"/>
      <c r="AB26" s="95"/>
    </row>
    <row r="27" spans="1:33">
      <c r="A27" s="95"/>
      <c r="B27" s="95"/>
      <c r="C27" s="95"/>
      <c r="D27" s="95"/>
      <c r="E27" s="95"/>
      <c r="F27" s="95"/>
      <c r="G27" s="517"/>
      <c r="H27" s="518"/>
      <c r="I27" s="518"/>
      <c r="J27" s="518"/>
      <c r="K27" s="518"/>
      <c r="L27" s="518"/>
      <c r="M27" s="518"/>
      <c r="N27" s="518"/>
      <c r="O27" s="518"/>
      <c r="P27" s="518"/>
      <c r="Q27" s="518"/>
      <c r="R27" s="518"/>
      <c r="S27" s="518"/>
      <c r="T27" s="519"/>
      <c r="U27" s="95"/>
      <c r="V27" s="95"/>
      <c r="W27" s="95"/>
      <c r="X27" s="95"/>
      <c r="Y27" s="95"/>
      <c r="Z27" s="95"/>
      <c r="AA27" s="95"/>
      <c r="AB27" s="95"/>
    </row>
    <row r="28" spans="1:33" ht="15.75">
      <c r="A28" s="95"/>
      <c r="B28" s="95"/>
      <c r="C28" s="95"/>
      <c r="D28" s="95"/>
      <c r="E28" s="95"/>
      <c r="F28" s="95"/>
      <c r="G28" s="520"/>
      <c r="H28" s="372"/>
      <c r="I28" s="372"/>
      <c r="J28" s="540" t="str">
        <f t="shared" ref="J28:O28" ca="1" si="1">IF(J$17,J16,"")</f>
        <v/>
      </c>
      <c r="K28" s="540" t="str">
        <f t="shared" ca="1" si="1"/>
        <v/>
      </c>
      <c r="L28" s="540" t="str">
        <f t="shared" ca="1" si="1"/>
        <v/>
      </c>
      <c r="M28" s="540" t="str">
        <f t="shared" ca="1" si="1"/>
        <v/>
      </c>
      <c r="N28" s="540" t="str">
        <f t="shared" ca="1" si="1"/>
        <v/>
      </c>
      <c r="O28" s="540" t="str">
        <f t="shared" ca="1" si="1"/>
        <v/>
      </c>
      <c r="P28" s="541" t="s">
        <v>77</v>
      </c>
      <c r="Q28" s="372"/>
      <c r="R28" s="372"/>
      <c r="S28" s="372"/>
      <c r="T28" s="523"/>
      <c r="U28" s="95"/>
      <c r="V28" s="95"/>
      <c r="W28" s="95"/>
      <c r="X28" s="95"/>
      <c r="Y28" s="95"/>
      <c r="Z28" s="95"/>
      <c r="AA28" s="95"/>
      <c r="AB28" s="95"/>
    </row>
    <row r="29" spans="1:33" ht="15.75">
      <c r="A29" s="95" t="s">
        <v>399</v>
      </c>
      <c r="B29" s="95"/>
      <c r="C29" s="95"/>
      <c r="D29" s="95"/>
      <c r="E29" s="95"/>
      <c r="F29" s="95"/>
      <c r="G29" s="520"/>
      <c r="H29" s="372"/>
      <c r="I29" s="433" t="str">
        <f>Translate!$A$104</f>
        <v>Materials</v>
      </c>
      <c r="J29" s="521" t="str">
        <f t="shared" ref="J29:O35" ca="1" si="2">IF(J$17,INDIRECT("'"&amp;J$16&amp;"'!"&amp;$A29),"")</f>
        <v/>
      </c>
      <c r="K29" s="521" t="str">
        <f t="shared" ca="1" si="2"/>
        <v/>
      </c>
      <c r="L29" s="521" t="str">
        <f t="shared" ca="1" si="2"/>
        <v/>
      </c>
      <c r="M29" s="521" t="str">
        <f t="shared" ca="1" si="2"/>
        <v/>
      </c>
      <c r="N29" s="521" t="str">
        <f t="shared" ca="1" si="2"/>
        <v/>
      </c>
      <c r="O29" s="521" t="str">
        <f t="shared" ca="1" si="2"/>
        <v/>
      </c>
      <c r="P29" s="524">
        <f t="shared" ref="P29:P35" ca="1" si="3">IF(ISERROR(AVERAGE(J29:O29)),0,AVERAGE(J29:O29))</f>
        <v>0</v>
      </c>
      <c r="Q29" s="525" t="str">
        <f>Translate!$A$115</f>
        <v>tCO2e</v>
      </c>
      <c r="R29" s="372"/>
      <c r="S29" s="372"/>
      <c r="T29" s="523"/>
      <c r="U29" s="95"/>
      <c r="V29" s="95"/>
      <c r="W29" s="95"/>
      <c r="X29" s="95"/>
      <c r="Y29" s="95"/>
      <c r="Z29" s="95"/>
      <c r="AA29" s="95"/>
      <c r="AB29" s="95"/>
    </row>
    <row r="30" spans="1:33" ht="15.75">
      <c r="A30" s="95" t="s">
        <v>400</v>
      </c>
      <c r="B30" s="95"/>
      <c r="C30" s="95"/>
      <c r="D30" s="95"/>
      <c r="E30" s="95"/>
      <c r="F30" s="95"/>
      <c r="G30" s="520"/>
      <c r="H30" s="372"/>
      <c r="I30" s="433" t="str">
        <f>Translate!$A$105</f>
        <v>Energy</v>
      </c>
      <c r="J30" s="521" t="str">
        <f t="shared" ca="1" si="2"/>
        <v/>
      </c>
      <c r="K30" s="521" t="str">
        <f t="shared" ca="1" si="2"/>
        <v/>
      </c>
      <c r="L30" s="521" t="str">
        <f t="shared" ca="1" si="2"/>
        <v/>
      </c>
      <c r="M30" s="521" t="str">
        <f t="shared" ca="1" si="2"/>
        <v/>
      </c>
      <c r="N30" s="521" t="str">
        <f t="shared" ca="1" si="2"/>
        <v/>
      </c>
      <c r="O30" s="521" t="str">
        <f t="shared" ca="1" si="2"/>
        <v/>
      </c>
      <c r="P30" s="524">
        <f t="shared" ca="1" si="3"/>
        <v>0</v>
      </c>
      <c r="Q30" s="525" t="str">
        <f>Translate!$A$115</f>
        <v>tCO2e</v>
      </c>
      <c r="R30" s="372"/>
      <c r="S30" s="372"/>
      <c r="T30" s="523"/>
      <c r="U30" s="95"/>
      <c r="V30" s="95"/>
      <c r="W30" s="95"/>
      <c r="X30" s="95"/>
      <c r="Y30" s="95"/>
      <c r="Z30" s="95"/>
      <c r="AA30" s="95"/>
      <c r="AB30" s="95"/>
    </row>
    <row r="31" spans="1:33" ht="15.75">
      <c r="A31" s="95" t="s">
        <v>401</v>
      </c>
      <c r="B31" s="95"/>
      <c r="C31" s="95"/>
      <c r="D31" s="95"/>
      <c r="E31" s="95"/>
      <c r="F31" s="95"/>
      <c r="G31" s="520"/>
      <c r="H31" s="372"/>
      <c r="I31" s="433" t="str">
        <f>Translate!$A$106</f>
        <v>Freight</v>
      </c>
      <c r="J31" s="521" t="str">
        <f t="shared" ca="1" si="2"/>
        <v/>
      </c>
      <c r="K31" s="521" t="str">
        <f t="shared" ca="1" si="2"/>
        <v/>
      </c>
      <c r="L31" s="521" t="str">
        <f t="shared" ca="1" si="2"/>
        <v/>
      </c>
      <c r="M31" s="521" t="str">
        <f t="shared" ca="1" si="2"/>
        <v/>
      </c>
      <c r="N31" s="521" t="str">
        <f t="shared" ca="1" si="2"/>
        <v/>
      </c>
      <c r="O31" s="521" t="str">
        <f t="shared" ca="1" si="2"/>
        <v/>
      </c>
      <c r="P31" s="524">
        <f t="shared" ca="1" si="3"/>
        <v>0</v>
      </c>
      <c r="Q31" s="525" t="str">
        <f>Translate!$A$115</f>
        <v>tCO2e</v>
      </c>
      <c r="R31" s="372"/>
      <c r="S31" s="372"/>
      <c r="T31" s="523"/>
      <c r="U31" s="95"/>
      <c r="V31" s="95"/>
      <c r="W31" s="95"/>
      <c r="X31" s="95"/>
      <c r="Y31" s="95"/>
      <c r="Z31" s="95"/>
      <c r="AA31" s="95"/>
      <c r="AB31" s="95"/>
    </row>
    <row r="32" spans="1:33" ht="15.75">
      <c r="A32" s="95" t="s">
        <v>402</v>
      </c>
      <c r="B32" s="95"/>
      <c r="C32" s="95"/>
      <c r="D32" s="95"/>
      <c r="E32" s="95"/>
      <c r="F32" s="95"/>
      <c r="G32" s="520"/>
      <c r="H32" s="372"/>
      <c r="I32" s="433" t="str">
        <f>Translate!$A$107</f>
        <v>Mob/demob</v>
      </c>
      <c r="J32" s="521" t="str">
        <f t="shared" ca="1" si="2"/>
        <v/>
      </c>
      <c r="K32" s="521" t="str">
        <f t="shared" ca="1" si="2"/>
        <v/>
      </c>
      <c r="L32" s="521" t="str">
        <f t="shared" ca="1" si="2"/>
        <v/>
      </c>
      <c r="M32" s="521" t="str">
        <f t="shared" ca="1" si="2"/>
        <v/>
      </c>
      <c r="N32" s="521" t="str">
        <f t="shared" ca="1" si="2"/>
        <v/>
      </c>
      <c r="O32" s="521" t="str">
        <f t="shared" ca="1" si="2"/>
        <v/>
      </c>
      <c r="P32" s="524">
        <f t="shared" ca="1" si="3"/>
        <v>0</v>
      </c>
      <c r="Q32" s="525" t="str">
        <f>Translate!$A$115</f>
        <v>tCO2e</v>
      </c>
      <c r="R32" s="372"/>
      <c r="S32" s="372"/>
      <c r="T32" s="523"/>
      <c r="U32" s="95"/>
      <c r="V32" s="95"/>
      <c r="W32" s="95"/>
      <c r="X32" s="95"/>
      <c r="Y32" s="95"/>
      <c r="Z32" s="95"/>
      <c r="AA32" s="95"/>
      <c r="AB32" s="95"/>
    </row>
    <row r="33" spans="1:28" ht="15.75">
      <c r="A33" s="95" t="s">
        <v>403</v>
      </c>
      <c r="B33" s="95"/>
      <c r="C33" s="95"/>
      <c r="D33" s="95"/>
      <c r="E33" s="95"/>
      <c r="F33" s="95"/>
      <c r="G33" s="520"/>
      <c r="H33" s="372"/>
      <c r="I33" s="433" t="str">
        <f>Translate!$A$108</f>
        <v>People's transportation</v>
      </c>
      <c r="J33" s="521" t="str">
        <f t="shared" ca="1" si="2"/>
        <v/>
      </c>
      <c r="K33" s="521" t="str">
        <f t="shared" ca="1" si="2"/>
        <v/>
      </c>
      <c r="L33" s="521" t="str">
        <f t="shared" ca="1" si="2"/>
        <v/>
      </c>
      <c r="M33" s="521" t="str">
        <f t="shared" ca="1" si="2"/>
        <v/>
      </c>
      <c r="N33" s="521" t="str">
        <f t="shared" ca="1" si="2"/>
        <v/>
      </c>
      <c r="O33" s="521" t="str">
        <f t="shared" ca="1" si="2"/>
        <v/>
      </c>
      <c r="P33" s="524">
        <f t="shared" ca="1" si="3"/>
        <v>0</v>
      </c>
      <c r="Q33" s="525" t="str">
        <f>Translate!$A$115</f>
        <v>tCO2e</v>
      </c>
      <c r="R33" s="372"/>
      <c r="S33" s="372"/>
      <c r="T33" s="523"/>
      <c r="U33" s="95"/>
      <c r="V33" s="95"/>
      <c r="W33" s="95"/>
      <c r="X33" s="95"/>
      <c r="Y33" s="95"/>
      <c r="Z33" s="95"/>
      <c r="AA33" s="95"/>
      <c r="AB33" s="95"/>
    </row>
    <row r="34" spans="1:28" ht="15.75">
      <c r="A34" s="95" t="s">
        <v>404</v>
      </c>
      <c r="B34" s="95"/>
      <c r="C34" s="95"/>
      <c r="D34" s="95"/>
      <c r="E34" s="95"/>
      <c r="F34" s="95"/>
      <c r="G34" s="520"/>
      <c r="H34" s="372"/>
      <c r="I34" s="433" t="str">
        <f>Translate!$A$109</f>
        <v>Assets</v>
      </c>
      <c r="J34" s="521" t="str">
        <f t="shared" ca="1" si="2"/>
        <v/>
      </c>
      <c r="K34" s="521" t="str">
        <f t="shared" ca="1" si="2"/>
        <v/>
      </c>
      <c r="L34" s="521" t="str">
        <f t="shared" ca="1" si="2"/>
        <v/>
      </c>
      <c r="M34" s="521" t="str">
        <f t="shared" ca="1" si="2"/>
        <v/>
      </c>
      <c r="N34" s="521" t="str">
        <f t="shared" ca="1" si="2"/>
        <v/>
      </c>
      <c r="O34" s="521" t="str">
        <f t="shared" ca="1" si="2"/>
        <v/>
      </c>
      <c r="P34" s="524">
        <f t="shared" ca="1" si="3"/>
        <v>0</v>
      </c>
      <c r="Q34" s="525" t="str">
        <f>Translate!$A$115</f>
        <v>tCO2e</v>
      </c>
      <c r="R34" s="372"/>
      <c r="S34" s="372"/>
      <c r="T34" s="523"/>
      <c r="U34" s="95"/>
      <c r="V34" s="95"/>
      <c r="W34" s="95"/>
      <c r="X34" s="95"/>
      <c r="Y34" s="95"/>
      <c r="Z34" s="95"/>
      <c r="AA34" s="95"/>
      <c r="AB34" s="95"/>
    </row>
    <row r="35" spans="1:28" ht="15.75">
      <c r="A35" s="95" t="s">
        <v>405</v>
      </c>
      <c r="B35" s="95"/>
      <c r="C35" s="95"/>
      <c r="D35" s="95"/>
      <c r="E35" s="95"/>
      <c r="F35" s="95"/>
      <c r="G35" s="520"/>
      <c r="H35" s="372"/>
      <c r="I35" s="433" t="str">
        <f>Translate!$A$110</f>
        <v>Waste</v>
      </c>
      <c r="J35" s="521" t="str">
        <f t="shared" ca="1" si="2"/>
        <v/>
      </c>
      <c r="K35" s="521" t="str">
        <f t="shared" ca="1" si="2"/>
        <v/>
      </c>
      <c r="L35" s="521" t="str">
        <f t="shared" ca="1" si="2"/>
        <v/>
      </c>
      <c r="M35" s="521" t="str">
        <f t="shared" ca="1" si="2"/>
        <v/>
      </c>
      <c r="N35" s="521" t="str">
        <f t="shared" ca="1" si="2"/>
        <v/>
      </c>
      <c r="O35" s="521" t="str">
        <f t="shared" ca="1" si="2"/>
        <v/>
      </c>
      <c r="P35" s="524">
        <f t="shared" ca="1" si="3"/>
        <v>0</v>
      </c>
      <c r="Q35" s="525" t="str">
        <f>Translate!$A$115</f>
        <v>tCO2e</v>
      </c>
      <c r="R35" s="372"/>
      <c r="S35" s="372"/>
      <c r="T35" s="523"/>
      <c r="U35" s="95"/>
      <c r="V35" s="95"/>
      <c r="W35" s="95"/>
      <c r="X35" s="95"/>
      <c r="Y35" s="95"/>
      <c r="Z35" s="95"/>
      <c r="AA35" s="95"/>
      <c r="AB35" s="95"/>
    </row>
    <row r="36" spans="1:28" ht="15.75">
      <c r="A36" s="95"/>
      <c r="B36" s="95"/>
      <c r="C36" s="95"/>
      <c r="D36" s="95"/>
      <c r="E36" s="95"/>
      <c r="F36" s="95"/>
      <c r="G36" s="520"/>
      <c r="H36" s="372"/>
      <c r="I36" s="526" t="str">
        <f>Translate!$A$134</f>
        <v>Total</v>
      </c>
      <c r="J36" s="524">
        <f t="shared" ref="J36:P36" ca="1" si="4">IF(SUM(J29:J35)=0,0,ROUND(SUM(J29:J35),-ROUNDDOWN(LOG(ABS(SUM(J29:J35))),0)+1))</f>
        <v>0</v>
      </c>
      <c r="K36" s="524">
        <f t="shared" ca="1" si="4"/>
        <v>0</v>
      </c>
      <c r="L36" s="524">
        <f t="shared" ca="1" si="4"/>
        <v>0</v>
      </c>
      <c r="M36" s="524">
        <f t="shared" ca="1" si="4"/>
        <v>0</v>
      </c>
      <c r="N36" s="524">
        <f t="shared" ca="1" si="4"/>
        <v>0</v>
      </c>
      <c r="O36" s="524">
        <f t="shared" ca="1" si="4"/>
        <v>0</v>
      </c>
      <c r="P36" s="524">
        <f t="shared" ca="1" si="4"/>
        <v>0</v>
      </c>
      <c r="Q36" s="525" t="str">
        <f>Translate!$A$115</f>
        <v>tCO2e</v>
      </c>
      <c r="R36" s="372"/>
      <c r="S36" s="372"/>
      <c r="T36" s="523"/>
      <c r="U36" s="95"/>
      <c r="V36" s="95"/>
      <c r="W36" s="95"/>
      <c r="X36" s="95"/>
      <c r="Y36" s="95"/>
      <c r="Z36" s="95"/>
      <c r="AA36" s="95"/>
      <c r="AB36" s="95"/>
    </row>
    <row r="37" spans="1:28" hidden="1">
      <c r="A37" s="95"/>
      <c r="B37" s="95"/>
      <c r="C37" s="95"/>
      <c r="D37" s="95"/>
      <c r="E37" s="95"/>
      <c r="F37" s="95"/>
      <c r="G37" s="520"/>
      <c r="H37" s="372"/>
      <c r="I37" s="372"/>
      <c r="J37" s="372"/>
      <c r="K37" s="372"/>
      <c r="L37" s="372"/>
      <c r="M37" s="372"/>
      <c r="N37" s="372"/>
      <c r="O37" s="372"/>
      <c r="P37" s="372"/>
      <c r="Q37" s="372"/>
      <c r="R37" s="372"/>
      <c r="S37" s="372"/>
      <c r="T37" s="523"/>
      <c r="U37" s="95"/>
      <c r="V37" s="95"/>
      <c r="W37" s="95"/>
      <c r="X37" s="95"/>
      <c r="Y37" s="95"/>
      <c r="Z37" s="95"/>
      <c r="AA37" s="95"/>
      <c r="AB37" s="95"/>
    </row>
    <row r="38" spans="1:28">
      <c r="A38" s="95"/>
      <c r="B38" s="95"/>
      <c r="C38" s="95"/>
      <c r="D38" s="95"/>
      <c r="E38" s="95"/>
      <c r="F38" s="95"/>
      <c r="G38" s="520"/>
      <c r="H38" s="372"/>
      <c r="I38" s="372"/>
      <c r="J38" s="372"/>
      <c r="K38" s="372"/>
      <c r="L38" s="372"/>
      <c r="M38" s="372"/>
      <c r="N38" s="372"/>
      <c r="O38" s="372"/>
      <c r="P38" s="372"/>
      <c r="Q38" s="372"/>
      <c r="R38" s="372"/>
      <c r="S38" s="372"/>
      <c r="T38" s="523"/>
      <c r="U38" s="95"/>
      <c r="V38" s="95"/>
      <c r="W38" s="95"/>
      <c r="X38" s="95"/>
      <c r="Y38" s="95"/>
      <c r="Z38" s="95"/>
      <c r="AA38" s="95"/>
      <c r="AB38" s="95"/>
    </row>
    <row r="39" spans="1:28">
      <c r="A39" s="95" t="s">
        <v>406</v>
      </c>
      <c r="B39" s="95"/>
      <c r="C39" s="95"/>
      <c r="D39" s="95"/>
      <c r="E39" s="95"/>
      <c r="F39" s="95"/>
      <c r="G39" s="520"/>
      <c r="H39" s="372"/>
      <c r="I39" s="527" t="str">
        <f>Translate!$A$67</f>
        <v>Working days</v>
      </c>
      <c r="J39" s="521" t="str">
        <f t="shared" ref="J39:O43" ca="1" si="5">IF(J$17,INDIRECT("'"&amp;J$16&amp;"'!"&amp;$A39),"")</f>
        <v/>
      </c>
      <c r="K39" s="521" t="str">
        <f t="shared" ca="1" si="5"/>
        <v/>
      </c>
      <c r="L39" s="521" t="str">
        <f t="shared" ca="1" si="5"/>
        <v/>
      </c>
      <c r="M39" s="521" t="str">
        <f t="shared" ca="1" si="5"/>
        <v/>
      </c>
      <c r="N39" s="521" t="str">
        <f t="shared" ca="1" si="5"/>
        <v/>
      </c>
      <c r="O39" s="521" t="str">
        <f t="shared" ca="1" si="5"/>
        <v/>
      </c>
      <c r="P39" s="539">
        <f ca="1">IF(ISERROR(AVERAGE(J39:O39)),0,AVERAGE(J39:O39))</f>
        <v>0</v>
      </c>
      <c r="Q39" s="525" t="str">
        <f>Translate!$A$129</f>
        <v>days</v>
      </c>
      <c r="R39" s="372"/>
      <c r="S39" s="372"/>
      <c r="T39" s="523"/>
      <c r="U39" s="95"/>
      <c r="V39" s="95"/>
      <c r="W39" s="95"/>
      <c r="X39" s="95"/>
      <c r="Y39" s="95"/>
      <c r="Z39" s="95"/>
      <c r="AA39" s="95"/>
      <c r="AB39" s="95"/>
    </row>
    <row r="40" spans="1:28">
      <c r="A40" s="95" t="s">
        <v>407</v>
      </c>
      <c r="B40" s="95"/>
      <c r="C40" s="95"/>
      <c r="D40" s="95"/>
      <c r="E40" s="95"/>
      <c r="F40" s="95"/>
      <c r="G40" s="520"/>
      <c r="H40" s="372"/>
      <c r="I40" s="527" t="str">
        <f>Translate!$A$68</f>
        <v>Workforce</v>
      </c>
      <c r="J40" s="521" t="str">
        <f t="shared" ca="1" si="5"/>
        <v/>
      </c>
      <c r="K40" s="521" t="str">
        <f t="shared" ca="1" si="5"/>
        <v/>
      </c>
      <c r="L40" s="521" t="str">
        <f t="shared" ca="1" si="5"/>
        <v/>
      </c>
      <c r="M40" s="521" t="str">
        <f t="shared" ca="1" si="5"/>
        <v/>
      </c>
      <c r="N40" s="521" t="str">
        <f t="shared" ca="1" si="5"/>
        <v/>
      </c>
      <c r="O40" s="521" t="str">
        <f t="shared" ca="1" si="5"/>
        <v/>
      </c>
      <c r="P40" s="539">
        <f ca="1">IF(ISERROR(AVERAGE(J40:O40)),0,AVERAGE(J40:O40))</f>
        <v>0</v>
      </c>
      <c r="Q40" s="538" t="str">
        <f>Translate!$A$94</f>
        <v>Full-time equivalent</v>
      </c>
      <c r="R40" s="372"/>
      <c r="S40" s="372"/>
      <c r="T40" s="523"/>
      <c r="U40" s="95"/>
      <c r="V40" s="95"/>
      <c r="W40" s="95"/>
      <c r="X40" s="95"/>
      <c r="Y40" s="95"/>
      <c r="Z40" s="95"/>
      <c r="AA40" s="95"/>
      <c r="AB40" s="95"/>
    </row>
    <row r="41" spans="1:28" ht="15.75">
      <c r="A41" s="95" t="s">
        <v>408</v>
      </c>
      <c r="B41" s="95"/>
      <c r="C41" s="95"/>
      <c r="D41" s="95"/>
      <c r="E41" s="95"/>
      <c r="F41" s="95"/>
      <c r="G41" s="520"/>
      <c r="H41" s="372"/>
      <c r="I41" s="527" t="str">
        <f>Translate!$A$69</f>
        <v>Project value</v>
      </c>
      <c r="J41" s="521" t="str">
        <f t="shared" ca="1" si="5"/>
        <v/>
      </c>
      <c r="K41" s="521" t="str">
        <f t="shared" ca="1" si="5"/>
        <v/>
      </c>
      <c r="L41" s="521" t="str">
        <f t="shared" ca="1" si="5"/>
        <v/>
      </c>
      <c r="M41" s="521" t="str">
        <f t="shared" ca="1" si="5"/>
        <v/>
      </c>
      <c r="N41" s="521" t="str">
        <f t="shared" ca="1" si="5"/>
        <v/>
      </c>
      <c r="O41" s="521" t="str">
        <f t="shared" ca="1" si="5"/>
        <v/>
      </c>
      <c r="P41" s="524">
        <f ca="1">IF(ISERROR(AVERAGE(J41:O41)),0,AVERAGE(J41:O41))</f>
        <v>0</v>
      </c>
      <c r="Q41" s="525" t="str">
        <f ca="1">IF(P187&gt;0,Translate!$A$143,J186)</f>
        <v/>
      </c>
      <c r="R41" s="372"/>
      <c r="S41" s="372"/>
      <c r="T41" s="523"/>
      <c r="U41" s="95"/>
      <c r="V41" s="95"/>
      <c r="W41" s="95"/>
      <c r="X41" s="95"/>
      <c r="Y41" s="95"/>
      <c r="Z41" s="95"/>
      <c r="AA41" s="95"/>
      <c r="AB41" s="95"/>
    </row>
    <row r="42" spans="1:28" ht="15.75">
      <c r="A42" s="95" t="s">
        <v>409</v>
      </c>
      <c r="B42" s="95"/>
      <c r="C42" s="95"/>
      <c r="D42" s="95"/>
      <c r="E42" s="95"/>
      <c r="F42" s="95"/>
      <c r="G42" s="520"/>
      <c r="H42" s="372"/>
      <c r="I42" s="527" t="str">
        <f ca="1">IF(P189&gt;0,Translate!$A$71,J188)</f>
        <v/>
      </c>
      <c r="J42" s="521" t="str">
        <f t="shared" ca="1" si="5"/>
        <v/>
      </c>
      <c r="K42" s="521" t="str">
        <f t="shared" ca="1" si="5"/>
        <v/>
      </c>
      <c r="L42" s="521" t="str">
        <f t="shared" ca="1" si="5"/>
        <v/>
      </c>
      <c r="M42" s="521" t="str">
        <f t="shared" ca="1" si="5"/>
        <v/>
      </c>
      <c r="N42" s="521" t="str">
        <f t="shared" ca="1" si="5"/>
        <v/>
      </c>
      <c r="O42" s="521" t="str">
        <f t="shared" ca="1" si="5"/>
        <v/>
      </c>
      <c r="P42" s="526">
        <f ca="1">IF(SUM(J189:O189)&gt;0,"Functional units 1 are not the same",IF(SUM(J193:O193)&gt;0,"Check the unit",IF(ISERROR(AVERAGE(J42:O42)),0,AVERAGE(J42:O42))))</f>
        <v>0</v>
      </c>
      <c r="Q42" s="525" t="str">
        <f ca="1">IF(P193&gt;0,Translate!$A$143,J192)</f>
        <v/>
      </c>
      <c r="R42" s="372"/>
      <c r="S42" s="372"/>
      <c r="T42" s="523"/>
      <c r="U42" s="95"/>
      <c r="V42" s="95"/>
      <c r="W42" s="95"/>
      <c r="X42" s="95"/>
      <c r="Y42" s="95"/>
      <c r="Z42" s="95"/>
      <c r="AA42" s="95"/>
      <c r="AB42" s="95"/>
    </row>
    <row r="43" spans="1:28" ht="15.75">
      <c r="A43" s="95" t="s">
        <v>410</v>
      </c>
      <c r="B43" s="95"/>
      <c r="C43" s="95"/>
      <c r="D43" s="95"/>
      <c r="E43" s="95"/>
      <c r="F43" s="95"/>
      <c r="G43" s="520"/>
      <c r="H43" s="372"/>
      <c r="I43" s="527" t="str">
        <f ca="1">IF(P191&gt;0,Translate!$A$72,J190)</f>
        <v/>
      </c>
      <c r="J43" s="521" t="str">
        <f t="shared" ca="1" si="5"/>
        <v/>
      </c>
      <c r="K43" s="521" t="str">
        <f t="shared" ca="1" si="5"/>
        <v/>
      </c>
      <c r="L43" s="521" t="str">
        <f t="shared" ca="1" si="5"/>
        <v/>
      </c>
      <c r="M43" s="521" t="str">
        <f t="shared" ca="1" si="5"/>
        <v/>
      </c>
      <c r="N43" s="521" t="str">
        <f t="shared" ca="1" si="5"/>
        <v/>
      </c>
      <c r="O43" s="521" t="str">
        <f t="shared" ca="1" si="5"/>
        <v/>
      </c>
      <c r="P43" s="526">
        <f ca="1">IF(SUM(J191:O191)&gt;0,"Functional units 2 are not the same",IF(SUM(J195:O195)&gt;0,"Check the unit",IF(ISERROR(AVERAGE(J43:O43)),0,AVERAGE(J43:O43))))</f>
        <v>0</v>
      </c>
      <c r="Q43" s="525" t="str">
        <f ca="1">IF(P195&gt;0,Translate!$A$143,J194)</f>
        <v/>
      </c>
      <c r="R43" s="372"/>
      <c r="S43" s="372"/>
      <c r="T43" s="523"/>
      <c r="U43" s="95"/>
      <c r="V43" s="95"/>
      <c r="W43" s="95"/>
      <c r="X43" s="95"/>
      <c r="Y43" s="95"/>
      <c r="Z43" s="95"/>
      <c r="AA43" s="95"/>
      <c r="AB43" s="95"/>
    </row>
    <row r="44" spans="1:28">
      <c r="A44" s="95"/>
      <c r="B44" s="95"/>
      <c r="C44" s="95"/>
      <c r="D44" s="95"/>
      <c r="E44" s="95"/>
      <c r="F44" s="95"/>
      <c r="G44" s="520"/>
      <c r="H44" s="372"/>
      <c r="I44" s="372"/>
      <c r="J44" s="372"/>
      <c r="K44" s="372"/>
      <c r="L44" s="372"/>
      <c r="M44" s="372"/>
      <c r="N44" s="372"/>
      <c r="O44" s="372"/>
      <c r="P44" s="372"/>
      <c r="Q44" s="372"/>
      <c r="R44" s="372"/>
      <c r="S44" s="372"/>
      <c r="T44" s="523"/>
      <c r="U44" s="95"/>
      <c r="V44" s="95"/>
      <c r="W44" s="95"/>
      <c r="X44" s="95"/>
      <c r="Y44" s="95"/>
      <c r="Z44" s="95"/>
      <c r="AA44" s="95"/>
      <c r="AB44" s="95"/>
    </row>
    <row r="45" spans="1:28">
      <c r="A45" s="95"/>
      <c r="B45" s="95"/>
      <c r="C45" s="95"/>
      <c r="D45" s="95"/>
      <c r="E45" s="95"/>
      <c r="F45" s="95"/>
      <c r="G45" s="520"/>
      <c r="H45" s="372"/>
      <c r="I45" s="372"/>
      <c r="J45" s="372"/>
      <c r="K45" s="372"/>
      <c r="L45" s="372"/>
      <c r="M45" s="372"/>
      <c r="N45" s="372"/>
      <c r="O45" s="372"/>
      <c r="P45" s="372"/>
      <c r="Q45" s="372"/>
      <c r="R45" s="372"/>
      <c r="S45" s="372"/>
      <c r="T45" s="523"/>
      <c r="U45" s="95"/>
      <c r="V45" s="95"/>
      <c r="W45" s="95"/>
      <c r="X45" s="95"/>
      <c r="Y45" s="95"/>
      <c r="Z45" s="95"/>
      <c r="AA45" s="95"/>
      <c r="AB45" s="95"/>
    </row>
    <row r="46" spans="1:28">
      <c r="A46" s="95"/>
      <c r="B46" s="95"/>
      <c r="C46" s="95"/>
      <c r="D46" s="95"/>
      <c r="E46" s="95"/>
      <c r="F46" s="95"/>
      <c r="G46" s="520"/>
      <c r="H46" s="372"/>
      <c r="I46" s="372"/>
      <c r="J46" s="372"/>
      <c r="K46" s="379"/>
      <c r="L46" s="372"/>
      <c r="M46" s="372"/>
      <c r="N46" s="372"/>
      <c r="O46" s="372"/>
      <c r="P46" s="372"/>
      <c r="Q46" s="372"/>
      <c r="R46" s="372"/>
      <c r="S46" s="372"/>
      <c r="T46" s="523"/>
      <c r="U46" s="95"/>
      <c r="V46" s="95"/>
      <c r="W46" s="95"/>
      <c r="X46" s="95"/>
      <c r="Y46" s="95"/>
      <c r="Z46" s="95"/>
      <c r="AA46" s="95"/>
      <c r="AB46" s="95"/>
    </row>
    <row r="47" spans="1:28">
      <c r="A47" s="95"/>
      <c r="B47" s="95"/>
      <c r="C47" s="95"/>
      <c r="D47" s="95"/>
      <c r="E47" s="95"/>
      <c r="F47" s="95"/>
      <c r="G47" s="520"/>
      <c r="H47" s="372"/>
      <c r="I47" s="372"/>
      <c r="J47" s="372"/>
      <c r="K47" s="372"/>
      <c r="L47" s="372"/>
      <c r="M47" s="372"/>
      <c r="N47" s="372"/>
      <c r="O47" s="372"/>
      <c r="P47" s="372"/>
      <c r="Q47" s="372"/>
      <c r="R47" s="372"/>
      <c r="S47" s="372"/>
      <c r="T47" s="523"/>
      <c r="U47" s="95"/>
      <c r="V47" s="95"/>
      <c r="W47" s="95"/>
      <c r="X47" s="95"/>
      <c r="Y47" s="95"/>
      <c r="Z47" s="95"/>
      <c r="AA47" s="95"/>
      <c r="AB47" s="95"/>
    </row>
    <row r="48" spans="1:28">
      <c r="A48" s="95"/>
      <c r="B48" s="95"/>
      <c r="C48" s="95"/>
      <c r="D48" s="95"/>
      <c r="E48" s="95"/>
      <c r="F48" s="95"/>
      <c r="G48" s="520"/>
      <c r="H48" s="372"/>
      <c r="I48" s="372"/>
      <c r="J48" s="372"/>
      <c r="K48" s="372"/>
      <c r="L48" s="372"/>
      <c r="M48" s="372"/>
      <c r="N48" s="372"/>
      <c r="O48" s="372"/>
      <c r="P48" s="372"/>
      <c r="Q48" s="372"/>
      <c r="R48" s="372"/>
      <c r="S48" s="372"/>
      <c r="T48" s="523"/>
      <c r="U48" s="95"/>
      <c r="V48" s="95"/>
      <c r="W48" s="95"/>
      <c r="X48" s="95"/>
      <c r="Y48" s="95"/>
      <c r="Z48" s="95"/>
      <c r="AA48" s="95"/>
      <c r="AB48" s="95"/>
    </row>
    <row r="49" spans="1:28">
      <c r="A49" s="95"/>
      <c r="B49" s="95"/>
      <c r="C49" s="95"/>
      <c r="D49" s="95"/>
      <c r="E49" s="95"/>
      <c r="F49" s="95"/>
      <c r="G49" s="520"/>
      <c r="H49" s="372"/>
      <c r="I49" s="372"/>
      <c r="J49" s="372"/>
      <c r="K49" s="372"/>
      <c r="L49" s="372"/>
      <c r="M49" s="372"/>
      <c r="N49" s="372"/>
      <c r="O49" s="372"/>
      <c r="P49" s="372"/>
      <c r="Q49" s="372"/>
      <c r="R49" s="372"/>
      <c r="S49" s="372"/>
      <c r="T49" s="523"/>
      <c r="U49" s="95"/>
      <c r="V49" s="95"/>
      <c r="W49" s="95"/>
      <c r="X49" s="95"/>
      <c r="Y49" s="95"/>
      <c r="Z49" s="95"/>
      <c r="AA49" s="95"/>
      <c r="AB49" s="95"/>
    </row>
    <row r="50" spans="1:28">
      <c r="A50" s="95"/>
      <c r="B50" s="95"/>
      <c r="C50" s="95"/>
      <c r="D50" s="95"/>
      <c r="E50" s="95"/>
      <c r="F50" s="95"/>
      <c r="G50" s="520"/>
      <c r="H50" s="372"/>
      <c r="I50" s="372"/>
      <c r="J50" s="372"/>
      <c r="K50" s="372"/>
      <c r="L50" s="372"/>
      <c r="M50" s="372"/>
      <c r="N50" s="372"/>
      <c r="O50" s="372"/>
      <c r="P50" s="372"/>
      <c r="Q50" s="372"/>
      <c r="R50" s="372"/>
      <c r="S50" s="372"/>
      <c r="T50" s="523"/>
      <c r="U50" s="95"/>
      <c r="V50" s="95"/>
      <c r="W50" s="95"/>
      <c r="X50" s="95"/>
      <c r="Y50" s="95"/>
      <c r="Z50" s="95"/>
      <c r="AA50" s="95"/>
      <c r="AB50" s="95"/>
    </row>
    <row r="51" spans="1:28">
      <c r="A51" s="95"/>
      <c r="B51" s="95"/>
      <c r="C51" s="95"/>
      <c r="D51" s="95"/>
      <c r="E51" s="95"/>
      <c r="F51" s="95"/>
      <c r="G51" s="520"/>
      <c r="H51" s="372"/>
      <c r="I51" s="372"/>
      <c r="J51" s="372"/>
      <c r="K51" s="372"/>
      <c r="L51" s="372"/>
      <c r="M51" s="372"/>
      <c r="N51" s="372"/>
      <c r="O51" s="372"/>
      <c r="P51" s="372"/>
      <c r="Q51" s="372"/>
      <c r="R51" s="372"/>
      <c r="S51" s="372"/>
      <c r="T51" s="523"/>
      <c r="U51" s="95"/>
      <c r="V51" s="95"/>
      <c r="W51" s="95"/>
      <c r="X51" s="95"/>
      <c r="Y51" s="95"/>
      <c r="Z51" s="95"/>
      <c r="AA51" s="95"/>
      <c r="AB51" s="95"/>
    </row>
    <row r="52" spans="1:28">
      <c r="A52" s="95"/>
      <c r="B52" s="95"/>
      <c r="C52" s="95"/>
      <c r="D52" s="95"/>
      <c r="E52" s="95"/>
      <c r="F52" s="95"/>
      <c r="G52" s="520"/>
      <c r="H52" s="372"/>
      <c r="I52" s="372"/>
      <c r="J52" s="372"/>
      <c r="K52" s="372"/>
      <c r="L52" s="372"/>
      <c r="M52" s="372"/>
      <c r="N52" s="372"/>
      <c r="O52" s="372"/>
      <c r="P52" s="372"/>
      <c r="Q52" s="372"/>
      <c r="R52" s="372"/>
      <c r="S52" s="372"/>
      <c r="T52" s="523"/>
      <c r="U52" s="95"/>
      <c r="V52" s="95"/>
      <c r="W52" s="95"/>
      <c r="X52" s="95"/>
      <c r="Y52" s="95"/>
      <c r="Z52" s="95"/>
      <c r="AA52" s="95"/>
      <c r="AB52" s="95"/>
    </row>
    <row r="53" spans="1:28">
      <c r="A53" s="95"/>
      <c r="B53" s="95"/>
      <c r="C53" s="95"/>
      <c r="D53" s="95"/>
      <c r="E53" s="95"/>
      <c r="F53" s="95"/>
      <c r="G53" s="520"/>
      <c r="H53" s="372"/>
      <c r="I53" s="372"/>
      <c r="J53" s="372"/>
      <c r="K53" s="372"/>
      <c r="L53" s="372"/>
      <c r="M53" s="372"/>
      <c r="N53" s="372"/>
      <c r="O53" s="372"/>
      <c r="P53" s="372"/>
      <c r="Q53" s="372"/>
      <c r="R53" s="372"/>
      <c r="S53" s="372"/>
      <c r="T53" s="523"/>
      <c r="U53" s="95"/>
      <c r="V53" s="95"/>
      <c r="W53" s="95"/>
      <c r="X53" s="95"/>
      <c r="Y53" s="95"/>
      <c r="Z53" s="95"/>
      <c r="AA53" s="95"/>
      <c r="AB53" s="95"/>
    </row>
    <row r="54" spans="1:28">
      <c r="A54" s="95"/>
      <c r="B54" s="95"/>
      <c r="C54" s="95"/>
      <c r="D54" s="95"/>
      <c r="E54" s="95"/>
      <c r="F54" s="95"/>
      <c r="G54" s="520"/>
      <c r="H54" s="372"/>
      <c r="I54" s="372"/>
      <c r="J54" s="372"/>
      <c r="K54" s="372"/>
      <c r="L54" s="372"/>
      <c r="M54" s="372"/>
      <c r="N54" s="372"/>
      <c r="O54" s="372"/>
      <c r="P54" s="372"/>
      <c r="Q54" s="372"/>
      <c r="R54" s="372"/>
      <c r="S54" s="372"/>
      <c r="T54" s="523"/>
      <c r="U54" s="95"/>
      <c r="V54" s="95"/>
      <c r="W54" s="95"/>
      <c r="X54" s="95"/>
      <c r="Y54" s="95"/>
      <c r="Z54" s="95"/>
      <c r="AA54" s="95"/>
      <c r="AB54" s="95"/>
    </row>
    <row r="55" spans="1:28">
      <c r="A55" s="95"/>
      <c r="B55" s="95"/>
      <c r="C55" s="95"/>
      <c r="D55" s="95"/>
      <c r="E55" s="95"/>
      <c r="F55" s="95"/>
      <c r="G55" s="520"/>
      <c r="H55" s="372"/>
      <c r="I55" s="372"/>
      <c r="J55" s="372"/>
      <c r="K55" s="372"/>
      <c r="L55" s="372"/>
      <c r="M55" s="372"/>
      <c r="N55" s="372"/>
      <c r="O55" s="372"/>
      <c r="P55" s="372"/>
      <c r="Q55" s="372"/>
      <c r="R55" s="372"/>
      <c r="S55" s="372"/>
      <c r="T55" s="523"/>
      <c r="U55" s="95"/>
      <c r="V55" s="95"/>
      <c r="W55" s="95"/>
      <c r="X55" s="95"/>
      <c r="Y55" s="95"/>
      <c r="Z55" s="95"/>
      <c r="AA55" s="95"/>
      <c r="AB55" s="95"/>
    </row>
    <row r="56" spans="1:28">
      <c r="A56" s="95"/>
      <c r="B56" s="95"/>
      <c r="C56" s="95"/>
      <c r="D56" s="95"/>
      <c r="E56" s="95"/>
      <c r="F56" s="95"/>
      <c r="G56" s="520"/>
      <c r="H56" s="372"/>
      <c r="I56" s="372"/>
      <c r="J56" s="372"/>
      <c r="K56" s="372"/>
      <c r="L56" s="372"/>
      <c r="M56" s="372"/>
      <c r="N56" s="372"/>
      <c r="O56" s="372"/>
      <c r="P56" s="372"/>
      <c r="Q56" s="372"/>
      <c r="R56" s="372"/>
      <c r="S56" s="372"/>
      <c r="T56" s="523"/>
      <c r="U56" s="95"/>
      <c r="V56" s="95"/>
      <c r="W56" s="95"/>
      <c r="X56" s="95"/>
      <c r="Y56" s="95"/>
      <c r="Z56" s="95"/>
      <c r="AA56" s="95"/>
      <c r="AB56" s="95"/>
    </row>
    <row r="57" spans="1:28">
      <c r="A57" s="95"/>
      <c r="B57" s="95"/>
      <c r="C57" s="95"/>
      <c r="D57" s="95"/>
      <c r="E57" s="95"/>
      <c r="F57" s="95"/>
      <c r="G57" s="520"/>
      <c r="H57" s="372"/>
      <c r="I57" s="372"/>
      <c r="J57" s="372"/>
      <c r="K57" s="372"/>
      <c r="L57" s="372"/>
      <c r="M57" s="372"/>
      <c r="N57" s="372"/>
      <c r="O57" s="372"/>
      <c r="P57" s="372"/>
      <c r="Q57" s="372"/>
      <c r="R57" s="372"/>
      <c r="S57" s="372"/>
      <c r="T57" s="523"/>
      <c r="U57" s="95"/>
      <c r="V57" s="95"/>
      <c r="W57" s="95"/>
      <c r="X57" s="95"/>
      <c r="Y57" s="95"/>
      <c r="Z57" s="95"/>
      <c r="AA57" s="95"/>
      <c r="AB57" s="95"/>
    </row>
    <row r="58" spans="1:28">
      <c r="A58" s="95"/>
      <c r="B58" s="95"/>
      <c r="C58" s="95"/>
      <c r="D58" s="95"/>
      <c r="E58" s="95"/>
      <c r="F58" s="95"/>
      <c r="G58" s="520"/>
      <c r="H58" s="372"/>
      <c r="I58" s="372"/>
      <c r="J58" s="372"/>
      <c r="K58" s="372"/>
      <c r="L58" s="372"/>
      <c r="M58" s="372"/>
      <c r="N58" s="372"/>
      <c r="O58" s="372"/>
      <c r="P58" s="372"/>
      <c r="Q58" s="372"/>
      <c r="R58" s="372"/>
      <c r="S58" s="372"/>
      <c r="T58" s="523"/>
      <c r="U58" s="95"/>
      <c r="V58" s="95"/>
      <c r="W58" s="95"/>
      <c r="X58" s="95"/>
      <c r="Y58" s="95"/>
      <c r="Z58" s="95"/>
      <c r="AA58" s="95"/>
      <c r="AB58" s="95"/>
    </row>
    <row r="59" spans="1:28">
      <c r="A59" s="95"/>
      <c r="B59" s="95"/>
      <c r="C59" s="95"/>
      <c r="D59" s="95"/>
      <c r="E59" s="95"/>
      <c r="F59" s="95"/>
      <c r="G59" s="520"/>
      <c r="H59" s="372"/>
      <c r="I59" s="372"/>
      <c r="J59" s="372"/>
      <c r="K59" s="372"/>
      <c r="L59" s="372"/>
      <c r="M59" s="372"/>
      <c r="N59" s="372"/>
      <c r="O59" s="372"/>
      <c r="P59" s="372"/>
      <c r="Q59" s="372"/>
      <c r="R59" s="372"/>
      <c r="S59" s="372"/>
      <c r="T59" s="523"/>
      <c r="U59" s="95"/>
      <c r="V59" s="95"/>
      <c r="W59" s="95"/>
      <c r="X59" s="95"/>
      <c r="Y59" s="95"/>
      <c r="Z59" s="95"/>
      <c r="AA59" s="95"/>
      <c r="AB59" s="95"/>
    </row>
    <row r="60" spans="1:28">
      <c r="A60" s="95"/>
      <c r="B60" s="95"/>
      <c r="C60" s="95"/>
      <c r="D60" s="95"/>
      <c r="E60" s="95"/>
      <c r="F60" s="95"/>
      <c r="G60" s="520"/>
      <c r="H60" s="372"/>
      <c r="I60" s="372"/>
      <c r="J60" s="372"/>
      <c r="K60" s="372"/>
      <c r="L60" s="372"/>
      <c r="M60" s="372"/>
      <c r="N60" s="372"/>
      <c r="O60" s="372"/>
      <c r="P60" s="372"/>
      <c r="Q60" s="372"/>
      <c r="R60" s="372"/>
      <c r="S60" s="372"/>
      <c r="T60" s="523"/>
      <c r="U60" s="95"/>
      <c r="V60" s="95"/>
      <c r="W60" s="95"/>
      <c r="X60" s="95"/>
      <c r="Y60" s="95"/>
      <c r="Z60" s="95"/>
      <c r="AA60" s="95"/>
      <c r="AB60" s="95"/>
    </row>
    <row r="61" spans="1:28">
      <c r="A61" s="95"/>
      <c r="B61" s="95"/>
      <c r="C61" s="95"/>
      <c r="D61" s="95"/>
      <c r="E61" s="95"/>
      <c r="F61" s="95"/>
      <c r="G61" s="520"/>
      <c r="H61" s="372"/>
      <c r="I61" s="372"/>
      <c r="J61" s="372"/>
      <c r="K61" s="372"/>
      <c r="L61" s="372"/>
      <c r="M61" s="372"/>
      <c r="N61" s="372"/>
      <c r="O61" s="372"/>
      <c r="P61" s="372"/>
      <c r="Q61" s="372"/>
      <c r="R61" s="372"/>
      <c r="S61" s="372"/>
      <c r="T61" s="523"/>
      <c r="U61" s="95"/>
      <c r="V61" s="95"/>
      <c r="W61" s="95"/>
      <c r="X61" s="95"/>
      <c r="Y61" s="95"/>
      <c r="Z61" s="95"/>
      <c r="AA61" s="95"/>
      <c r="AB61" s="95"/>
    </row>
    <row r="62" spans="1:28">
      <c r="A62" s="95"/>
      <c r="B62" s="95"/>
      <c r="C62" s="95"/>
      <c r="D62" s="95"/>
      <c r="E62" s="95"/>
      <c r="F62" s="95"/>
      <c r="G62" s="520"/>
      <c r="H62" s="372"/>
      <c r="I62" s="372"/>
      <c r="J62" s="372"/>
      <c r="K62" s="372"/>
      <c r="L62" s="372"/>
      <c r="M62" s="372"/>
      <c r="N62" s="372"/>
      <c r="O62" s="372"/>
      <c r="P62" s="372"/>
      <c r="Q62" s="372"/>
      <c r="R62" s="372"/>
      <c r="S62" s="372"/>
      <c r="T62" s="523"/>
      <c r="U62" s="95"/>
      <c r="V62" s="95"/>
      <c r="W62" s="95"/>
      <c r="X62" s="95"/>
      <c r="Y62" s="95"/>
      <c r="Z62" s="95"/>
      <c r="AA62" s="95"/>
      <c r="AB62" s="95"/>
    </row>
    <row r="63" spans="1:28">
      <c r="A63" s="95"/>
      <c r="B63" s="95"/>
      <c r="C63" s="95"/>
      <c r="D63" s="95"/>
      <c r="E63" s="95"/>
      <c r="F63" s="95"/>
      <c r="G63" s="520"/>
      <c r="H63" s="372"/>
      <c r="I63" s="372"/>
      <c r="J63" s="372"/>
      <c r="K63" s="372"/>
      <c r="L63" s="372"/>
      <c r="M63" s="372"/>
      <c r="N63" s="372"/>
      <c r="O63" s="372"/>
      <c r="P63" s="372"/>
      <c r="Q63" s="372"/>
      <c r="R63" s="372"/>
      <c r="S63" s="372"/>
      <c r="T63" s="523"/>
      <c r="U63" s="95"/>
      <c r="V63" s="95"/>
      <c r="W63" s="95"/>
      <c r="X63" s="95"/>
      <c r="Y63" s="95"/>
      <c r="Z63" s="95"/>
      <c r="AA63" s="95"/>
      <c r="AB63" s="95"/>
    </row>
    <row r="64" spans="1:28">
      <c r="A64" s="95"/>
      <c r="B64" s="95"/>
      <c r="C64" s="95"/>
      <c r="D64" s="95"/>
      <c r="E64" s="95"/>
      <c r="F64" s="95"/>
      <c r="G64" s="520"/>
      <c r="H64" s="372"/>
      <c r="I64" s="372"/>
      <c r="J64" s="372"/>
      <c r="K64" s="372"/>
      <c r="L64" s="372"/>
      <c r="M64" s="372"/>
      <c r="N64" s="372"/>
      <c r="O64" s="372"/>
      <c r="P64" s="372"/>
      <c r="Q64" s="372"/>
      <c r="R64" s="372"/>
      <c r="S64" s="372"/>
      <c r="T64" s="523"/>
      <c r="U64" s="95"/>
      <c r="V64" s="95"/>
      <c r="W64" s="95"/>
      <c r="X64" s="95"/>
      <c r="Y64" s="95"/>
      <c r="Z64" s="95"/>
      <c r="AA64" s="95"/>
      <c r="AB64" s="95"/>
    </row>
    <row r="65" spans="1:28">
      <c r="A65" s="95"/>
      <c r="B65" s="95"/>
      <c r="C65" s="95"/>
      <c r="D65" s="95"/>
      <c r="E65" s="95"/>
      <c r="F65" s="95"/>
      <c r="G65" s="520"/>
      <c r="H65" s="372"/>
      <c r="I65" s="372"/>
      <c r="J65" s="372"/>
      <c r="K65" s="372"/>
      <c r="L65" s="372"/>
      <c r="M65" s="372"/>
      <c r="N65" s="372"/>
      <c r="O65" s="372"/>
      <c r="P65" s="372"/>
      <c r="Q65" s="372"/>
      <c r="R65" s="372"/>
      <c r="S65" s="372"/>
      <c r="T65" s="523"/>
      <c r="U65" s="95"/>
      <c r="V65" s="95"/>
      <c r="W65" s="95"/>
      <c r="X65" s="95"/>
      <c r="Y65" s="95"/>
      <c r="Z65" s="95"/>
      <c r="AA65" s="95"/>
      <c r="AB65" s="95"/>
    </row>
    <row r="66" spans="1:28">
      <c r="A66" s="95"/>
      <c r="B66" s="95"/>
      <c r="C66" s="95"/>
      <c r="D66" s="95"/>
      <c r="E66" s="95"/>
      <c r="F66" s="95"/>
      <c r="G66" s="520"/>
      <c r="H66" s="372"/>
      <c r="I66" s="372"/>
      <c r="J66" s="372"/>
      <c r="K66" s="372"/>
      <c r="L66" s="372"/>
      <c r="M66" s="372"/>
      <c r="N66" s="372"/>
      <c r="O66" s="372"/>
      <c r="P66" s="372"/>
      <c r="Q66" s="372"/>
      <c r="R66" s="372"/>
      <c r="S66" s="372"/>
      <c r="T66" s="523"/>
      <c r="U66" s="95"/>
      <c r="V66" s="95"/>
      <c r="W66" s="95"/>
      <c r="X66" s="95"/>
      <c r="Y66" s="95"/>
      <c r="Z66" s="95"/>
      <c r="AA66" s="95"/>
      <c r="AB66" s="95"/>
    </row>
    <row r="67" spans="1:28">
      <c r="A67" s="95"/>
      <c r="B67" s="95"/>
      <c r="C67" s="95"/>
      <c r="D67" s="95"/>
      <c r="E67" s="95"/>
      <c r="F67" s="95"/>
      <c r="G67" s="520"/>
      <c r="H67" s="372"/>
      <c r="I67" s="372"/>
      <c r="J67" s="372"/>
      <c r="K67" s="372"/>
      <c r="L67" s="372"/>
      <c r="M67" s="372"/>
      <c r="N67" s="372"/>
      <c r="O67" s="372"/>
      <c r="P67" s="372"/>
      <c r="Q67" s="372"/>
      <c r="R67" s="372"/>
      <c r="S67" s="372"/>
      <c r="T67" s="523"/>
      <c r="U67" s="95"/>
      <c r="V67" s="95"/>
      <c r="W67" s="95"/>
      <c r="X67" s="95"/>
      <c r="Y67" s="95"/>
      <c r="Z67" s="95"/>
      <c r="AA67" s="95"/>
      <c r="AB67" s="95"/>
    </row>
    <row r="68" spans="1:28">
      <c r="A68" s="95"/>
      <c r="B68" s="95"/>
      <c r="C68" s="95"/>
      <c r="D68" s="95"/>
      <c r="E68" s="95"/>
      <c r="F68" s="95"/>
      <c r="G68" s="520"/>
      <c r="H68" s="372"/>
      <c r="I68" s="372"/>
      <c r="J68" s="372"/>
      <c r="K68" s="372"/>
      <c r="L68" s="372"/>
      <c r="M68" s="372"/>
      <c r="N68" s="372"/>
      <c r="O68" s="372"/>
      <c r="P68" s="372"/>
      <c r="Q68" s="372"/>
      <c r="R68" s="372"/>
      <c r="S68" s="372"/>
      <c r="T68" s="523"/>
      <c r="U68" s="95"/>
      <c r="V68" s="95"/>
      <c r="W68" s="95"/>
      <c r="X68" s="95"/>
      <c r="Y68" s="95"/>
      <c r="Z68" s="95"/>
      <c r="AA68" s="95"/>
      <c r="AB68" s="95"/>
    </row>
    <row r="69" spans="1:28">
      <c r="A69" s="95"/>
      <c r="B69" s="95"/>
      <c r="C69" s="95"/>
      <c r="D69" s="95"/>
      <c r="E69" s="95"/>
      <c r="F69" s="95"/>
      <c r="G69" s="520"/>
      <c r="H69" s="372"/>
      <c r="I69" s="372"/>
      <c r="J69" s="372"/>
      <c r="K69" s="372"/>
      <c r="L69" s="372"/>
      <c r="M69" s="372"/>
      <c r="N69" s="372"/>
      <c r="O69" s="372"/>
      <c r="P69" s="372"/>
      <c r="Q69" s="372"/>
      <c r="R69" s="372"/>
      <c r="S69" s="372"/>
      <c r="T69" s="523"/>
      <c r="U69" s="95"/>
      <c r="V69" s="95"/>
      <c r="W69" s="95"/>
      <c r="X69" s="95"/>
      <c r="Y69" s="95"/>
      <c r="Z69" s="95"/>
      <c r="AA69" s="95"/>
      <c r="AB69" s="95"/>
    </row>
    <row r="70" spans="1:28">
      <c r="A70" s="95"/>
      <c r="B70" s="95"/>
      <c r="C70" s="95"/>
      <c r="D70" s="95"/>
      <c r="E70" s="95"/>
      <c r="F70" s="95"/>
      <c r="G70" s="520"/>
      <c r="H70" s="372"/>
      <c r="I70" s="372"/>
      <c r="J70" s="372"/>
      <c r="K70" s="372"/>
      <c r="L70" s="372"/>
      <c r="M70" s="372"/>
      <c r="N70" s="372"/>
      <c r="O70" s="372"/>
      <c r="P70" s="372"/>
      <c r="Q70" s="372"/>
      <c r="R70" s="372"/>
      <c r="S70" s="372"/>
      <c r="T70" s="523"/>
      <c r="U70" s="95"/>
      <c r="V70" s="95"/>
      <c r="W70" s="95"/>
      <c r="X70" s="95"/>
      <c r="Y70" s="95"/>
      <c r="Z70" s="95"/>
      <c r="AA70" s="95"/>
      <c r="AB70" s="95"/>
    </row>
    <row r="71" spans="1:28">
      <c r="A71" s="95"/>
      <c r="B71" s="95"/>
      <c r="C71" s="95"/>
      <c r="D71" s="95"/>
      <c r="E71" s="95"/>
      <c r="F71" s="95"/>
      <c r="G71" s="520"/>
      <c r="H71" s="372"/>
      <c r="I71" s="372"/>
      <c r="J71" s="372"/>
      <c r="K71" s="372"/>
      <c r="L71" s="372"/>
      <c r="M71" s="372"/>
      <c r="N71" s="372"/>
      <c r="O71" s="372"/>
      <c r="P71" s="372"/>
      <c r="Q71" s="372"/>
      <c r="R71" s="372"/>
      <c r="S71" s="372"/>
      <c r="T71" s="523"/>
      <c r="U71" s="95"/>
      <c r="V71" s="95"/>
      <c r="W71" s="95"/>
      <c r="X71" s="95"/>
      <c r="Y71" s="95"/>
      <c r="Z71" s="95"/>
      <c r="AA71" s="95"/>
      <c r="AB71" s="95"/>
    </row>
    <row r="72" spans="1:28">
      <c r="A72" s="95"/>
      <c r="B72" s="95"/>
      <c r="C72" s="95"/>
      <c r="D72" s="95"/>
      <c r="E72" s="95"/>
      <c r="F72" s="95"/>
      <c r="G72" s="520"/>
      <c r="H72" s="372"/>
      <c r="I72" s="372"/>
      <c r="J72" s="372"/>
      <c r="K72" s="372"/>
      <c r="L72" s="372"/>
      <c r="M72" s="372"/>
      <c r="N72" s="372"/>
      <c r="O72" s="372"/>
      <c r="P72" s="372"/>
      <c r="Q72" s="372"/>
      <c r="R72" s="372"/>
      <c r="S72" s="372"/>
      <c r="T72" s="523"/>
      <c r="U72" s="95"/>
      <c r="V72" s="95"/>
      <c r="W72" s="95"/>
      <c r="X72" s="95"/>
      <c r="Y72" s="95"/>
      <c r="Z72" s="95"/>
      <c r="AA72" s="95"/>
      <c r="AB72" s="95"/>
    </row>
    <row r="73" spans="1:28">
      <c r="A73" s="95"/>
      <c r="B73" s="95"/>
      <c r="C73" s="95"/>
      <c r="D73" s="95"/>
      <c r="E73" s="95"/>
      <c r="F73" s="95"/>
      <c r="G73" s="520"/>
      <c r="H73" s="372"/>
      <c r="I73" s="372"/>
      <c r="J73" s="372"/>
      <c r="K73" s="372"/>
      <c r="L73" s="372"/>
      <c r="M73" s="372"/>
      <c r="N73" s="372"/>
      <c r="O73" s="372"/>
      <c r="P73" s="372"/>
      <c r="Q73" s="372"/>
      <c r="R73" s="372"/>
      <c r="S73" s="372"/>
      <c r="T73" s="523"/>
      <c r="U73" s="95"/>
      <c r="V73" s="95"/>
      <c r="W73" s="95"/>
      <c r="X73" s="95"/>
      <c r="Y73" s="95"/>
      <c r="Z73" s="95"/>
      <c r="AA73" s="95"/>
      <c r="AB73" s="95"/>
    </row>
    <row r="74" spans="1:28">
      <c r="A74" s="95"/>
      <c r="B74" s="95"/>
      <c r="C74" s="95"/>
      <c r="D74" s="95"/>
      <c r="E74" s="95"/>
      <c r="F74" s="95"/>
      <c r="G74" s="520"/>
      <c r="H74" s="372"/>
      <c r="I74" s="372"/>
      <c r="J74" s="372"/>
      <c r="K74" s="372"/>
      <c r="L74" s="372"/>
      <c r="M74" s="372"/>
      <c r="N74" s="372"/>
      <c r="O74" s="372"/>
      <c r="P74" s="372"/>
      <c r="Q74" s="372"/>
      <c r="R74" s="372"/>
      <c r="S74" s="372"/>
      <c r="T74" s="523"/>
      <c r="U74" s="95"/>
      <c r="V74" s="95"/>
      <c r="W74" s="95"/>
      <c r="X74" s="95"/>
      <c r="Y74" s="95"/>
      <c r="Z74" s="95"/>
      <c r="AA74" s="95"/>
      <c r="AB74" s="95"/>
    </row>
    <row r="75" spans="1:28">
      <c r="A75" s="95"/>
      <c r="B75" s="95"/>
      <c r="C75" s="95"/>
      <c r="D75" s="95"/>
      <c r="E75" s="95"/>
      <c r="F75" s="95"/>
      <c r="G75" s="520"/>
      <c r="H75" s="372"/>
      <c r="I75" s="372"/>
      <c r="J75" s="372"/>
      <c r="K75" s="372"/>
      <c r="L75" s="372"/>
      <c r="M75" s="372"/>
      <c r="N75" s="372"/>
      <c r="O75" s="372"/>
      <c r="P75" s="372"/>
      <c r="Q75" s="372"/>
      <c r="R75" s="372"/>
      <c r="S75" s="372"/>
      <c r="T75" s="523"/>
      <c r="U75" s="95"/>
      <c r="V75" s="95"/>
      <c r="W75" s="95"/>
      <c r="X75" s="95"/>
      <c r="Y75" s="95"/>
      <c r="Z75" s="95"/>
      <c r="AA75" s="95"/>
      <c r="AB75" s="95"/>
    </row>
    <row r="76" spans="1:28">
      <c r="A76" s="95"/>
      <c r="B76" s="95"/>
      <c r="C76" s="95"/>
      <c r="D76" s="95"/>
      <c r="E76" s="95"/>
      <c r="F76" s="95"/>
      <c r="G76" s="520"/>
      <c r="H76" s="372"/>
      <c r="I76" s="372"/>
      <c r="J76" s="372"/>
      <c r="K76" s="372"/>
      <c r="L76" s="372"/>
      <c r="M76" s="372"/>
      <c r="N76" s="372"/>
      <c r="O76" s="372"/>
      <c r="P76" s="372"/>
      <c r="Q76" s="372"/>
      <c r="R76" s="372"/>
      <c r="S76" s="372"/>
      <c r="T76" s="523"/>
      <c r="U76" s="95"/>
      <c r="V76" s="95"/>
      <c r="W76" s="95"/>
      <c r="X76" s="95"/>
      <c r="Y76" s="95"/>
      <c r="Z76" s="95"/>
      <c r="AA76" s="95"/>
      <c r="AB76" s="95"/>
    </row>
    <row r="77" spans="1:28">
      <c r="A77" s="95"/>
      <c r="B77" s="95"/>
      <c r="C77" s="95"/>
      <c r="D77" s="95"/>
      <c r="E77" s="95"/>
      <c r="F77" s="95"/>
      <c r="G77" s="520"/>
      <c r="H77" s="372"/>
      <c r="I77" s="372"/>
      <c r="J77" s="372"/>
      <c r="K77" s="372"/>
      <c r="L77" s="372"/>
      <c r="M77" s="372"/>
      <c r="N77" s="372"/>
      <c r="O77" s="372"/>
      <c r="P77" s="372"/>
      <c r="Q77" s="372"/>
      <c r="R77" s="372"/>
      <c r="S77" s="372"/>
      <c r="T77" s="523"/>
      <c r="U77" s="95"/>
      <c r="V77" s="95"/>
      <c r="W77" s="95"/>
      <c r="X77" s="95"/>
      <c r="Y77" s="95"/>
      <c r="Z77" s="95"/>
      <c r="AA77" s="95"/>
      <c r="AB77" s="95"/>
    </row>
    <row r="78" spans="1:28">
      <c r="A78" s="95"/>
      <c r="B78" s="95"/>
      <c r="C78" s="95"/>
      <c r="D78" s="95"/>
      <c r="E78" s="95"/>
      <c r="F78" s="95"/>
      <c r="G78" s="520"/>
      <c r="H78" s="372"/>
      <c r="I78" s="372"/>
      <c r="J78" s="372"/>
      <c r="K78" s="372"/>
      <c r="L78" s="372"/>
      <c r="M78" s="372"/>
      <c r="N78" s="372"/>
      <c r="O78" s="372"/>
      <c r="P78" s="372"/>
      <c r="Q78" s="372"/>
      <c r="R78" s="372"/>
      <c r="S78" s="372"/>
      <c r="T78" s="523"/>
      <c r="U78" s="95"/>
      <c r="V78" s="95"/>
      <c r="W78" s="95"/>
      <c r="X78" s="95"/>
      <c r="Y78" s="95"/>
      <c r="Z78" s="95"/>
      <c r="AA78" s="95"/>
      <c r="AB78" s="95"/>
    </row>
    <row r="79" spans="1:28">
      <c r="A79" s="95"/>
      <c r="B79" s="95"/>
      <c r="C79" s="95"/>
      <c r="D79" s="95"/>
      <c r="E79" s="95"/>
      <c r="F79" s="95"/>
      <c r="G79" s="520"/>
      <c r="H79" s="372"/>
      <c r="I79" s="372"/>
      <c r="J79" s="372"/>
      <c r="K79" s="372"/>
      <c r="L79" s="372"/>
      <c r="M79" s="372"/>
      <c r="N79" s="372"/>
      <c r="O79" s="372"/>
      <c r="P79" s="372"/>
      <c r="Q79" s="372"/>
      <c r="R79" s="372"/>
      <c r="S79" s="372"/>
      <c r="T79" s="523"/>
      <c r="U79" s="95"/>
      <c r="V79" s="95"/>
      <c r="W79" s="95"/>
      <c r="X79" s="95"/>
      <c r="Y79" s="95"/>
      <c r="Z79" s="95"/>
      <c r="AA79" s="95"/>
      <c r="AB79" s="95"/>
    </row>
    <row r="80" spans="1:28">
      <c r="A80" s="95"/>
      <c r="B80" s="95"/>
      <c r="C80" s="95"/>
      <c r="D80" s="95"/>
      <c r="E80" s="95"/>
      <c r="F80" s="95"/>
      <c r="G80" s="520"/>
      <c r="H80" s="372"/>
      <c r="I80" s="372"/>
      <c r="J80" s="372"/>
      <c r="K80" s="372"/>
      <c r="L80" s="372"/>
      <c r="M80" s="372"/>
      <c r="N80" s="372"/>
      <c r="O80" s="372"/>
      <c r="P80" s="372"/>
      <c r="Q80" s="372"/>
      <c r="R80" s="372"/>
      <c r="S80" s="372"/>
      <c r="T80" s="523"/>
      <c r="U80" s="95"/>
      <c r="V80" s="95"/>
      <c r="W80" s="95"/>
      <c r="X80" s="95"/>
      <c r="Y80" s="95"/>
      <c r="Z80" s="95"/>
      <c r="AA80" s="95"/>
      <c r="AB80" s="95"/>
    </row>
    <row r="81" spans="1:28">
      <c r="A81" s="95"/>
      <c r="B81" s="95"/>
      <c r="C81" s="95"/>
      <c r="D81" s="95"/>
      <c r="E81" s="95"/>
      <c r="F81" s="95"/>
      <c r="G81" s="520"/>
      <c r="H81" s="372"/>
      <c r="I81" s="372"/>
      <c r="J81" s="372"/>
      <c r="K81" s="372"/>
      <c r="L81" s="372"/>
      <c r="M81" s="372"/>
      <c r="N81" s="372"/>
      <c r="O81" s="372"/>
      <c r="P81" s="372"/>
      <c r="Q81" s="372"/>
      <c r="R81" s="372"/>
      <c r="S81" s="372"/>
      <c r="T81" s="523"/>
      <c r="U81" s="95"/>
      <c r="V81" s="95"/>
      <c r="W81" s="95"/>
      <c r="X81" s="95"/>
      <c r="Y81" s="95"/>
      <c r="Z81" s="95"/>
      <c r="AA81" s="95"/>
      <c r="AB81" s="95"/>
    </row>
    <row r="82" spans="1:28">
      <c r="A82" s="95"/>
      <c r="B82" s="95"/>
      <c r="C82" s="95"/>
      <c r="D82" s="95"/>
      <c r="E82" s="95"/>
      <c r="F82" s="95"/>
      <c r="G82" s="520"/>
      <c r="H82" s="372"/>
      <c r="I82" s="372"/>
      <c r="J82" s="372"/>
      <c r="K82" s="372"/>
      <c r="L82" s="372"/>
      <c r="M82" s="372"/>
      <c r="N82" s="372"/>
      <c r="O82" s="372"/>
      <c r="P82" s="372"/>
      <c r="Q82" s="372"/>
      <c r="R82" s="372"/>
      <c r="S82" s="372"/>
      <c r="T82" s="523"/>
      <c r="U82" s="95"/>
      <c r="V82" s="95"/>
      <c r="W82" s="95"/>
      <c r="X82" s="95"/>
      <c r="Y82" s="95"/>
      <c r="Z82" s="95"/>
      <c r="AA82" s="95"/>
      <c r="AB82" s="95"/>
    </row>
    <row r="83" spans="1:28">
      <c r="A83" s="95"/>
      <c r="B83" s="95"/>
      <c r="C83" s="95"/>
      <c r="D83" s="95"/>
      <c r="E83" s="95"/>
      <c r="F83" s="95"/>
      <c r="G83" s="520"/>
      <c r="H83" s="372"/>
      <c r="I83" s="372"/>
      <c r="J83" s="372"/>
      <c r="K83" s="372"/>
      <c r="L83" s="372"/>
      <c r="M83" s="372"/>
      <c r="N83" s="372"/>
      <c r="O83" s="372"/>
      <c r="P83" s="372"/>
      <c r="Q83" s="372"/>
      <c r="R83" s="372"/>
      <c r="S83" s="372"/>
      <c r="T83" s="523"/>
      <c r="U83" s="95"/>
      <c r="V83" s="95"/>
      <c r="W83" s="95"/>
      <c r="X83" s="95"/>
      <c r="Y83" s="95"/>
      <c r="Z83" s="95"/>
      <c r="AA83" s="95"/>
      <c r="AB83" s="95"/>
    </row>
    <row r="84" spans="1:28">
      <c r="A84" s="95"/>
      <c r="B84" s="95"/>
      <c r="C84" s="95"/>
      <c r="D84" s="95"/>
      <c r="E84" s="95"/>
      <c r="F84" s="95"/>
      <c r="G84" s="520"/>
      <c r="H84" s="372"/>
      <c r="I84" s="372"/>
      <c r="J84" s="372"/>
      <c r="K84" s="372"/>
      <c r="L84" s="372"/>
      <c r="M84" s="372"/>
      <c r="N84" s="372"/>
      <c r="O84" s="372"/>
      <c r="P84" s="372"/>
      <c r="Q84" s="372"/>
      <c r="R84" s="372"/>
      <c r="S84" s="372"/>
      <c r="T84" s="523"/>
      <c r="U84" s="95"/>
      <c r="V84" s="95"/>
      <c r="W84" s="95"/>
      <c r="X84" s="95"/>
      <c r="Y84" s="95"/>
      <c r="Z84" s="95"/>
      <c r="AA84" s="95"/>
      <c r="AB84" s="95"/>
    </row>
    <row r="85" spans="1:28">
      <c r="A85" s="95"/>
      <c r="B85" s="95"/>
      <c r="C85" s="95"/>
      <c r="D85" s="95"/>
      <c r="E85" s="95"/>
      <c r="F85" s="95"/>
      <c r="G85" s="520"/>
      <c r="H85" s="372"/>
      <c r="I85" s="372"/>
      <c r="J85" s="372"/>
      <c r="K85" s="372"/>
      <c r="L85" s="372"/>
      <c r="M85" s="372"/>
      <c r="N85" s="372"/>
      <c r="O85" s="372"/>
      <c r="P85" s="372"/>
      <c r="Q85" s="372"/>
      <c r="R85" s="372"/>
      <c r="S85" s="372"/>
      <c r="T85" s="523"/>
      <c r="U85" s="95"/>
      <c r="V85" s="95"/>
      <c r="W85" s="95"/>
      <c r="X85" s="95"/>
      <c r="Y85" s="95"/>
      <c r="Z85" s="95"/>
      <c r="AA85" s="95"/>
      <c r="AB85" s="95"/>
    </row>
    <row r="86" spans="1:28">
      <c r="A86" s="95"/>
      <c r="B86" s="95"/>
      <c r="C86" s="95"/>
      <c r="D86" s="95"/>
      <c r="E86" s="95"/>
      <c r="F86" s="95"/>
      <c r="G86" s="520"/>
      <c r="H86" s="372"/>
      <c r="I86" s="372"/>
      <c r="J86" s="372"/>
      <c r="K86" s="372"/>
      <c r="L86" s="372"/>
      <c r="M86" s="372"/>
      <c r="N86" s="372"/>
      <c r="O86" s="372"/>
      <c r="P86" s="372"/>
      <c r="Q86" s="372"/>
      <c r="R86" s="372"/>
      <c r="S86" s="372"/>
      <c r="T86" s="523"/>
      <c r="U86" s="95"/>
      <c r="V86" s="95"/>
      <c r="W86" s="95"/>
      <c r="X86" s="95"/>
      <c r="Y86" s="95"/>
      <c r="Z86" s="95"/>
      <c r="AA86" s="95"/>
      <c r="AB86" s="95"/>
    </row>
    <row r="87" spans="1:28">
      <c r="A87" s="95"/>
      <c r="B87" s="95"/>
      <c r="C87" s="95"/>
      <c r="D87" s="95"/>
      <c r="E87" s="95"/>
      <c r="F87" s="95"/>
      <c r="G87" s="520"/>
      <c r="H87" s="372"/>
      <c r="I87" s="372"/>
      <c r="J87" s="372"/>
      <c r="K87" s="372"/>
      <c r="L87" s="372"/>
      <c r="M87" s="372"/>
      <c r="N87" s="372"/>
      <c r="O87" s="372"/>
      <c r="P87" s="372"/>
      <c r="Q87" s="372"/>
      <c r="R87" s="372"/>
      <c r="S87" s="372"/>
      <c r="T87" s="523"/>
      <c r="U87" s="95"/>
      <c r="V87" s="95"/>
      <c r="W87" s="95"/>
      <c r="X87" s="95"/>
      <c r="Y87" s="95"/>
      <c r="Z87" s="95"/>
      <c r="AA87" s="95"/>
      <c r="AB87" s="95"/>
    </row>
    <row r="88" spans="1:28">
      <c r="A88" s="95"/>
      <c r="B88" s="95"/>
      <c r="C88" s="95"/>
      <c r="D88" s="95"/>
      <c r="E88" s="95"/>
      <c r="F88" s="95"/>
      <c r="G88" s="520"/>
      <c r="I88" s="372"/>
      <c r="J88" s="528"/>
      <c r="K88" s="372"/>
      <c r="L88" s="372"/>
      <c r="M88" s="372"/>
      <c r="N88" s="372"/>
      <c r="O88" s="372"/>
      <c r="P88" s="372"/>
      <c r="Q88" s="372"/>
      <c r="R88" s="372"/>
      <c r="S88" s="372"/>
      <c r="T88" s="523"/>
      <c r="U88" s="95"/>
      <c r="V88" s="95"/>
      <c r="W88" s="95"/>
      <c r="X88" s="95"/>
      <c r="Y88" s="95"/>
      <c r="Z88" s="95"/>
      <c r="AA88" s="95"/>
      <c r="AB88" s="95"/>
    </row>
    <row r="89" spans="1:28">
      <c r="A89" s="95"/>
      <c r="B89" s="95"/>
      <c r="C89" s="95"/>
      <c r="D89" s="95"/>
      <c r="E89" s="95"/>
      <c r="F89" s="95"/>
      <c r="G89" s="520"/>
      <c r="H89" s="372"/>
      <c r="I89" s="372"/>
      <c r="J89" s="372"/>
      <c r="K89" s="372"/>
      <c r="L89" s="372"/>
      <c r="M89" s="372"/>
      <c r="N89" s="372"/>
      <c r="O89" s="372"/>
      <c r="P89" s="372"/>
      <c r="Q89" s="372"/>
      <c r="R89" s="372"/>
      <c r="S89" s="372"/>
      <c r="T89" s="523"/>
      <c r="U89" s="95"/>
      <c r="V89" s="95"/>
      <c r="W89" s="95"/>
      <c r="X89" s="95"/>
      <c r="Y89" s="95"/>
      <c r="Z89" s="95"/>
      <c r="AA89" s="95"/>
      <c r="AB89" s="95"/>
    </row>
    <row r="90" spans="1:28">
      <c r="A90" s="95"/>
      <c r="B90" s="95"/>
      <c r="C90" s="95"/>
      <c r="D90" s="95"/>
      <c r="E90" s="95"/>
      <c r="F90" s="95"/>
      <c r="G90" s="520"/>
      <c r="H90" s="372"/>
      <c r="I90" s="372"/>
      <c r="J90" s="372"/>
      <c r="K90" s="372"/>
      <c r="L90" s="372"/>
      <c r="M90" s="372"/>
      <c r="N90" s="372"/>
      <c r="O90" s="372"/>
      <c r="P90" s="372"/>
      <c r="Q90" s="372"/>
      <c r="R90" s="372"/>
      <c r="S90" s="372"/>
      <c r="T90" s="523"/>
      <c r="U90" s="95"/>
      <c r="V90" s="95"/>
      <c r="W90" s="95"/>
      <c r="X90" s="95"/>
      <c r="Y90" s="95"/>
      <c r="Z90" s="95"/>
      <c r="AA90" s="95"/>
      <c r="AB90" s="95"/>
    </row>
    <row r="91" spans="1:28">
      <c r="A91" s="95"/>
      <c r="B91" s="95"/>
      <c r="C91" s="95"/>
      <c r="D91" s="95"/>
      <c r="E91" s="95"/>
      <c r="F91" s="95"/>
      <c r="G91" s="520"/>
      <c r="H91" s="372"/>
      <c r="I91" s="372"/>
      <c r="J91" s="372"/>
      <c r="K91" s="372"/>
      <c r="L91" s="372"/>
      <c r="M91" s="372"/>
      <c r="N91" s="372"/>
      <c r="O91" s="372"/>
      <c r="P91" s="372"/>
      <c r="Q91" s="372"/>
      <c r="R91" s="372"/>
      <c r="S91" s="372"/>
      <c r="T91" s="523"/>
      <c r="U91" s="95"/>
      <c r="V91" s="95"/>
      <c r="W91" s="95"/>
      <c r="X91" s="95"/>
      <c r="Y91" s="95"/>
      <c r="Z91" s="95"/>
      <c r="AA91" s="95"/>
      <c r="AB91" s="95"/>
    </row>
    <row r="92" spans="1:28">
      <c r="A92" s="95"/>
      <c r="B92" s="95"/>
      <c r="C92" s="95"/>
      <c r="D92" s="95"/>
      <c r="E92" s="95"/>
      <c r="F92" s="95"/>
      <c r="G92" s="520"/>
      <c r="H92" s="372"/>
      <c r="I92" s="372"/>
      <c r="J92" s="372"/>
      <c r="K92" s="372"/>
      <c r="L92" s="372"/>
      <c r="M92" s="372"/>
      <c r="N92" s="372"/>
      <c r="O92" s="372"/>
      <c r="P92" s="372"/>
      <c r="Q92" s="372"/>
      <c r="R92" s="372"/>
      <c r="S92" s="372"/>
      <c r="T92" s="523"/>
      <c r="U92" s="95"/>
      <c r="V92" s="95"/>
      <c r="W92" s="95"/>
      <c r="X92" s="95"/>
      <c r="Y92" s="95"/>
      <c r="Z92" s="95"/>
      <c r="AA92" s="95"/>
      <c r="AB92" s="95"/>
    </row>
    <row r="93" spans="1:28">
      <c r="A93" s="95"/>
      <c r="B93" s="95"/>
      <c r="C93" s="95"/>
      <c r="D93" s="95"/>
      <c r="E93" s="95"/>
      <c r="F93" s="95"/>
      <c r="G93" s="520"/>
      <c r="H93" s="372"/>
      <c r="I93" s="372"/>
      <c r="J93" s="372"/>
      <c r="K93" s="372"/>
      <c r="L93" s="372"/>
      <c r="M93" s="372"/>
      <c r="N93" s="372"/>
      <c r="O93" s="372"/>
      <c r="P93" s="372"/>
      <c r="Q93" s="372"/>
      <c r="R93" s="372"/>
      <c r="S93" s="372"/>
      <c r="T93" s="523"/>
      <c r="U93" s="95"/>
      <c r="V93" s="95"/>
      <c r="W93" s="95"/>
      <c r="X93" s="95"/>
      <c r="Y93" s="95"/>
      <c r="Z93" s="95"/>
      <c r="AA93" s="95"/>
      <c r="AB93" s="95"/>
    </row>
    <row r="94" spans="1:28">
      <c r="A94" s="95"/>
      <c r="B94" s="95"/>
      <c r="C94" s="95"/>
      <c r="D94" s="95"/>
      <c r="E94" s="95"/>
      <c r="F94" s="95"/>
      <c r="G94" s="520"/>
      <c r="H94" s="372"/>
      <c r="I94" s="372"/>
      <c r="J94" s="372"/>
      <c r="K94" s="372"/>
      <c r="L94" s="372"/>
      <c r="M94" s="372"/>
      <c r="N94" s="372"/>
      <c r="O94" s="372"/>
      <c r="P94" s="372"/>
      <c r="Q94" s="372"/>
      <c r="R94" s="372"/>
      <c r="S94" s="372"/>
      <c r="T94" s="523"/>
      <c r="U94" s="95"/>
      <c r="V94" s="96" t="str">
        <f>Translate!$A$169</f>
        <v xml:space="preserve">Show other </v>
      </c>
      <c r="W94" s="95"/>
      <c r="X94" s="95"/>
      <c r="Y94" s="95"/>
      <c r="Z94" s="95"/>
      <c r="AA94" s="95"/>
      <c r="AB94" s="95"/>
    </row>
    <row r="95" spans="1:28">
      <c r="A95" s="95"/>
      <c r="B95" s="95"/>
      <c r="C95" s="95"/>
      <c r="D95" s="95"/>
      <c r="E95" s="95"/>
      <c r="F95" s="95"/>
      <c r="G95" s="520"/>
      <c r="H95" s="372"/>
      <c r="I95" s="372"/>
      <c r="J95" s="372"/>
      <c r="K95" s="372"/>
      <c r="L95" s="372"/>
      <c r="M95" s="372"/>
      <c r="N95" s="372"/>
      <c r="O95" s="372"/>
      <c r="P95" s="372"/>
      <c r="Q95" s="372"/>
      <c r="R95" s="372"/>
      <c r="S95" s="372"/>
      <c r="T95" s="523"/>
      <c r="U95" s="95"/>
      <c r="V95" s="96" t="str">
        <f>Translate!$A$170</f>
        <v xml:space="preserve">emission </v>
      </c>
      <c r="W95" s="95"/>
      <c r="X95" s="95"/>
      <c r="Y95" s="95"/>
      <c r="Z95" s="95"/>
      <c r="AA95" s="95"/>
      <c r="AB95" s="95"/>
    </row>
    <row r="96" spans="1:28">
      <c r="A96" s="95"/>
      <c r="B96" s="95"/>
      <c r="C96" s="95"/>
      <c r="D96" s="95"/>
      <c r="E96" s="95"/>
      <c r="F96" s="95"/>
      <c r="G96" s="520"/>
      <c r="H96" s="372"/>
      <c r="I96" s="372"/>
      <c r="J96" s="372"/>
      <c r="K96" s="372"/>
      <c r="L96" s="372"/>
      <c r="M96" s="372"/>
      <c r="N96" s="372"/>
      <c r="O96" s="372"/>
      <c r="P96" s="372"/>
      <c r="Q96" s="372"/>
      <c r="R96" s="372"/>
      <c r="S96" s="372"/>
      <c r="T96" s="523"/>
      <c r="U96" s="95"/>
      <c r="V96" s="96" t="str">
        <f>Translate!$A$103</f>
        <v>Sources</v>
      </c>
      <c r="W96" s="95"/>
      <c r="X96" s="95"/>
      <c r="Y96" s="95"/>
      <c r="Z96" s="95"/>
      <c r="AA96" s="95"/>
      <c r="AB96" s="95"/>
    </row>
    <row r="97" spans="1:28">
      <c r="A97" s="95"/>
      <c r="B97" s="95"/>
      <c r="C97" s="95"/>
      <c r="D97" s="95"/>
      <c r="E97" s="95"/>
      <c r="F97" s="95"/>
      <c r="G97" s="520"/>
      <c r="H97" s="372"/>
      <c r="I97" s="372"/>
      <c r="J97" s="372"/>
      <c r="K97" s="372"/>
      <c r="L97" s="372"/>
      <c r="M97" s="372"/>
      <c r="N97" s="372"/>
      <c r="O97" s="372"/>
      <c r="P97" s="372"/>
      <c r="Q97" s="372"/>
      <c r="R97" s="372"/>
      <c r="S97" s="372"/>
      <c r="T97" s="523"/>
      <c r="U97" s="95"/>
      <c r="V97" s="529" t="str">
        <f>Translate!$A$163</f>
        <v>Yes</v>
      </c>
      <c r="W97" s="95"/>
      <c r="X97" s="95"/>
      <c r="Y97" s="95"/>
      <c r="Z97" s="95"/>
      <c r="AA97" s="95"/>
      <c r="AB97" s="95"/>
    </row>
    <row r="98" spans="1:28">
      <c r="A98" s="95"/>
      <c r="B98" s="95"/>
      <c r="C98" s="95"/>
      <c r="D98" s="95"/>
      <c r="E98" s="95"/>
      <c r="F98" s="95"/>
      <c r="G98" s="520"/>
      <c r="I98" s="372"/>
      <c r="J98" s="372"/>
      <c r="K98" s="372"/>
      <c r="L98" s="372"/>
      <c r="M98" s="372"/>
      <c r="N98" s="372"/>
      <c r="O98" s="372"/>
      <c r="P98" s="372"/>
      <c r="Q98" s="372"/>
      <c r="R98" s="372"/>
      <c r="S98" s="372"/>
      <c r="T98" s="523"/>
      <c r="U98" s="95"/>
      <c r="V98" s="95"/>
      <c r="W98" s="95"/>
      <c r="X98" s="95"/>
      <c r="Y98" s="95"/>
      <c r="Z98" s="95"/>
      <c r="AA98" s="95"/>
      <c r="AB98" s="95"/>
    </row>
    <row r="99" spans="1:28">
      <c r="A99" s="95"/>
      <c r="B99" s="95"/>
      <c r="C99" s="95"/>
      <c r="D99" s="95"/>
      <c r="E99" s="95"/>
      <c r="F99" s="95"/>
      <c r="G99" s="520"/>
      <c r="I99" s="372"/>
      <c r="J99" s="372"/>
      <c r="K99" s="372"/>
      <c r="L99" s="372"/>
      <c r="M99" s="372"/>
      <c r="N99" s="372"/>
      <c r="O99" s="372"/>
      <c r="P99" s="372"/>
      <c r="Q99" s="372"/>
      <c r="R99" s="372"/>
      <c r="S99" s="372"/>
      <c r="T99" s="523"/>
      <c r="U99" s="95"/>
      <c r="V99" s="95"/>
      <c r="W99" s="95"/>
      <c r="X99" s="95"/>
      <c r="Y99" s="95"/>
      <c r="Z99" s="95"/>
      <c r="AA99" s="95"/>
      <c r="AB99" s="95"/>
    </row>
    <row r="100" spans="1:28">
      <c r="A100" s="95"/>
      <c r="B100" s="95"/>
      <c r="C100" s="95"/>
      <c r="D100" s="95"/>
      <c r="E100" s="95"/>
      <c r="F100" s="95"/>
      <c r="G100" s="520"/>
      <c r="I100" s="372"/>
      <c r="J100" s="372"/>
      <c r="K100" s="372"/>
      <c r="L100" s="372"/>
      <c r="M100" s="372"/>
      <c r="N100" s="372"/>
      <c r="O100" s="372"/>
      <c r="P100" s="372"/>
      <c r="Q100" s="372"/>
      <c r="R100" s="372"/>
      <c r="S100" s="372"/>
      <c r="T100" s="523"/>
      <c r="U100" s="95"/>
      <c r="V100" s="95"/>
      <c r="W100" s="95"/>
      <c r="X100" s="95"/>
      <c r="Y100" s="95"/>
      <c r="Z100" s="95"/>
      <c r="AA100" s="95"/>
      <c r="AB100" s="95"/>
    </row>
    <row r="101" spans="1:28">
      <c r="A101" s="95"/>
      <c r="B101" s="95"/>
      <c r="C101" s="95"/>
      <c r="D101" s="95"/>
      <c r="E101" s="95"/>
      <c r="F101" s="95"/>
      <c r="G101" s="520"/>
      <c r="I101" s="372"/>
      <c r="J101" s="372"/>
      <c r="K101" s="372"/>
      <c r="L101" s="372"/>
      <c r="M101" s="372"/>
      <c r="N101" s="372"/>
      <c r="O101" s="372"/>
      <c r="P101" s="372"/>
      <c r="Q101" s="372"/>
      <c r="R101" s="372"/>
      <c r="S101" s="372"/>
      <c r="T101" s="523"/>
      <c r="U101" s="95"/>
      <c r="V101" s="95"/>
      <c r="W101" s="95"/>
      <c r="X101" s="95"/>
      <c r="Y101" s="95"/>
      <c r="Z101" s="95"/>
      <c r="AA101" s="95"/>
      <c r="AB101" s="95"/>
    </row>
    <row r="102" spans="1:28">
      <c r="A102" s="95"/>
      <c r="B102" s="95"/>
      <c r="C102" s="95"/>
      <c r="D102" s="95"/>
      <c r="E102" s="95"/>
      <c r="F102" s="95"/>
      <c r="G102" s="520"/>
      <c r="H102" s="372"/>
      <c r="I102" s="372"/>
      <c r="J102" s="372"/>
      <c r="K102" s="372"/>
      <c r="L102" s="372"/>
      <c r="M102" s="372"/>
      <c r="N102" s="372"/>
      <c r="O102" s="372"/>
      <c r="P102" s="372"/>
      <c r="Q102" s="372"/>
      <c r="R102" s="372"/>
      <c r="S102" s="372"/>
      <c r="T102" s="523"/>
      <c r="U102" s="95"/>
      <c r="V102" s="95"/>
      <c r="W102" s="95"/>
      <c r="X102" s="95"/>
      <c r="Y102" s="95"/>
      <c r="Z102" s="95"/>
      <c r="AA102" s="95"/>
      <c r="AB102" s="95"/>
    </row>
    <row r="103" spans="1:28">
      <c r="A103" s="95"/>
      <c r="B103" s="95"/>
      <c r="C103" s="95"/>
      <c r="D103" s="95"/>
      <c r="E103" s="95"/>
      <c r="F103" s="95"/>
      <c r="G103" s="520"/>
      <c r="H103" s="372"/>
      <c r="I103" s="372"/>
      <c r="J103" s="372"/>
      <c r="K103" s="372"/>
      <c r="L103" s="372"/>
      <c r="M103" s="372"/>
      <c r="N103" s="372"/>
      <c r="O103" s="372"/>
      <c r="P103" s="372"/>
      <c r="Q103" s="372"/>
      <c r="R103" s="372"/>
      <c r="S103" s="372"/>
      <c r="T103" s="523"/>
      <c r="U103" s="95"/>
      <c r="V103" s="95"/>
      <c r="W103" s="95"/>
      <c r="X103" s="95"/>
      <c r="Y103" s="95"/>
      <c r="Z103" s="95"/>
      <c r="AA103" s="95"/>
      <c r="AB103" s="95"/>
    </row>
    <row r="104" spans="1:28">
      <c r="A104" s="95"/>
      <c r="B104" s="95"/>
      <c r="C104" s="95"/>
      <c r="D104" s="95"/>
      <c r="E104" s="95"/>
      <c r="F104" s="95"/>
      <c r="G104" s="520"/>
      <c r="H104" s="372"/>
      <c r="I104" s="372"/>
      <c r="J104" s="372"/>
      <c r="K104" s="372"/>
      <c r="L104" s="372"/>
      <c r="M104" s="372"/>
      <c r="N104" s="372"/>
      <c r="O104" s="372"/>
      <c r="P104" s="372"/>
      <c r="Q104" s="372"/>
      <c r="R104" s="372"/>
      <c r="S104" s="372"/>
      <c r="T104" s="523"/>
      <c r="U104" s="95"/>
      <c r="V104" s="95"/>
      <c r="W104" s="95"/>
      <c r="X104" s="95"/>
      <c r="Y104" s="95"/>
      <c r="Z104" s="95"/>
      <c r="AA104" s="95"/>
      <c r="AB104" s="95"/>
    </row>
    <row r="105" spans="1:28">
      <c r="A105" s="95"/>
      <c r="B105" s="95"/>
      <c r="C105" s="95"/>
      <c r="D105" s="95"/>
      <c r="E105" s="95"/>
      <c r="F105" s="95"/>
      <c r="G105" s="520"/>
      <c r="H105" s="372"/>
      <c r="I105" s="372"/>
      <c r="J105" s="372"/>
      <c r="K105" s="372"/>
      <c r="L105" s="372"/>
      <c r="M105" s="372"/>
      <c r="N105" s="372"/>
      <c r="O105" s="372"/>
      <c r="P105" s="372"/>
      <c r="Q105" s="372"/>
      <c r="R105" s="372"/>
      <c r="S105" s="372"/>
      <c r="T105" s="523"/>
      <c r="U105" s="95"/>
      <c r="V105" s="95"/>
      <c r="W105" s="95"/>
      <c r="X105" s="95"/>
      <c r="Y105" s="95"/>
      <c r="Z105" s="95"/>
      <c r="AA105" s="95"/>
      <c r="AB105" s="95"/>
    </row>
    <row r="106" spans="1:28">
      <c r="A106" s="95"/>
      <c r="B106" s="95"/>
      <c r="C106" s="95"/>
      <c r="D106" s="95"/>
      <c r="E106" s="95"/>
      <c r="F106" s="95"/>
      <c r="G106" s="520"/>
      <c r="H106" s="372"/>
      <c r="I106" s="372"/>
      <c r="J106" s="372"/>
      <c r="K106" s="372"/>
      <c r="L106" s="372"/>
      <c r="M106" s="372"/>
      <c r="N106" s="372"/>
      <c r="O106" s="372"/>
      <c r="P106" s="372"/>
      <c r="Q106" s="372"/>
      <c r="R106" s="372"/>
      <c r="S106" s="372"/>
      <c r="T106" s="523"/>
      <c r="U106" s="95"/>
      <c r="V106" s="95"/>
      <c r="W106" s="95"/>
      <c r="X106" s="95"/>
      <c r="Y106" s="95"/>
      <c r="Z106" s="95"/>
      <c r="AA106" s="95"/>
      <c r="AB106" s="95"/>
    </row>
    <row r="107" spans="1:28">
      <c r="A107" s="95"/>
      <c r="B107" s="95"/>
      <c r="C107" s="95"/>
      <c r="D107" s="95"/>
      <c r="E107" s="95"/>
      <c r="F107" s="95"/>
      <c r="G107" s="520"/>
      <c r="H107" s="372"/>
      <c r="I107" s="372"/>
      <c r="J107" s="372"/>
      <c r="K107" s="372"/>
      <c r="L107" s="372"/>
      <c r="M107" s="372"/>
      <c r="N107" s="372"/>
      <c r="O107" s="372"/>
      <c r="P107" s="372"/>
      <c r="Q107" s="372"/>
      <c r="R107" s="372"/>
      <c r="S107" s="372"/>
      <c r="T107" s="523"/>
      <c r="U107" s="95"/>
      <c r="V107" s="95"/>
      <c r="W107" s="95"/>
      <c r="X107" s="95"/>
      <c r="Y107" s="95"/>
      <c r="Z107" s="95"/>
      <c r="AA107" s="95"/>
      <c r="AB107" s="95"/>
    </row>
    <row r="108" spans="1:28">
      <c r="A108" s="95"/>
      <c r="B108" s="95"/>
      <c r="C108" s="95"/>
      <c r="D108" s="95"/>
      <c r="E108" s="95"/>
      <c r="F108" s="95"/>
      <c r="G108" s="520"/>
      <c r="J108" s="372"/>
      <c r="L108" s="372"/>
      <c r="M108" s="372"/>
      <c r="N108" s="372"/>
      <c r="O108" s="372"/>
      <c r="P108" s="372"/>
      <c r="Q108" s="372"/>
      <c r="R108" s="372"/>
      <c r="S108" s="372"/>
      <c r="T108" s="523"/>
      <c r="U108" s="537" t="str">
        <f>Translate!$A$167&amp;" "&amp;V123</f>
        <v xml:space="preserve">Projects emissions per  </v>
      </c>
      <c r="V108" s="95"/>
      <c r="W108" s="95"/>
      <c r="X108" s="95"/>
      <c r="Y108" s="95"/>
      <c r="Z108" s="95"/>
      <c r="AA108" s="95"/>
      <c r="AB108" s="95"/>
    </row>
    <row r="109" spans="1:28">
      <c r="A109" s="95"/>
      <c r="B109" s="95"/>
      <c r="C109" s="95"/>
      <c r="D109" s="95"/>
      <c r="E109" s="95"/>
      <c r="F109" s="95"/>
      <c r="G109" s="520"/>
      <c r="H109" s="372"/>
      <c r="I109" s="372"/>
      <c r="J109" s="372"/>
      <c r="K109" s="372"/>
      <c r="L109" s="372"/>
      <c r="M109" s="372"/>
      <c r="N109" s="372"/>
      <c r="O109" s="372"/>
      <c r="P109" s="372"/>
      <c r="Q109" s="372"/>
      <c r="R109" s="372"/>
      <c r="S109" s="372"/>
      <c r="T109" s="523"/>
      <c r="U109" s="95"/>
      <c r="V109" s="95"/>
      <c r="W109" s="95"/>
      <c r="X109" s="95"/>
      <c r="Y109" s="95"/>
      <c r="Z109" s="95"/>
      <c r="AA109" s="95"/>
      <c r="AB109" s="95"/>
    </row>
    <row r="110" spans="1:28">
      <c r="A110" s="95"/>
      <c r="B110" s="95"/>
      <c r="C110" s="95"/>
      <c r="D110" s="95"/>
      <c r="E110" s="95"/>
      <c r="F110" s="95"/>
      <c r="G110" s="520"/>
      <c r="J110" s="372"/>
      <c r="L110" s="372"/>
      <c r="M110" s="372"/>
      <c r="N110" s="372"/>
      <c r="O110" s="372"/>
      <c r="P110" s="372"/>
      <c r="Q110" s="372"/>
      <c r="R110" s="372"/>
      <c r="S110" s="372"/>
      <c r="T110" s="523"/>
      <c r="U110" s="537" t="str">
        <f>Translate!$A$167&amp;" "&amp;V125</f>
        <v>Projects emissions per  Project value</v>
      </c>
      <c r="V110" s="95"/>
      <c r="W110" s="95"/>
      <c r="X110" s="95"/>
      <c r="Y110" s="95"/>
      <c r="Z110" s="95"/>
      <c r="AA110" s="95"/>
      <c r="AB110" s="95"/>
    </row>
    <row r="111" spans="1:28">
      <c r="A111" s="95"/>
      <c r="B111" s="95"/>
      <c r="C111" s="95"/>
      <c r="D111" s="95"/>
      <c r="E111" s="95"/>
      <c r="F111" s="95"/>
      <c r="G111" s="520"/>
      <c r="H111" s="372"/>
      <c r="I111" s="372"/>
      <c r="J111" s="372"/>
      <c r="K111" s="372"/>
      <c r="L111" s="372"/>
      <c r="M111" s="372"/>
      <c r="N111" s="372"/>
      <c r="O111" s="372"/>
      <c r="P111" s="372"/>
      <c r="Q111" s="372"/>
      <c r="R111" s="372"/>
      <c r="S111" s="372"/>
      <c r="T111" s="523"/>
      <c r="U111" s="95"/>
      <c r="V111" s="95"/>
      <c r="W111" s="95"/>
      <c r="X111" s="95"/>
      <c r="Y111" s="95"/>
      <c r="Z111" s="95"/>
      <c r="AA111" s="95"/>
      <c r="AB111" s="95"/>
    </row>
    <row r="112" spans="1:28" ht="15.75" thickBot="1">
      <c r="A112" s="95"/>
      <c r="B112" s="95"/>
      <c r="C112" s="95"/>
      <c r="D112" s="95"/>
      <c r="E112" s="95"/>
      <c r="F112" s="95"/>
      <c r="G112" s="532"/>
      <c r="H112" s="387"/>
      <c r="I112" s="387"/>
      <c r="J112" s="387"/>
      <c r="K112" s="387"/>
      <c r="L112" s="387"/>
      <c r="M112" s="387"/>
      <c r="N112" s="387"/>
      <c r="O112" s="387"/>
      <c r="P112" s="387"/>
      <c r="Q112" s="387"/>
      <c r="R112" s="387"/>
      <c r="S112" s="387"/>
      <c r="T112" s="612" t="str">
        <f>'READ ME'!E5</f>
        <v>EFFC DFI Carbon Calculator Tool v4.0</v>
      </c>
      <c r="U112" s="95"/>
      <c r="V112" s="95"/>
      <c r="W112" s="95"/>
      <c r="X112" s="95"/>
      <c r="Y112" s="95"/>
      <c r="Z112" s="95"/>
      <c r="AA112" s="95"/>
      <c r="AB112" s="95"/>
    </row>
    <row r="113" spans="1:30" ht="15.75" thickBot="1">
      <c r="A113" s="95"/>
      <c r="B113" s="95"/>
      <c r="C113" s="95"/>
      <c r="D113" s="95"/>
      <c r="E113" s="95"/>
      <c r="F113" s="95"/>
      <c r="G113" s="95"/>
      <c r="H113" s="95"/>
      <c r="I113" s="95"/>
      <c r="J113" s="95"/>
      <c r="K113" s="95"/>
      <c r="L113" s="95"/>
      <c r="M113" s="95"/>
      <c r="N113" s="95"/>
      <c r="O113" s="95"/>
      <c r="P113" s="95"/>
      <c r="Q113" s="95"/>
      <c r="R113" s="95"/>
      <c r="S113" s="95"/>
      <c r="T113" s="95"/>
      <c r="U113" s="95"/>
      <c r="V113" s="95"/>
      <c r="W113" s="95"/>
      <c r="X113" s="95"/>
      <c r="Y113" s="95"/>
      <c r="Z113" s="95"/>
      <c r="AA113" s="95"/>
      <c r="AB113" s="95"/>
    </row>
    <row r="114" spans="1:30" ht="15" customHeight="1">
      <c r="A114" s="320"/>
      <c r="B114" s="95"/>
      <c r="C114" s="95"/>
      <c r="D114" s="95"/>
      <c r="E114" s="95"/>
      <c r="F114" s="95"/>
      <c r="G114" s="560"/>
      <c r="H114" s="738"/>
      <c r="I114" s="821"/>
      <c r="J114" s="821"/>
      <c r="K114" s="821"/>
      <c r="L114" s="738"/>
      <c r="M114" s="738"/>
      <c r="N114" s="738"/>
      <c r="O114" s="738"/>
      <c r="P114" s="738"/>
      <c r="Q114" s="738"/>
      <c r="R114" s="738"/>
      <c r="S114" s="738"/>
      <c r="T114" s="562"/>
      <c r="U114" s="320"/>
      <c r="V114" s="320"/>
      <c r="W114" s="320"/>
      <c r="X114" s="320"/>
      <c r="Y114" s="320"/>
      <c r="Z114" s="320"/>
      <c r="AA114" s="320"/>
      <c r="AB114" s="320"/>
      <c r="AC114" s="320"/>
      <c r="AD114" s="320"/>
    </row>
    <row r="115" spans="1:30" ht="15" customHeight="1">
      <c r="A115" s="95"/>
      <c r="B115" s="95"/>
      <c r="C115" s="95"/>
      <c r="D115" s="95"/>
      <c r="E115" s="95"/>
      <c r="F115" s="95"/>
      <c r="G115" s="568"/>
      <c r="H115" s="567"/>
      <c r="I115" s="822"/>
      <c r="J115" s="822"/>
      <c r="K115" s="822"/>
      <c r="L115" s="564"/>
      <c r="M115" s="563"/>
      <c r="N115" s="563"/>
      <c r="O115" s="567"/>
      <c r="P115" s="567"/>
      <c r="Q115" s="567"/>
      <c r="R115" s="567"/>
      <c r="S115" s="567"/>
      <c r="T115" s="566"/>
      <c r="U115" s="565"/>
      <c r="V115" s="565"/>
      <c r="W115" s="565"/>
      <c r="X115" s="565"/>
      <c r="Y115" s="565"/>
      <c r="Z115" s="565"/>
      <c r="AA115" s="565"/>
      <c r="AB115" s="565"/>
      <c r="AC115" s="565"/>
      <c r="AD115" s="565"/>
    </row>
    <row r="116" spans="1:30" ht="15" customHeight="1">
      <c r="A116" s="95"/>
      <c r="B116" s="95"/>
      <c r="C116" s="95"/>
      <c r="D116" s="95"/>
      <c r="E116" s="95"/>
      <c r="F116" s="95"/>
      <c r="G116" s="568"/>
      <c r="H116" s="567"/>
      <c r="I116" s="822"/>
      <c r="J116" s="822"/>
      <c r="K116" s="822"/>
      <c r="L116" s="564"/>
      <c r="M116" s="564"/>
      <c r="N116" s="564"/>
      <c r="O116" s="567"/>
      <c r="P116" s="567"/>
      <c r="Q116" s="567"/>
      <c r="R116" s="567"/>
      <c r="S116" s="567"/>
      <c r="T116" s="566"/>
      <c r="U116" s="565"/>
      <c r="V116" s="565"/>
      <c r="W116" s="565"/>
      <c r="X116" s="565"/>
      <c r="Y116" s="565"/>
      <c r="Z116" s="565"/>
      <c r="AA116" s="565"/>
      <c r="AB116" s="565"/>
      <c r="AC116" s="565"/>
      <c r="AD116" s="565"/>
    </row>
    <row r="117" spans="1:30" ht="15" customHeight="1">
      <c r="A117" s="95"/>
      <c r="B117" s="95"/>
      <c r="C117" s="95"/>
      <c r="D117" s="95"/>
      <c r="E117" s="95"/>
      <c r="F117" s="95"/>
      <c r="G117" s="568"/>
      <c r="H117" s="567"/>
      <c r="I117" s="564"/>
      <c r="J117" s="563"/>
      <c r="K117" s="563"/>
      <c r="L117" s="564"/>
      <c r="M117" s="563"/>
      <c r="N117" s="563"/>
      <c r="O117" s="567"/>
      <c r="P117" s="567"/>
      <c r="Q117" s="567"/>
      <c r="R117" s="567"/>
      <c r="S117" s="567"/>
      <c r="T117" s="566"/>
      <c r="U117" s="565"/>
      <c r="V117" s="565"/>
      <c r="W117" s="565"/>
      <c r="X117" s="565"/>
      <c r="Y117" s="565"/>
      <c r="Z117" s="565"/>
      <c r="AA117" s="565"/>
      <c r="AB117" s="565"/>
      <c r="AC117" s="565"/>
      <c r="AD117" s="565"/>
    </row>
    <row r="118" spans="1:30" ht="15" customHeight="1">
      <c r="A118" s="95"/>
      <c r="B118" s="95"/>
      <c r="C118" s="95"/>
      <c r="D118" s="95"/>
      <c r="E118" s="95"/>
      <c r="F118" s="95"/>
      <c r="G118" s="568"/>
      <c r="H118" s="567"/>
      <c r="I118" s="564"/>
      <c r="J118" s="564"/>
      <c r="K118" s="564"/>
      <c r="L118"/>
      <c r="M118"/>
      <c r="N118"/>
      <c r="O118" s="567"/>
      <c r="P118" s="567"/>
      <c r="Q118" s="567"/>
      <c r="R118" s="567"/>
      <c r="S118" s="567"/>
      <c r="T118" s="566"/>
      <c r="U118" s="565"/>
      <c r="V118" s="565"/>
      <c r="W118" s="565"/>
      <c r="X118" s="565"/>
      <c r="Y118" s="565"/>
      <c r="Z118" s="565"/>
      <c r="AA118" s="565"/>
      <c r="AB118" s="565"/>
      <c r="AC118" s="565"/>
      <c r="AD118" s="565"/>
    </row>
    <row r="119" spans="1:30" ht="15" customHeight="1" thickBot="1">
      <c r="A119" s="95"/>
      <c r="B119" s="95"/>
      <c r="C119" s="95"/>
      <c r="D119" s="95"/>
      <c r="E119" s="95"/>
      <c r="F119" s="95"/>
      <c r="G119" s="568"/>
      <c r="H119" s="567"/>
      <c r="I119" s="564"/>
      <c r="J119" s="563"/>
      <c r="K119" s="563"/>
      <c r="L119"/>
      <c r="M119"/>
      <c r="N119"/>
      <c r="O119" s="567"/>
      <c r="P119" s="567"/>
      <c r="Q119" s="567"/>
      <c r="R119" s="567"/>
      <c r="S119" s="567"/>
      <c r="T119" s="566"/>
      <c r="U119" s="565"/>
      <c r="V119" s="565"/>
      <c r="W119" s="565"/>
      <c r="X119" s="565"/>
      <c r="Y119" s="565"/>
      <c r="Z119" s="565"/>
      <c r="AA119" s="565"/>
      <c r="AB119" s="565"/>
      <c r="AC119" s="565"/>
      <c r="AD119" s="565"/>
    </row>
    <row r="120" spans="1:30" ht="33.75" customHeight="1" thickBot="1">
      <c r="A120" s="95"/>
      <c r="B120" s="95"/>
      <c r="C120" s="95"/>
      <c r="D120" s="95"/>
      <c r="E120" s="95"/>
      <c r="F120" s="95"/>
      <c r="G120" s="533"/>
      <c r="H120" s="534" t="str">
        <f>Translate!$A$158</f>
        <v>Comparison sheet (2/2)</v>
      </c>
      <c r="I120" s="535"/>
      <c r="J120" s="535"/>
      <c r="K120" s="535"/>
      <c r="L120" s="535"/>
      <c r="M120" s="535"/>
      <c r="N120" s="535"/>
      <c r="O120" s="535"/>
      <c r="P120" s="535"/>
      <c r="Q120" s="535"/>
      <c r="R120" s="535"/>
      <c r="S120" s="535"/>
      <c r="T120" s="536"/>
      <c r="U120" s="95"/>
      <c r="V120" s="95"/>
      <c r="W120" s="95"/>
      <c r="X120" s="95"/>
      <c r="Y120" s="95"/>
      <c r="Z120" s="95"/>
      <c r="AA120" s="95"/>
      <c r="AB120" s="95"/>
    </row>
    <row r="121" spans="1:30">
      <c r="A121" s="95"/>
      <c r="B121" s="95"/>
      <c r="C121" s="95"/>
      <c r="D121" s="95"/>
      <c r="E121" s="95"/>
      <c r="F121" s="95"/>
      <c r="G121" s="520"/>
      <c r="H121" s="372"/>
      <c r="I121" s="372"/>
      <c r="J121" s="372"/>
      <c r="K121" s="372"/>
      <c r="L121" s="372"/>
      <c r="M121" s="372"/>
      <c r="N121" s="372"/>
      <c r="O121" s="372"/>
      <c r="P121" s="372"/>
      <c r="Q121" s="372"/>
      <c r="R121" s="372"/>
      <c r="S121" s="372"/>
      <c r="T121" s="523"/>
      <c r="U121" s="95"/>
      <c r="V121" s="95"/>
      <c r="W121" s="95"/>
      <c r="X121" s="95"/>
      <c r="Y121" s="95"/>
      <c r="Z121" s="95"/>
      <c r="AA121" s="95"/>
      <c r="AB121" s="95"/>
    </row>
    <row r="122" spans="1:30">
      <c r="A122" s="95"/>
      <c r="B122" s="95"/>
      <c r="C122" s="95"/>
      <c r="D122" s="95"/>
      <c r="E122" s="95"/>
      <c r="F122" s="95"/>
      <c r="G122" s="520"/>
      <c r="H122" s="372"/>
      <c r="I122" s="372"/>
      <c r="J122" s="372"/>
      <c r="K122" s="372"/>
      <c r="L122" s="372"/>
      <c r="M122" s="372"/>
      <c r="N122" s="372"/>
      <c r="O122" s="372"/>
      <c r="P122" s="372"/>
      <c r="Q122" s="372"/>
      <c r="R122" s="372"/>
      <c r="S122" s="372"/>
      <c r="T122" s="523"/>
      <c r="U122" s="95"/>
      <c r="V122" s="95"/>
      <c r="W122" s="95"/>
      <c r="X122" s="95"/>
      <c r="Y122" s="95"/>
      <c r="Z122" s="95"/>
      <c r="AA122" s="95"/>
      <c r="AB122" s="95"/>
    </row>
    <row r="123" spans="1:30">
      <c r="A123" s="95"/>
      <c r="B123" s="95"/>
      <c r="C123" s="95"/>
      <c r="D123" s="95"/>
      <c r="E123" s="95"/>
      <c r="F123" s="95"/>
      <c r="G123" s="520"/>
      <c r="H123" s="372"/>
      <c r="I123" s="372"/>
      <c r="J123" s="372"/>
      <c r="K123" s="372"/>
      <c r="L123" s="372"/>
      <c r="M123" s="372"/>
      <c r="N123" s="372"/>
      <c r="O123" s="372"/>
      <c r="P123" s="372"/>
      <c r="Q123" s="372"/>
      <c r="R123" s="372"/>
      <c r="S123" s="372"/>
      <c r="T123" s="523"/>
      <c r="U123" s="95"/>
      <c r="V123" s="95"/>
      <c r="W123" s="95"/>
      <c r="X123" s="95"/>
      <c r="Y123" s="95"/>
      <c r="Z123" s="95"/>
      <c r="AA123" s="95"/>
      <c r="AB123" s="95"/>
    </row>
    <row r="124" spans="1:30">
      <c r="A124" s="95"/>
      <c r="B124" s="95"/>
      <c r="C124" s="95"/>
      <c r="D124" s="95"/>
      <c r="E124" s="95"/>
      <c r="F124" s="95"/>
      <c r="G124" s="520"/>
      <c r="H124" s="372"/>
      <c r="I124" s="372"/>
      <c r="J124" s="372"/>
      <c r="K124" s="372"/>
      <c r="L124" s="372"/>
      <c r="M124" s="372"/>
      <c r="N124" s="372"/>
      <c r="O124" s="372"/>
      <c r="P124" s="372"/>
      <c r="Q124" s="372"/>
      <c r="R124" s="372"/>
      <c r="S124" s="372"/>
      <c r="T124" s="523"/>
      <c r="U124" s="95"/>
      <c r="V124" s="95"/>
      <c r="W124" s="95"/>
      <c r="X124" s="95"/>
      <c r="Y124" s="95"/>
      <c r="Z124" s="95"/>
      <c r="AA124" s="95"/>
      <c r="AB124" s="95"/>
    </row>
    <row r="125" spans="1:30">
      <c r="A125" s="95"/>
      <c r="B125" s="95"/>
      <c r="C125" s="95"/>
      <c r="D125" s="95"/>
      <c r="E125" s="95"/>
      <c r="F125" s="95"/>
      <c r="G125" s="520"/>
      <c r="H125" s="372"/>
      <c r="I125" s="372"/>
      <c r="J125" s="372"/>
      <c r="K125" s="372"/>
      <c r="L125" s="372"/>
      <c r="M125" s="372"/>
      <c r="N125" s="372"/>
      <c r="O125" s="372"/>
      <c r="P125" s="372"/>
      <c r="Q125" s="372"/>
      <c r="R125" s="372"/>
      <c r="S125" s="372"/>
      <c r="T125" s="523"/>
      <c r="U125" s="569" t="str">
        <f>Translate!$A$168</f>
        <v>ratio variable :</v>
      </c>
      <c r="V125" s="529" t="s">
        <v>436</v>
      </c>
      <c r="W125" s="95"/>
      <c r="X125" s="95"/>
      <c r="Y125" s="95"/>
      <c r="Z125" s="95"/>
      <c r="AA125" s="95"/>
      <c r="AB125" s="95"/>
    </row>
    <row r="126" spans="1:30">
      <c r="A126" s="95"/>
      <c r="B126" s="95"/>
      <c r="C126" s="95"/>
      <c r="D126" s="95"/>
      <c r="E126" s="95"/>
      <c r="F126" s="95"/>
      <c r="G126" s="520"/>
      <c r="H126" s="372"/>
      <c r="I126" s="372"/>
      <c r="J126" s="372"/>
      <c r="K126" s="372"/>
      <c r="L126" s="372"/>
      <c r="M126" s="372"/>
      <c r="N126" s="372"/>
      <c r="O126" s="372"/>
      <c r="P126" s="372"/>
      <c r="Q126" s="372"/>
      <c r="R126" s="372"/>
      <c r="S126" s="372"/>
      <c r="T126" s="523"/>
      <c r="U126" s="95"/>
      <c r="V126" s="95"/>
      <c r="W126" s="95"/>
      <c r="X126" s="95"/>
      <c r="Y126" s="95"/>
      <c r="Z126" s="95"/>
      <c r="AA126" s="95"/>
      <c r="AB126" s="95"/>
    </row>
    <row r="127" spans="1:30">
      <c r="A127" s="95"/>
      <c r="B127" s="95"/>
      <c r="C127" s="95"/>
      <c r="D127" s="95"/>
      <c r="E127" s="95"/>
      <c r="F127" s="95"/>
      <c r="G127" s="520"/>
      <c r="H127" s="372"/>
      <c r="I127" s="372"/>
      <c r="J127" s="372"/>
      <c r="K127" s="372"/>
      <c r="L127" s="372"/>
      <c r="M127" s="372"/>
      <c r="N127" s="372"/>
      <c r="O127" s="372"/>
      <c r="P127" s="372"/>
      <c r="Q127" s="372"/>
      <c r="R127" s="372"/>
      <c r="S127" s="372"/>
      <c r="T127" s="523"/>
      <c r="U127" s="95"/>
      <c r="V127" s="96" t="str">
        <f>Translate!$A$171</f>
        <v>Functional units have to be the exactly the same</v>
      </c>
      <c r="W127" s="95"/>
      <c r="X127" s="95"/>
      <c r="Y127" s="95"/>
      <c r="Z127" s="95"/>
      <c r="AA127" s="95"/>
      <c r="AB127" s="95"/>
    </row>
    <row r="128" spans="1:30">
      <c r="A128" s="95"/>
      <c r="B128" s="95"/>
      <c r="C128" s="95"/>
      <c r="D128" s="95"/>
      <c r="E128" s="95"/>
      <c r="F128" s="95"/>
      <c r="G128" s="520"/>
      <c r="H128" s="372"/>
      <c r="I128" s="372"/>
      <c r="J128" s="372"/>
      <c r="K128" s="372"/>
      <c r="L128" s="372"/>
      <c r="M128" s="372"/>
      <c r="N128" s="372"/>
      <c r="O128" s="372"/>
      <c r="P128" s="372"/>
      <c r="Q128" s="372"/>
      <c r="R128" s="372"/>
      <c r="S128" s="372"/>
      <c r="T128" s="523"/>
      <c r="U128" s="95"/>
      <c r="V128" s="95"/>
      <c r="W128" s="95"/>
      <c r="X128" s="95"/>
      <c r="Y128" s="95"/>
      <c r="Z128" s="95"/>
      <c r="AA128" s="95"/>
      <c r="AB128" s="95"/>
    </row>
    <row r="129" spans="1:28">
      <c r="A129" s="95"/>
      <c r="B129" s="95"/>
      <c r="C129" s="95"/>
      <c r="D129" s="95"/>
      <c r="E129" s="95"/>
      <c r="F129" s="95"/>
      <c r="G129" s="520"/>
      <c r="H129" s="372"/>
      <c r="I129" s="372"/>
      <c r="J129" s="372"/>
      <c r="K129" s="372"/>
      <c r="L129" s="372"/>
      <c r="M129" s="372"/>
      <c r="N129" s="372"/>
      <c r="O129" s="372"/>
      <c r="P129" s="372"/>
      <c r="Q129" s="372"/>
      <c r="R129" s="372"/>
      <c r="S129" s="372"/>
      <c r="T129" s="523"/>
      <c r="U129" s="95"/>
      <c r="V129" s="95"/>
      <c r="W129" s="95"/>
      <c r="X129" s="95"/>
      <c r="Y129" s="95"/>
      <c r="Z129" s="95"/>
      <c r="AA129" s="95"/>
      <c r="AB129" s="95"/>
    </row>
    <row r="130" spans="1:28">
      <c r="A130" s="95"/>
      <c r="B130" s="95"/>
      <c r="C130" s="95"/>
      <c r="D130" s="95"/>
      <c r="E130" s="95"/>
      <c r="F130" s="95"/>
      <c r="G130" s="520"/>
      <c r="H130" s="372"/>
      <c r="I130" s="372"/>
      <c r="J130" s="372"/>
      <c r="K130" s="372"/>
      <c r="L130" s="372"/>
      <c r="M130" s="372"/>
      <c r="N130" s="372"/>
      <c r="O130" s="372"/>
      <c r="P130" s="372"/>
      <c r="Q130" s="372"/>
      <c r="R130" s="372"/>
      <c r="S130" s="372"/>
      <c r="T130" s="523"/>
      <c r="U130" s="320"/>
      <c r="V130" s="712" t="b">
        <v>1</v>
      </c>
      <c r="W130" s="95"/>
      <c r="X130" s="95"/>
      <c r="Y130" s="95"/>
      <c r="Z130" s="95"/>
      <c r="AA130" s="95"/>
      <c r="AB130" s="95"/>
    </row>
    <row r="131" spans="1:28">
      <c r="A131" s="95"/>
      <c r="B131" s="95"/>
      <c r="C131" s="95"/>
      <c r="D131" s="95"/>
      <c r="E131" s="95"/>
      <c r="F131" s="95"/>
      <c r="G131" s="520"/>
      <c r="H131" s="372"/>
      <c r="I131" s="372"/>
      <c r="J131" s="372"/>
      <c r="K131" s="372"/>
      <c r="L131" s="372"/>
      <c r="M131" s="372"/>
      <c r="N131" s="372"/>
      <c r="O131" s="372"/>
      <c r="P131" s="372"/>
      <c r="Q131" s="372"/>
      <c r="R131" s="372"/>
      <c r="S131" s="372"/>
      <c r="T131" s="523"/>
      <c r="U131" s="95"/>
      <c r="V131" s="95"/>
      <c r="W131" s="95"/>
      <c r="X131" s="95"/>
      <c r="Y131" s="95"/>
      <c r="Z131" s="95"/>
      <c r="AA131" s="95"/>
      <c r="AB131" s="95"/>
    </row>
    <row r="132" spans="1:28">
      <c r="A132" s="95"/>
      <c r="B132" s="95"/>
      <c r="C132" s="95"/>
      <c r="D132" s="95"/>
      <c r="E132" s="95"/>
      <c r="F132" s="95"/>
      <c r="G132" s="520"/>
      <c r="H132" s="372"/>
      <c r="I132" s="372"/>
      <c r="J132" s="372"/>
      <c r="K132" s="372"/>
      <c r="L132" s="372"/>
      <c r="M132" s="372"/>
      <c r="N132" s="372"/>
      <c r="O132" s="372"/>
      <c r="P132" s="372"/>
      <c r="Q132" s="372"/>
      <c r="R132" s="372"/>
      <c r="S132" s="372"/>
      <c r="T132" s="523"/>
      <c r="U132" s="95"/>
      <c r="V132" s="95"/>
      <c r="W132" s="95"/>
      <c r="X132" s="95"/>
      <c r="Y132" s="95"/>
      <c r="Z132" s="95"/>
      <c r="AA132" s="95"/>
      <c r="AB132" s="95"/>
    </row>
    <row r="133" spans="1:28">
      <c r="A133" s="95"/>
      <c r="B133" s="95"/>
      <c r="C133" s="95"/>
      <c r="D133" s="95"/>
      <c r="E133" s="95"/>
      <c r="F133" s="95"/>
      <c r="G133" s="520"/>
      <c r="H133" s="372"/>
      <c r="I133" s="372"/>
      <c r="J133" s="372"/>
      <c r="K133" s="372"/>
      <c r="L133" s="372"/>
      <c r="M133" s="372"/>
      <c r="N133" s="372"/>
      <c r="O133" s="372"/>
      <c r="P133" s="372"/>
      <c r="Q133" s="372"/>
      <c r="R133" s="372"/>
      <c r="S133" s="372"/>
      <c r="T133" s="523"/>
      <c r="U133" s="95"/>
      <c r="V133" s="95"/>
      <c r="W133" s="95"/>
      <c r="X133" s="95"/>
      <c r="Y133" s="95"/>
      <c r="Z133" s="95"/>
      <c r="AA133" s="95"/>
      <c r="AB133" s="95"/>
    </row>
    <row r="134" spans="1:28">
      <c r="A134" s="95"/>
      <c r="B134" s="95"/>
      <c r="C134" s="95"/>
      <c r="D134" s="95"/>
      <c r="E134" s="95"/>
      <c r="F134" s="95"/>
      <c r="G134" s="520"/>
      <c r="H134" s="372"/>
      <c r="I134" s="372"/>
      <c r="J134" s="372"/>
      <c r="K134" s="372"/>
      <c r="L134" s="372"/>
      <c r="M134" s="372"/>
      <c r="N134" s="372"/>
      <c r="O134" s="372"/>
      <c r="P134" s="372"/>
      <c r="Q134" s="372"/>
      <c r="R134" s="372"/>
      <c r="S134" s="372"/>
      <c r="T134" s="523"/>
      <c r="U134" s="95"/>
      <c r="V134" s="95"/>
      <c r="W134" s="95"/>
      <c r="X134" s="95"/>
      <c r="Y134" s="95"/>
      <c r="Z134" s="95"/>
      <c r="AA134" s="95"/>
      <c r="AB134" s="95"/>
    </row>
    <row r="135" spans="1:28">
      <c r="A135" s="95"/>
      <c r="B135" s="95"/>
      <c r="C135" s="95"/>
      <c r="D135" s="95"/>
      <c r="E135" s="95"/>
      <c r="F135" s="95"/>
      <c r="G135" s="520"/>
      <c r="H135" s="372"/>
      <c r="I135" s="372"/>
      <c r="J135" s="372"/>
      <c r="K135" s="372"/>
      <c r="L135" s="372"/>
      <c r="M135" s="372"/>
      <c r="N135" s="372"/>
      <c r="O135" s="372"/>
      <c r="P135" s="372"/>
      <c r="Q135" s="372"/>
      <c r="R135" s="372"/>
      <c r="S135" s="372"/>
      <c r="T135" s="523"/>
      <c r="U135" s="95"/>
      <c r="V135" s="95"/>
      <c r="W135" s="95"/>
      <c r="X135" s="95"/>
      <c r="Y135" s="95"/>
      <c r="Z135" s="95"/>
      <c r="AA135" s="95"/>
      <c r="AB135" s="95"/>
    </row>
    <row r="136" spans="1:28">
      <c r="A136" s="95"/>
      <c r="B136" s="95"/>
      <c r="C136" s="95"/>
      <c r="D136" s="95"/>
      <c r="E136" s="95"/>
      <c r="F136" s="95"/>
      <c r="G136" s="520"/>
      <c r="H136" s="372"/>
      <c r="I136" s="372"/>
      <c r="J136" s="372"/>
      <c r="K136" s="372"/>
      <c r="L136" s="372"/>
      <c r="M136" s="372"/>
      <c r="N136" s="372"/>
      <c r="O136" s="372"/>
      <c r="P136" s="372"/>
      <c r="Q136" s="372"/>
      <c r="R136" s="372"/>
      <c r="S136" s="372"/>
      <c r="T136" s="523"/>
      <c r="U136" s="95"/>
      <c r="V136" s="95"/>
      <c r="W136" s="95"/>
      <c r="X136" s="95"/>
      <c r="Y136" s="95"/>
      <c r="Z136" s="95"/>
      <c r="AA136" s="95"/>
      <c r="AB136" s="95"/>
    </row>
    <row r="137" spans="1:28">
      <c r="A137" s="95"/>
      <c r="B137" s="95"/>
      <c r="C137" s="95"/>
      <c r="D137" s="95"/>
      <c r="E137" s="95"/>
      <c r="F137" s="95"/>
      <c r="G137" s="520"/>
      <c r="H137" s="372"/>
      <c r="I137" s="372"/>
      <c r="J137" s="372"/>
      <c r="K137" s="372"/>
      <c r="L137" s="372"/>
      <c r="M137" s="372"/>
      <c r="N137" s="372"/>
      <c r="O137" s="372"/>
      <c r="P137" s="372"/>
      <c r="Q137" s="372"/>
      <c r="R137" s="372"/>
      <c r="S137" s="372"/>
      <c r="T137" s="523"/>
      <c r="U137" s="95"/>
      <c r="V137" s="95"/>
      <c r="W137" s="95"/>
      <c r="X137" s="95"/>
      <c r="Y137" s="95"/>
      <c r="Z137" s="95"/>
      <c r="AA137" s="95"/>
      <c r="AB137" s="95"/>
    </row>
    <row r="138" spans="1:28">
      <c r="A138" s="95"/>
      <c r="B138" s="95"/>
      <c r="C138" s="95"/>
      <c r="D138" s="95"/>
      <c r="E138" s="95"/>
      <c r="F138" s="95"/>
      <c r="G138" s="520"/>
      <c r="H138" s="372"/>
      <c r="I138" s="372"/>
      <c r="J138" s="372"/>
      <c r="K138" s="372"/>
      <c r="L138" s="372"/>
      <c r="M138" s="372"/>
      <c r="N138" s="372"/>
      <c r="O138" s="372"/>
      <c r="P138" s="372"/>
      <c r="Q138" s="372"/>
      <c r="R138" s="372"/>
      <c r="S138" s="372"/>
      <c r="T138" s="523"/>
      <c r="U138" s="95"/>
      <c r="V138" s="95"/>
      <c r="W138" s="95"/>
      <c r="X138" s="95"/>
      <c r="Y138" s="95"/>
      <c r="Z138" s="95"/>
      <c r="AA138" s="95"/>
      <c r="AB138" s="95"/>
    </row>
    <row r="139" spans="1:28">
      <c r="A139" s="95"/>
      <c r="B139" s="95"/>
      <c r="C139" s="95"/>
      <c r="D139" s="95"/>
      <c r="E139" s="95"/>
      <c r="F139" s="95"/>
      <c r="G139" s="520"/>
      <c r="H139" s="372"/>
      <c r="I139" s="372"/>
      <c r="J139" s="372"/>
      <c r="K139" s="372"/>
      <c r="L139" s="372"/>
      <c r="M139" s="372"/>
      <c r="N139" s="372"/>
      <c r="O139" s="372"/>
      <c r="P139" s="372"/>
      <c r="Q139" s="372"/>
      <c r="R139" s="372"/>
      <c r="S139" s="372"/>
      <c r="T139" s="523"/>
      <c r="U139" s="95"/>
      <c r="V139" s="95"/>
      <c r="W139" s="95"/>
      <c r="X139" s="95"/>
      <c r="Y139" s="95"/>
      <c r="Z139" s="95"/>
      <c r="AA139" s="95"/>
      <c r="AB139" s="95"/>
    </row>
    <row r="140" spans="1:28">
      <c r="A140" s="95"/>
      <c r="B140" s="95"/>
      <c r="C140" s="95"/>
      <c r="D140" s="95"/>
      <c r="E140" s="95"/>
      <c r="F140" s="95"/>
      <c r="G140" s="520"/>
      <c r="H140" s="372"/>
      <c r="I140" s="372"/>
      <c r="J140" s="372"/>
      <c r="K140" s="372"/>
      <c r="L140" s="372"/>
      <c r="M140" s="372"/>
      <c r="N140" s="372"/>
      <c r="O140" s="372"/>
      <c r="P140" s="372"/>
      <c r="Q140" s="372"/>
      <c r="R140" s="372"/>
      <c r="S140" s="372"/>
      <c r="T140" s="523"/>
      <c r="U140" s="95"/>
      <c r="V140" s="95"/>
      <c r="W140" s="95"/>
      <c r="X140" s="95"/>
      <c r="Y140" s="95"/>
      <c r="Z140" s="95"/>
      <c r="AA140" s="95"/>
      <c r="AB140" s="95"/>
    </row>
    <row r="141" spans="1:28">
      <c r="A141" s="95"/>
      <c r="B141" s="95"/>
      <c r="C141" s="95"/>
      <c r="D141" s="95"/>
      <c r="E141" s="95"/>
      <c r="F141" s="95"/>
      <c r="G141" s="520"/>
      <c r="H141" s="372"/>
      <c r="I141" s="372"/>
      <c r="J141" s="372"/>
      <c r="K141" s="372"/>
      <c r="L141" s="372"/>
      <c r="M141" s="372"/>
      <c r="N141" s="372"/>
      <c r="O141" s="372"/>
      <c r="P141" s="372"/>
      <c r="Q141" s="372"/>
      <c r="R141" s="372"/>
      <c r="S141" s="372"/>
      <c r="T141" s="523"/>
      <c r="U141" s="95"/>
      <c r="V141" s="95"/>
      <c r="W141" s="95"/>
      <c r="X141" s="95"/>
      <c r="Y141" s="95"/>
      <c r="Z141" s="95"/>
      <c r="AA141" s="95"/>
      <c r="AB141" s="95"/>
    </row>
    <row r="142" spans="1:28">
      <c r="A142" s="95"/>
      <c r="B142" s="95"/>
      <c r="C142" s="95"/>
      <c r="D142" s="95"/>
      <c r="E142" s="95"/>
      <c r="F142" s="95"/>
      <c r="G142" s="520"/>
      <c r="H142" s="372"/>
      <c r="I142" s="372"/>
      <c r="J142" s="372"/>
      <c r="K142" s="372"/>
      <c r="L142" s="372"/>
      <c r="M142" s="372"/>
      <c r="N142" s="372"/>
      <c r="O142" s="372"/>
      <c r="P142" s="372"/>
      <c r="Q142" s="372"/>
      <c r="R142" s="372"/>
      <c r="S142" s="372"/>
      <c r="T142" s="523"/>
      <c r="U142" s="95"/>
      <c r="V142" s="95"/>
      <c r="W142" s="95"/>
      <c r="X142" s="95"/>
      <c r="Y142" s="95"/>
      <c r="Z142" s="95"/>
      <c r="AA142" s="95"/>
      <c r="AB142" s="95"/>
    </row>
    <row r="143" spans="1:28">
      <c r="A143" s="95"/>
      <c r="B143" s="95"/>
      <c r="C143" s="95"/>
      <c r="D143" s="95"/>
      <c r="E143" s="95"/>
      <c r="F143" s="95"/>
      <c r="G143" s="520"/>
      <c r="H143" s="372"/>
      <c r="I143" s="372"/>
      <c r="J143" s="372"/>
      <c r="K143" s="372"/>
      <c r="L143" s="372"/>
      <c r="M143" s="372"/>
      <c r="N143" s="372"/>
      <c r="O143" s="372"/>
      <c r="P143" s="372"/>
      <c r="Q143" s="372"/>
      <c r="R143" s="372"/>
      <c r="S143" s="372"/>
      <c r="T143" s="523"/>
      <c r="U143" s="95"/>
      <c r="V143" s="95"/>
      <c r="W143" s="95"/>
      <c r="X143" s="95"/>
      <c r="Y143" s="95"/>
      <c r="Z143" s="95"/>
      <c r="AA143" s="95"/>
      <c r="AB143" s="95"/>
    </row>
    <row r="144" spans="1:28">
      <c r="A144" s="95"/>
      <c r="B144" s="95"/>
      <c r="C144" s="95"/>
      <c r="D144" s="95"/>
      <c r="E144" s="95"/>
      <c r="F144" s="95"/>
      <c r="G144" s="520"/>
      <c r="H144" s="372"/>
      <c r="I144" s="372"/>
      <c r="J144" s="372"/>
      <c r="K144" s="372"/>
      <c r="L144" s="372"/>
      <c r="M144" s="372"/>
      <c r="N144" s="372"/>
      <c r="O144" s="372"/>
      <c r="P144" s="372"/>
      <c r="Q144" s="372"/>
      <c r="R144" s="372"/>
      <c r="S144" s="372"/>
      <c r="T144" s="523"/>
      <c r="U144" s="95"/>
      <c r="V144" s="95"/>
      <c r="W144" s="95"/>
      <c r="X144" s="95"/>
      <c r="Y144" s="95"/>
      <c r="Z144" s="95"/>
      <c r="AA144" s="95"/>
      <c r="AB144" s="95"/>
    </row>
    <row r="145" spans="1:28">
      <c r="A145" s="95"/>
      <c r="B145" s="95"/>
      <c r="C145" s="95"/>
      <c r="D145" s="95"/>
      <c r="E145" s="95"/>
      <c r="F145" s="95"/>
      <c r="G145" s="520"/>
      <c r="H145" s="372"/>
      <c r="I145" s="372"/>
      <c r="J145" s="372"/>
      <c r="K145" s="372"/>
      <c r="L145" s="372"/>
      <c r="M145" s="372"/>
      <c r="N145" s="372"/>
      <c r="O145" s="372"/>
      <c r="P145" s="372"/>
      <c r="Q145" s="372"/>
      <c r="R145" s="372"/>
      <c r="S145" s="372"/>
      <c r="T145" s="523"/>
      <c r="U145" s="95"/>
      <c r="V145" s="95"/>
      <c r="W145" s="95"/>
      <c r="X145" s="95"/>
      <c r="Y145" s="95"/>
      <c r="Z145" s="95"/>
      <c r="AA145" s="95"/>
      <c r="AB145" s="95"/>
    </row>
    <row r="146" spans="1:28">
      <c r="A146" s="95"/>
      <c r="B146" s="95"/>
      <c r="C146" s="95"/>
      <c r="D146" s="95"/>
      <c r="E146" s="95"/>
      <c r="F146" s="95"/>
      <c r="G146" s="520"/>
      <c r="H146" s="372"/>
      <c r="I146" s="372"/>
      <c r="J146" s="372"/>
      <c r="K146" s="372"/>
      <c r="L146" s="372"/>
      <c r="M146" s="372"/>
      <c r="N146" s="372"/>
      <c r="O146" s="372"/>
      <c r="P146" s="372"/>
      <c r="Q146" s="372"/>
      <c r="R146" s="372"/>
      <c r="S146" s="372"/>
      <c r="T146" s="523"/>
      <c r="U146" s="95"/>
      <c r="V146" s="95"/>
      <c r="W146" s="95"/>
      <c r="X146" s="95"/>
      <c r="Y146" s="95"/>
      <c r="Z146" s="95"/>
      <c r="AA146" s="95"/>
      <c r="AB146" s="95"/>
    </row>
    <row r="147" spans="1:28">
      <c r="A147" s="95"/>
      <c r="B147" s="95"/>
      <c r="C147" s="95"/>
      <c r="D147" s="95"/>
      <c r="E147" s="95"/>
      <c r="F147" s="95"/>
      <c r="G147" s="520"/>
      <c r="H147" s="372"/>
      <c r="I147" s="372"/>
      <c r="J147" s="372"/>
      <c r="K147" s="372"/>
      <c r="L147" s="372"/>
      <c r="M147" s="372"/>
      <c r="N147" s="372"/>
      <c r="O147" s="372"/>
      <c r="P147" s="372"/>
      <c r="Q147" s="372"/>
      <c r="R147" s="372"/>
      <c r="S147" s="372"/>
      <c r="T147" s="523"/>
      <c r="U147" s="95"/>
      <c r="V147" s="95"/>
      <c r="W147" s="95"/>
      <c r="X147" s="95"/>
      <c r="Y147" s="95"/>
      <c r="Z147" s="95"/>
      <c r="AA147" s="95"/>
      <c r="AB147" s="95"/>
    </row>
    <row r="148" spans="1:28">
      <c r="A148" s="95"/>
      <c r="B148" s="95"/>
      <c r="C148" s="95"/>
      <c r="D148" s="95"/>
      <c r="E148" s="95"/>
      <c r="F148" s="95"/>
      <c r="G148" s="520"/>
      <c r="H148" s="372"/>
      <c r="I148" s="372"/>
      <c r="J148" s="372"/>
      <c r="K148" s="372"/>
      <c r="L148" s="372"/>
      <c r="M148" s="372"/>
      <c r="N148" s="372"/>
      <c r="O148" s="372"/>
      <c r="P148" s="372"/>
      <c r="Q148" s="372"/>
      <c r="R148" s="372"/>
      <c r="S148" s="372"/>
      <c r="T148" s="523"/>
      <c r="U148" s="95"/>
      <c r="V148" s="95"/>
      <c r="W148" s="95"/>
      <c r="X148" s="95"/>
      <c r="Y148" s="95"/>
      <c r="Z148" s="95"/>
      <c r="AA148" s="95"/>
      <c r="AB148" s="95"/>
    </row>
    <row r="149" spans="1:28">
      <c r="A149" s="95"/>
      <c r="B149" s="95"/>
      <c r="C149" s="95"/>
      <c r="D149" s="95"/>
      <c r="E149" s="95"/>
      <c r="F149" s="95"/>
      <c r="G149" s="520"/>
      <c r="H149" s="372"/>
      <c r="I149" s="372"/>
      <c r="J149" s="372"/>
      <c r="K149" s="372"/>
      <c r="L149" s="372"/>
      <c r="M149" s="372"/>
      <c r="N149" s="372"/>
      <c r="O149" s="372"/>
      <c r="P149" s="372"/>
      <c r="Q149" s="372"/>
      <c r="R149" s="372"/>
      <c r="S149" s="372"/>
      <c r="T149" s="523"/>
      <c r="U149" s="95"/>
      <c r="V149" s="95"/>
      <c r="W149" s="95"/>
      <c r="X149" s="95"/>
      <c r="Y149" s="95"/>
      <c r="Z149" s="95"/>
      <c r="AA149" s="95"/>
      <c r="AB149" s="95"/>
    </row>
    <row r="150" spans="1:28">
      <c r="A150" s="95"/>
      <c r="B150" s="95"/>
      <c r="C150" s="95"/>
      <c r="D150" s="95"/>
      <c r="E150" s="95"/>
      <c r="F150" s="95"/>
      <c r="G150" s="520"/>
      <c r="H150" s="372"/>
      <c r="I150" s="372"/>
      <c r="J150" s="372"/>
      <c r="K150" s="372"/>
      <c r="L150" s="372"/>
      <c r="M150" s="372"/>
      <c r="N150" s="372"/>
      <c r="O150" s="372"/>
      <c r="P150" s="372"/>
      <c r="Q150" s="372"/>
      <c r="R150" s="372"/>
      <c r="S150" s="372"/>
      <c r="T150" s="523"/>
      <c r="U150" s="95"/>
      <c r="V150" s="95"/>
      <c r="W150" s="95"/>
      <c r="X150" s="95"/>
      <c r="Y150" s="95"/>
      <c r="Z150" s="95"/>
      <c r="AA150" s="95"/>
      <c r="AB150" s="95"/>
    </row>
    <row r="151" spans="1:28">
      <c r="A151" s="95"/>
      <c r="B151" s="95"/>
      <c r="C151" s="95"/>
      <c r="D151" s="95"/>
      <c r="E151" s="95"/>
      <c r="F151" s="95"/>
      <c r="G151" s="520"/>
      <c r="H151" s="372"/>
      <c r="I151" s="372"/>
      <c r="J151" s="372"/>
      <c r="K151" s="372"/>
      <c r="L151" s="372"/>
      <c r="M151" s="372"/>
      <c r="N151" s="372"/>
      <c r="O151" s="372"/>
      <c r="P151" s="372"/>
      <c r="Q151" s="372"/>
      <c r="R151" s="372"/>
      <c r="S151" s="372"/>
      <c r="T151" s="523"/>
      <c r="U151" s="95"/>
      <c r="V151" s="95"/>
      <c r="W151" s="95"/>
      <c r="X151" s="95"/>
      <c r="Y151" s="95"/>
      <c r="Z151" s="95"/>
      <c r="AA151" s="95"/>
      <c r="AB151" s="95"/>
    </row>
    <row r="152" spans="1:28">
      <c r="A152" s="95"/>
      <c r="B152" s="95"/>
      <c r="C152" s="95"/>
      <c r="D152" s="95"/>
      <c r="E152" s="95"/>
      <c r="F152" s="95"/>
      <c r="G152" s="520"/>
      <c r="H152" s="372"/>
      <c r="I152" s="372"/>
      <c r="J152" s="372"/>
      <c r="K152" s="372"/>
      <c r="L152" s="372"/>
      <c r="M152" s="372"/>
      <c r="N152" s="372"/>
      <c r="O152" s="372"/>
      <c r="P152" s="372"/>
      <c r="Q152" s="372"/>
      <c r="R152" s="372"/>
      <c r="S152" s="372"/>
      <c r="T152" s="523"/>
      <c r="U152" s="95"/>
      <c r="V152" s="95"/>
      <c r="W152" s="95"/>
      <c r="X152" s="95"/>
      <c r="Y152" s="95"/>
      <c r="Z152" s="95"/>
      <c r="AA152" s="95"/>
      <c r="AB152" s="95"/>
    </row>
    <row r="153" spans="1:28">
      <c r="A153" s="95"/>
      <c r="B153" s="95"/>
      <c r="C153" s="95"/>
      <c r="D153" s="95"/>
      <c r="E153" s="95"/>
      <c r="F153" s="95"/>
      <c r="G153" s="520"/>
      <c r="H153" s="372"/>
      <c r="I153" s="372"/>
      <c r="J153" s="372"/>
      <c r="K153" s="372"/>
      <c r="L153" s="372"/>
      <c r="M153" s="372"/>
      <c r="N153" s="372"/>
      <c r="O153" s="372"/>
      <c r="P153" s="372"/>
      <c r="Q153" s="372"/>
      <c r="R153" s="372"/>
      <c r="S153" s="372"/>
      <c r="T153" s="523"/>
      <c r="U153" s="95"/>
      <c r="V153" s="95"/>
      <c r="W153" s="95"/>
      <c r="X153" s="95"/>
      <c r="Y153" s="95"/>
      <c r="Z153" s="95"/>
      <c r="AA153" s="95"/>
      <c r="AB153" s="95"/>
    </row>
    <row r="154" spans="1:28">
      <c r="A154" s="95"/>
      <c r="B154" s="95"/>
      <c r="C154" s="95"/>
      <c r="D154" s="95"/>
      <c r="E154" s="95"/>
      <c r="F154" s="95"/>
      <c r="G154" s="520"/>
      <c r="H154" s="372"/>
      <c r="I154" s="372"/>
      <c r="J154" s="372"/>
      <c r="K154" s="372"/>
      <c r="L154" s="372"/>
      <c r="M154" s="372"/>
      <c r="N154" s="372"/>
      <c r="O154" s="372"/>
      <c r="P154" s="372"/>
      <c r="Q154" s="372"/>
      <c r="R154" s="372"/>
      <c r="S154" s="372"/>
      <c r="T154" s="523"/>
      <c r="U154" s="95"/>
      <c r="V154" s="95"/>
      <c r="W154" s="95"/>
      <c r="X154" s="95"/>
      <c r="Y154" s="95"/>
      <c r="Z154" s="95"/>
      <c r="AA154" s="95"/>
      <c r="AB154" s="95"/>
    </row>
    <row r="155" spans="1:28">
      <c r="A155" s="95"/>
      <c r="B155" s="95"/>
      <c r="C155" s="95"/>
      <c r="D155" s="95"/>
      <c r="E155" s="95"/>
      <c r="F155" s="95"/>
      <c r="G155" s="520"/>
      <c r="H155" s="372"/>
      <c r="I155" s="372"/>
      <c r="J155" s="372"/>
      <c r="K155" s="372"/>
      <c r="L155" s="372"/>
      <c r="M155" s="372"/>
      <c r="N155" s="372"/>
      <c r="O155" s="372"/>
      <c r="P155" s="372"/>
      <c r="Q155" s="372"/>
      <c r="R155" s="372"/>
      <c r="S155" s="372"/>
      <c r="T155" s="523"/>
      <c r="U155" s="95"/>
      <c r="V155" s="95"/>
      <c r="W155" s="95"/>
      <c r="X155" s="95"/>
      <c r="Y155" s="95"/>
      <c r="Z155" s="95"/>
      <c r="AA155" s="95"/>
      <c r="AB155" s="95"/>
    </row>
    <row r="156" spans="1:28">
      <c r="A156" s="95"/>
      <c r="B156" s="95"/>
      <c r="C156" s="95"/>
      <c r="D156" s="95"/>
      <c r="E156" s="95"/>
      <c r="F156" s="95"/>
      <c r="G156" s="520"/>
      <c r="H156" s="372"/>
      <c r="I156" s="372"/>
      <c r="J156" s="372"/>
      <c r="K156" s="372"/>
      <c r="L156" s="372"/>
      <c r="M156" s="372"/>
      <c r="N156" s="372"/>
      <c r="O156" s="372"/>
      <c r="P156" s="372"/>
      <c r="Q156" s="372"/>
      <c r="R156" s="372"/>
      <c r="S156" s="372"/>
      <c r="T156" s="523"/>
      <c r="U156" s="95"/>
      <c r="V156" s="95"/>
      <c r="W156" s="95"/>
      <c r="X156" s="95"/>
      <c r="Y156" s="95"/>
      <c r="Z156" s="95"/>
      <c r="AA156" s="95"/>
      <c r="AB156" s="95"/>
    </row>
    <row r="157" spans="1:28">
      <c r="A157" s="95"/>
      <c r="B157" s="95"/>
      <c r="C157" s="95"/>
      <c r="D157" s="95"/>
      <c r="E157" s="95"/>
      <c r="F157" s="95"/>
      <c r="G157" s="520"/>
      <c r="H157" s="372"/>
      <c r="I157" s="372"/>
      <c r="J157" s="372"/>
      <c r="K157" s="372"/>
      <c r="L157" s="372"/>
      <c r="M157" s="372"/>
      <c r="N157" s="372"/>
      <c r="O157" s="372"/>
      <c r="P157" s="372"/>
      <c r="Q157" s="372"/>
      <c r="R157" s="372"/>
      <c r="S157" s="372"/>
      <c r="T157" s="523"/>
      <c r="U157" s="95"/>
      <c r="V157" s="95"/>
      <c r="W157" s="95"/>
      <c r="X157" s="95"/>
      <c r="Y157" s="95"/>
      <c r="Z157" s="95"/>
      <c r="AA157" s="95"/>
      <c r="AB157" s="95"/>
    </row>
    <row r="158" spans="1:28">
      <c r="A158" s="95"/>
      <c r="B158" s="95"/>
      <c r="C158" s="95"/>
      <c r="D158" s="95"/>
      <c r="E158" s="95"/>
      <c r="F158" s="95"/>
      <c r="G158" s="520"/>
      <c r="H158" s="372"/>
      <c r="I158" s="372"/>
      <c r="J158" s="372"/>
      <c r="K158" s="372"/>
      <c r="L158" s="372"/>
      <c r="M158" s="372"/>
      <c r="N158" s="372"/>
      <c r="O158" s="372"/>
      <c r="P158" s="372"/>
      <c r="Q158" s="372"/>
      <c r="R158" s="372"/>
      <c r="S158" s="372"/>
      <c r="T158" s="523"/>
      <c r="U158" s="95"/>
      <c r="V158" s="95"/>
      <c r="W158" s="95"/>
      <c r="X158" s="95"/>
      <c r="Y158" s="95"/>
      <c r="Z158" s="95"/>
      <c r="AA158" s="95"/>
      <c r="AB158" s="95"/>
    </row>
    <row r="159" spans="1:28">
      <c r="A159" s="95"/>
      <c r="B159" s="95"/>
      <c r="C159" s="95"/>
      <c r="D159" s="95"/>
      <c r="E159" s="95"/>
      <c r="F159" s="95"/>
      <c r="G159" s="520"/>
      <c r="H159" s="372"/>
      <c r="I159" s="372" t="str">
        <f>V125</f>
        <v>Project value</v>
      </c>
      <c r="J159" s="521" t="str">
        <f t="shared" ref="J159:P159" ca="1" si="6">IF(J$17,VLOOKUP($I159,$I$41:$P$43,COLUMN(J159)-COLUMN($I$159)+1,0),"")</f>
        <v/>
      </c>
      <c r="K159" s="521" t="str">
        <f t="shared" ca="1" si="6"/>
        <v/>
      </c>
      <c r="L159" s="521" t="str">
        <f t="shared" ca="1" si="6"/>
        <v/>
      </c>
      <c r="M159" s="521" t="str">
        <f t="shared" ca="1" si="6"/>
        <v/>
      </c>
      <c r="N159" s="521" t="str">
        <f t="shared" ca="1" si="6"/>
        <v/>
      </c>
      <c r="O159" s="521" t="str">
        <f t="shared" ca="1" si="6"/>
        <v/>
      </c>
      <c r="P159" s="521">
        <f t="shared" ca="1" si="6"/>
        <v>0</v>
      </c>
      <c r="Q159" s="521" t="str">
        <f ca="1">IF(1,VLOOKUP($I159,$I$41:$Q$43,COLUMN(Q159)-COLUMN($I$159)+1,0),"")</f>
        <v/>
      </c>
      <c r="R159" s="372"/>
      <c r="S159" s="372"/>
      <c r="T159" s="523"/>
      <c r="U159" s="95"/>
      <c r="V159" s="95"/>
      <c r="W159" s="95"/>
      <c r="X159" s="95"/>
      <c r="Y159" s="95"/>
      <c r="Z159" s="95"/>
      <c r="AA159" s="95"/>
      <c r="AB159" s="95"/>
    </row>
    <row r="160" spans="1:28">
      <c r="A160" s="95"/>
      <c r="B160" s="95"/>
      <c r="C160" s="95"/>
      <c r="D160" s="95"/>
      <c r="E160" s="95"/>
      <c r="F160" s="95"/>
      <c r="G160" s="520"/>
      <c r="H160" s="372"/>
      <c r="I160" s="372"/>
      <c r="J160" s="372"/>
      <c r="K160" s="372"/>
      <c r="L160" s="372"/>
      <c r="M160" s="372"/>
      <c r="N160" s="372"/>
      <c r="O160" s="372"/>
      <c r="P160" s="372"/>
      <c r="Q160" s="372"/>
      <c r="R160" s="372"/>
      <c r="S160" s="372"/>
      <c r="T160" s="523"/>
      <c r="U160" s="95"/>
      <c r="V160" s="95"/>
      <c r="W160" s="95"/>
      <c r="X160" s="95"/>
      <c r="Y160" s="95"/>
      <c r="Z160" s="95"/>
      <c r="AA160" s="95"/>
      <c r="AB160" s="95"/>
    </row>
    <row r="161" spans="1:28">
      <c r="A161" s="95"/>
      <c r="B161" s="95"/>
      <c r="C161" s="95"/>
      <c r="D161" s="95"/>
      <c r="E161" s="95"/>
      <c r="F161" s="95"/>
      <c r="G161" s="520"/>
      <c r="H161" s="372"/>
      <c r="I161" s="372"/>
      <c r="J161" s="372"/>
      <c r="K161" s="372"/>
      <c r="L161" s="372"/>
      <c r="M161" s="372"/>
      <c r="N161" s="372"/>
      <c r="O161" s="372"/>
      <c r="P161" s="372"/>
      <c r="Q161" s="372"/>
      <c r="R161" s="372"/>
      <c r="S161" s="372"/>
      <c r="T161" s="523"/>
      <c r="U161" s="95"/>
      <c r="V161" s="95"/>
      <c r="W161" s="95"/>
      <c r="X161" s="95"/>
      <c r="Y161" s="95"/>
      <c r="Z161" s="95"/>
      <c r="AA161" s="95"/>
      <c r="AB161" s="95"/>
    </row>
    <row r="162" spans="1:28" ht="15.75">
      <c r="A162" s="95"/>
      <c r="B162" s="95"/>
      <c r="C162" s="95"/>
      <c r="D162" s="95"/>
      <c r="E162" s="95"/>
      <c r="F162" s="95"/>
      <c r="G162" s="520"/>
      <c r="H162" s="372"/>
      <c r="I162" s="372"/>
      <c r="J162" s="530" t="str">
        <f t="shared" ref="J162:O162" ca="1" si="7">IF(J$17,J$16,"")</f>
        <v/>
      </c>
      <c r="K162" s="530" t="str">
        <f t="shared" ca="1" si="7"/>
        <v/>
      </c>
      <c r="L162" s="530" t="str">
        <f t="shared" ca="1" si="7"/>
        <v/>
      </c>
      <c r="M162" s="530" t="str">
        <f t="shared" ca="1" si="7"/>
        <v/>
      </c>
      <c r="N162" s="530" t="str">
        <f t="shared" ca="1" si="7"/>
        <v/>
      </c>
      <c r="O162" s="530" t="str">
        <f t="shared" ca="1" si="7"/>
        <v/>
      </c>
      <c r="P162" s="522" t="s">
        <v>77</v>
      </c>
      <c r="Q162" s="372"/>
      <c r="R162" s="372"/>
      <c r="S162" s="372"/>
      <c r="T162" s="523"/>
      <c r="U162" s="95"/>
      <c r="V162" s="95"/>
      <c r="W162" s="95"/>
      <c r="X162" s="95"/>
      <c r="Y162" s="95"/>
      <c r="Z162" s="95"/>
      <c r="AA162" s="95"/>
      <c r="AB162" s="95"/>
    </row>
    <row r="163" spans="1:28">
      <c r="A163" s="95"/>
      <c r="B163" s="95"/>
      <c r="C163" s="95"/>
      <c r="D163" s="95"/>
      <c r="E163" s="95"/>
      <c r="F163" s="95"/>
      <c r="G163" s="520"/>
      <c r="H163" s="372"/>
      <c r="I163" s="433" t="str">
        <f>Translate!$A$104</f>
        <v>Materials</v>
      </c>
      <c r="J163" s="521" t="str">
        <f t="shared" ref="J163:O169" ca="1" si="8">IF(J$17,IF(ISERROR(J29/J$159),0,J29/J$159*1000)*IF($V$130,1000,1),"")</f>
        <v/>
      </c>
      <c r="K163" s="521" t="str">
        <f t="shared" ca="1" si="8"/>
        <v/>
      </c>
      <c r="L163" s="521" t="str">
        <f t="shared" ca="1" si="8"/>
        <v/>
      </c>
      <c r="M163" s="521" t="str">
        <f t="shared" ca="1" si="8"/>
        <v/>
      </c>
      <c r="N163" s="521" t="str">
        <f t="shared" ca="1" si="8"/>
        <v/>
      </c>
      <c r="O163" s="521" t="str">
        <f t="shared" ca="1" si="8"/>
        <v/>
      </c>
      <c r="P163" s="521">
        <f t="shared" ref="P163:P169" ca="1" si="9">IF(P$17,IF(ISERROR(P29/P$159),0,P29/P$159*1000),"")</f>
        <v>0</v>
      </c>
      <c r="Q163" s="521" t="str">
        <f ca="1">IF(V130,Translate!$A$155,Translate!$A$154)&amp;Q159</f>
        <v xml:space="preserve">gCO2e / </v>
      </c>
      <c r="R163" s="372"/>
      <c r="S163" s="372"/>
      <c r="T163" s="523"/>
      <c r="U163" s="95"/>
      <c r="V163" s="95"/>
      <c r="W163" s="95"/>
      <c r="X163" s="95"/>
      <c r="Y163" s="95"/>
      <c r="Z163" s="95"/>
      <c r="AA163" s="95"/>
      <c r="AB163" s="95"/>
    </row>
    <row r="164" spans="1:28">
      <c r="A164" s="95"/>
      <c r="B164" s="95"/>
      <c r="C164" s="95"/>
      <c r="D164" s="95"/>
      <c r="E164" s="95"/>
      <c r="F164" s="95"/>
      <c r="G164" s="520"/>
      <c r="H164" s="372"/>
      <c r="I164" s="433" t="str">
        <f>Translate!$A$105</f>
        <v>Energy</v>
      </c>
      <c r="J164" s="521" t="str">
        <f t="shared" ca="1" si="8"/>
        <v/>
      </c>
      <c r="K164" s="521" t="str">
        <f t="shared" ca="1" si="8"/>
        <v/>
      </c>
      <c r="L164" s="521" t="str">
        <f t="shared" ca="1" si="8"/>
        <v/>
      </c>
      <c r="M164" s="521" t="str">
        <f t="shared" ca="1" si="8"/>
        <v/>
      </c>
      <c r="N164" s="521" t="str">
        <f t="shared" ca="1" si="8"/>
        <v/>
      </c>
      <c r="O164" s="521" t="str">
        <f t="shared" ca="1" si="8"/>
        <v/>
      </c>
      <c r="P164" s="521">
        <f t="shared" ca="1" si="9"/>
        <v>0</v>
      </c>
      <c r="Q164" s="521" t="str">
        <f ca="1">Q163</f>
        <v xml:space="preserve">gCO2e / </v>
      </c>
      <c r="R164" s="372"/>
      <c r="S164" s="372"/>
      <c r="T164" s="523"/>
      <c r="U164" s="95"/>
      <c r="V164" s="95"/>
      <c r="W164" s="95"/>
      <c r="X164" s="95"/>
      <c r="Y164" s="95"/>
      <c r="Z164" s="95"/>
      <c r="AA164" s="95"/>
      <c r="AB164" s="95"/>
    </row>
    <row r="165" spans="1:28">
      <c r="A165" s="95"/>
      <c r="B165" s="95"/>
      <c r="C165" s="95"/>
      <c r="D165" s="95"/>
      <c r="E165" s="95"/>
      <c r="F165" s="95"/>
      <c r="G165" s="520"/>
      <c r="H165" s="372"/>
      <c r="I165" s="433" t="str">
        <f>Translate!$A$106</f>
        <v>Freight</v>
      </c>
      <c r="J165" s="521" t="str">
        <f t="shared" ca="1" si="8"/>
        <v/>
      </c>
      <c r="K165" s="521" t="str">
        <f t="shared" ca="1" si="8"/>
        <v/>
      </c>
      <c r="L165" s="521" t="str">
        <f t="shared" ca="1" si="8"/>
        <v/>
      </c>
      <c r="M165" s="521" t="str">
        <f t="shared" ca="1" si="8"/>
        <v/>
      </c>
      <c r="N165" s="521" t="str">
        <f t="shared" ca="1" si="8"/>
        <v/>
      </c>
      <c r="O165" s="521" t="str">
        <f t="shared" ca="1" si="8"/>
        <v/>
      </c>
      <c r="P165" s="521">
        <f t="shared" ca="1" si="9"/>
        <v>0</v>
      </c>
      <c r="Q165" s="521" t="str">
        <f t="shared" ref="Q165:Q170" ca="1" si="10">Q164</f>
        <v xml:space="preserve">gCO2e / </v>
      </c>
      <c r="R165" s="372"/>
      <c r="S165" s="372"/>
      <c r="T165" s="523"/>
      <c r="U165" s="95"/>
      <c r="V165" s="95"/>
      <c r="W165" s="95"/>
      <c r="X165" s="95"/>
      <c r="Y165" s="95"/>
      <c r="Z165" s="95"/>
      <c r="AA165" s="95"/>
      <c r="AB165" s="95"/>
    </row>
    <row r="166" spans="1:28">
      <c r="A166" s="95"/>
      <c r="B166" s="95"/>
      <c r="C166" s="95"/>
      <c r="D166" s="95"/>
      <c r="E166" s="95"/>
      <c r="F166" s="95"/>
      <c r="G166" s="520"/>
      <c r="H166" s="372"/>
      <c r="I166" s="433" t="str">
        <f>Translate!$A$107</f>
        <v>Mob/demob</v>
      </c>
      <c r="J166" s="521" t="str">
        <f t="shared" ca="1" si="8"/>
        <v/>
      </c>
      <c r="K166" s="521" t="str">
        <f t="shared" ca="1" si="8"/>
        <v/>
      </c>
      <c r="L166" s="521" t="str">
        <f t="shared" ca="1" si="8"/>
        <v/>
      </c>
      <c r="M166" s="521" t="str">
        <f t="shared" ca="1" si="8"/>
        <v/>
      </c>
      <c r="N166" s="521" t="str">
        <f t="shared" ca="1" si="8"/>
        <v/>
      </c>
      <c r="O166" s="521" t="str">
        <f t="shared" ca="1" si="8"/>
        <v/>
      </c>
      <c r="P166" s="521">
        <f t="shared" ca="1" si="9"/>
        <v>0</v>
      </c>
      <c r="Q166" s="521" t="str">
        <f t="shared" ca="1" si="10"/>
        <v xml:space="preserve">gCO2e / </v>
      </c>
      <c r="R166" s="372"/>
      <c r="S166" s="372"/>
      <c r="T166" s="523"/>
      <c r="U166" s="95"/>
      <c r="V166" s="95"/>
      <c r="W166" s="95"/>
      <c r="X166" s="95"/>
      <c r="Y166" s="95"/>
      <c r="Z166" s="95"/>
      <c r="AA166" s="95"/>
      <c r="AB166" s="95"/>
    </row>
    <row r="167" spans="1:28">
      <c r="A167" s="95"/>
      <c r="B167" s="95"/>
      <c r="C167" s="95"/>
      <c r="D167" s="95"/>
      <c r="E167" s="95"/>
      <c r="F167" s="95"/>
      <c r="G167" s="520"/>
      <c r="H167" s="372"/>
      <c r="I167" s="433" t="str">
        <f>Translate!$A$108</f>
        <v>People's transportation</v>
      </c>
      <c r="J167" s="521" t="str">
        <f t="shared" ca="1" si="8"/>
        <v/>
      </c>
      <c r="K167" s="521" t="str">
        <f t="shared" ca="1" si="8"/>
        <v/>
      </c>
      <c r="L167" s="521" t="str">
        <f t="shared" ca="1" si="8"/>
        <v/>
      </c>
      <c r="M167" s="521" t="str">
        <f t="shared" ca="1" si="8"/>
        <v/>
      </c>
      <c r="N167" s="521" t="str">
        <f t="shared" ca="1" si="8"/>
        <v/>
      </c>
      <c r="O167" s="521" t="str">
        <f t="shared" ca="1" si="8"/>
        <v/>
      </c>
      <c r="P167" s="521">
        <f t="shared" ca="1" si="9"/>
        <v>0</v>
      </c>
      <c r="Q167" s="521" t="str">
        <f t="shared" ca="1" si="10"/>
        <v xml:space="preserve">gCO2e / </v>
      </c>
      <c r="R167" s="372"/>
      <c r="S167" s="372"/>
      <c r="T167" s="523"/>
      <c r="U167" s="95"/>
      <c r="V167" s="95"/>
      <c r="W167" s="95"/>
      <c r="X167" s="95"/>
      <c r="Y167" s="95"/>
      <c r="Z167" s="95"/>
      <c r="AA167" s="95"/>
      <c r="AB167" s="95"/>
    </row>
    <row r="168" spans="1:28">
      <c r="A168" s="95"/>
      <c r="B168" s="95"/>
      <c r="C168" s="95"/>
      <c r="D168" s="95"/>
      <c r="E168" s="95"/>
      <c r="F168" s="95"/>
      <c r="G168" s="520"/>
      <c r="H168" s="372"/>
      <c r="I168" s="433" t="str">
        <f>Translate!$A$109</f>
        <v>Assets</v>
      </c>
      <c r="J168" s="521" t="str">
        <f t="shared" ca="1" si="8"/>
        <v/>
      </c>
      <c r="K168" s="521" t="str">
        <f t="shared" ca="1" si="8"/>
        <v/>
      </c>
      <c r="L168" s="521" t="str">
        <f t="shared" ca="1" si="8"/>
        <v/>
      </c>
      <c r="M168" s="521" t="str">
        <f t="shared" ca="1" si="8"/>
        <v/>
      </c>
      <c r="N168" s="521" t="str">
        <f t="shared" ca="1" si="8"/>
        <v/>
      </c>
      <c r="O168" s="521" t="str">
        <f t="shared" ca="1" si="8"/>
        <v/>
      </c>
      <c r="P168" s="521">
        <f t="shared" ca="1" si="9"/>
        <v>0</v>
      </c>
      <c r="Q168" s="521" t="str">
        <f t="shared" ca="1" si="10"/>
        <v xml:space="preserve">gCO2e / </v>
      </c>
      <c r="R168" s="372"/>
      <c r="S168" s="372"/>
      <c r="T168" s="523"/>
      <c r="U168" s="95"/>
      <c r="V168" s="95"/>
      <c r="W168" s="95"/>
      <c r="X168" s="95"/>
      <c r="Y168" s="95"/>
      <c r="Z168" s="95"/>
      <c r="AA168" s="95"/>
      <c r="AB168" s="95"/>
    </row>
    <row r="169" spans="1:28">
      <c r="A169" s="95"/>
      <c r="B169" s="95"/>
      <c r="C169" s="95"/>
      <c r="D169" s="95"/>
      <c r="E169" s="95"/>
      <c r="F169" s="95"/>
      <c r="G169" s="520"/>
      <c r="H169" s="372"/>
      <c r="I169" s="433" t="str">
        <f>Translate!$A$110</f>
        <v>Waste</v>
      </c>
      <c r="J169" s="521" t="str">
        <f t="shared" ca="1" si="8"/>
        <v/>
      </c>
      <c r="K169" s="521" t="str">
        <f t="shared" ca="1" si="8"/>
        <v/>
      </c>
      <c r="L169" s="521" t="str">
        <f t="shared" ca="1" si="8"/>
        <v/>
      </c>
      <c r="M169" s="521" t="str">
        <f t="shared" ca="1" si="8"/>
        <v/>
      </c>
      <c r="N169" s="521" t="str">
        <f t="shared" ca="1" si="8"/>
        <v/>
      </c>
      <c r="O169" s="521" t="str">
        <f t="shared" ca="1" si="8"/>
        <v/>
      </c>
      <c r="P169" s="521">
        <f t="shared" ca="1" si="9"/>
        <v>0</v>
      </c>
      <c r="Q169" s="521" t="str">
        <f t="shared" ca="1" si="10"/>
        <v xml:space="preserve">gCO2e / </v>
      </c>
      <c r="R169" s="372"/>
      <c r="S169" s="372"/>
      <c r="T169" s="523"/>
      <c r="U169" s="95"/>
      <c r="V169" s="95"/>
      <c r="W169" s="95"/>
      <c r="X169" s="95"/>
      <c r="Y169" s="95"/>
      <c r="Z169" s="95"/>
      <c r="AA169" s="95"/>
      <c r="AB169" s="95"/>
    </row>
    <row r="170" spans="1:28" ht="15.75">
      <c r="A170" s="95"/>
      <c r="B170" s="95"/>
      <c r="C170" s="95"/>
      <c r="D170" s="95"/>
      <c r="E170" s="95"/>
      <c r="F170" s="95"/>
      <c r="G170" s="520"/>
      <c r="H170" s="372"/>
      <c r="I170" s="372"/>
      <c r="J170" s="524">
        <f ca="1">IF(SUM(J163:J169)=0,0,ROUND(SUM(J163:J169),-ROUNDDOWN(LOG(ABS(SUM(J163:J169))),0)+1))</f>
        <v>0</v>
      </c>
      <c r="K170" s="524">
        <f t="shared" ref="K170:P170" ca="1" si="11">IF(SUM(K163:K169)=0,0,ROUND(SUM(K163:K169),-ROUNDDOWN(LOG(ABS(SUM(K163:K169))),0)+1))</f>
        <v>0</v>
      </c>
      <c r="L170" s="524">
        <f t="shared" ca="1" si="11"/>
        <v>0</v>
      </c>
      <c r="M170" s="524">
        <f t="shared" ca="1" si="11"/>
        <v>0</v>
      </c>
      <c r="N170" s="524">
        <f t="shared" ca="1" si="11"/>
        <v>0</v>
      </c>
      <c r="O170" s="524">
        <f t="shared" ca="1" si="11"/>
        <v>0</v>
      </c>
      <c r="P170" s="524">
        <f t="shared" ca="1" si="11"/>
        <v>0</v>
      </c>
      <c r="Q170" s="521" t="str">
        <f t="shared" ca="1" si="10"/>
        <v xml:space="preserve">gCO2e / </v>
      </c>
      <c r="R170" s="372"/>
      <c r="S170" s="372"/>
      <c r="T170" s="523"/>
      <c r="U170" s="95"/>
      <c r="V170" s="95"/>
      <c r="W170" s="95"/>
      <c r="X170" s="95"/>
      <c r="Y170" s="95"/>
      <c r="Z170" s="95"/>
      <c r="AA170" s="95"/>
      <c r="AB170" s="95"/>
    </row>
    <row r="171" spans="1:28">
      <c r="A171" s="95"/>
      <c r="B171" s="95"/>
      <c r="C171" s="95"/>
      <c r="D171" s="95"/>
      <c r="E171" s="95"/>
      <c r="F171" s="95"/>
      <c r="G171" s="520"/>
      <c r="H171" s="372"/>
      <c r="I171" s="372"/>
      <c r="J171" s="372"/>
      <c r="K171" s="372"/>
      <c r="L171" s="372"/>
      <c r="M171" s="372"/>
      <c r="N171" s="372"/>
      <c r="O171" s="372"/>
      <c r="P171" s="372"/>
      <c r="Q171" s="372"/>
      <c r="R171" s="372"/>
      <c r="S171" s="372"/>
      <c r="T171" s="523"/>
      <c r="U171" s="95"/>
      <c r="V171" s="95"/>
      <c r="W171" s="95"/>
      <c r="X171" s="95"/>
      <c r="Y171" s="95"/>
      <c r="Z171" s="95"/>
      <c r="AA171" s="95"/>
      <c r="AB171" s="95"/>
    </row>
    <row r="172" spans="1:28">
      <c r="A172" s="95"/>
      <c r="B172" s="95"/>
      <c r="C172" s="95"/>
      <c r="D172" s="95"/>
      <c r="E172" s="95"/>
      <c r="F172" s="95"/>
      <c r="G172" s="520"/>
      <c r="H172" s="372"/>
      <c r="I172" s="372"/>
      <c r="J172" s="372"/>
      <c r="K172" s="372"/>
      <c r="L172" s="372"/>
      <c r="M172" s="372"/>
      <c r="N172" s="372"/>
      <c r="O172" s="372"/>
      <c r="P172" s="372"/>
      <c r="Q172" s="372"/>
      <c r="R172" s="372"/>
      <c r="S172" s="372"/>
      <c r="T172" s="523"/>
      <c r="U172" s="95"/>
      <c r="V172" s="95"/>
      <c r="W172" s="95"/>
      <c r="X172" s="95"/>
      <c r="Y172" s="95"/>
      <c r="Z172" s="95"/>
      <c r="AA172" s="95"/>
      <c r="AB172" s="95"/>
    </row>
    <row r="173" spans="1:28" ht="15.75">
      <c r="A173" s="95"/>
      <c r="B173" s="95"/>
      <c r="C173" s="95"/>
      <c r="D173" s="95"/>
      <c r="E173" s="95"/>
      <c r="F173" s="95"/>
      <c r="G173" s="520"/>
      <c r="H173" s="372"/>
      <c r="I173" s="372"/>
      <c r="J173" s="530" t="str">
        <f t="shared" ref="J173:O173" ca="1" si="12">IF(J$17,J$16,"")</f>
        <v/>
      </c>
      <c r="K173" s="530" t="str">
        <f t="shared" ca="1" si="12"/>
        <v/>
      </c>
      <c r="L173" s="530" t="str">
        <f t="shared" ca="1" si="12"/>
        <v/>
      </c>
      <c r="M173" s="530" t="str">
        <f t="shared" ca="1" si="12"/>
        <v/>
      </c>
      <c r="N173" s="530" t="str">
        <f t="shared" ca="1" si="12"/>
        <v/>
      </c>
      <c r="O173" s="530" t="str">
        <f t="shared" ca="1" si="12"/>
        <v/>
      </c>
      <c r="P173" s="522" t="s">
        <v>77</v>
      </c>
      <c r="Q173" s="372"/>
      <c r="R173" s="372"/>
      <c r="S173" s="372"/>
      <c r="T173" s="523"/>
      <c r="U173" s="95"/>
      <c r="V173" s="95"/>
      <c r="W173" s="95"/>
      <c r="X173" s="95"/>
      <c r="Y173" s="95"/>
      <c r="Z173" s="95"/>
      <c r="AA173" s="95"/>
      <c r="AB173" s="95"/>
    </row>
    <row r="174" spans="1:28" ht="15.75">
      <c r="A174" s="95" t="s">
        <v>411</v>
      </c>
      <c r="B174" s="95"/>
      <c r="C174" s="95"/>
      <c r="D174" s="95"/>
      <c r="E174" s="95"/>
      <c r="F174" s="95"/>
      <c r="G174" s="520"/>
      <c r="H174" s="372"/>
      <c r="I174" s="701" t="str">
        <f>Translate!$A$159</f>
        <v>Primary sources emissions</v>
      </c>
      <c r="J174" s="521" t="str">
        <f t="shared" ref="J174:O175" ca="1" si="13">IF(J$17,INDIRECT("'"&amp;J$16&amp;"'!"&amp;$A174)/1000,"")</f>
        <v/>
      </c>
      <c r="K174" s="521" t="str">
        <f t="shared" ca="1" si="13"/>
        <v/>
      </c>
      <c r="L174" s="521" t="str">
        <f t="shared" ca="1" si="13"/>
        <v/>
      </c>
      <c r="M174" s="521" t="str">
        <f t="shared" ca="1" si="13"/>
        <v/>
      </c>
      <c r="N174" s="521" t="str">
        <f t="shared" ca="1" si="13"/>
        <v/>
      </c>
      <c r="O174" s="521" t="str">
        <f t="shared" ca="1" si="13"/>
        <v/>
      </c>
      <c r="P174" s="524">
        <f ca="1">IF(ISERROR(AVERAGE(J174:O174)),0,AVERAGE(J174:O174))</f>
        <v>0</v>
      </c>
      <c r="Q174" s="525" t="str">
        <f>Translate!$A$115</f>
        <v>tCO2e</v>
      </c>
      <c r="R174" s="372"/>
      <c r="S174" s="372"/>
      <c r="T174" s="523"/>
      <c r="U174" s="95"/>
      <c r="V174" s="95"/>
      <c r="W174" s="95"/>
      <c r="X174" s="95"/>
      <c r="Y174" s="95"/>
      <c r="Z174" s="95"/>
      <c r="AA174" s="95"/>
      <c r="AB174" s="95"/>
    </row>
    <row r="175" spans="1:28" ht="15.75">
      <c r="A175" s="95" t="s">
        <v>412</v>
      </c>
      <c r="B175" s="95"/>
      <c r="C175" s="95"/>
      <c r="D175" s="95"/>
      <c r="E175" s="95"/>
      <c r="F175" s="95"/>
      <c r="G175" s="520"/>
      <c r="H175" s="372"/>
      <c r="I175" s="702" t="str">
        <f>Translate!$A$160</f>
        <v>Secondary sources emissions</v>
      </c>
      <c r="J175" s="521" t="str">
        <f t="shared" ca="1" si="13"/>
        <v/>
      </c>
      <c r="K175" s="521" t="str">
        <f t="shared" ca="1" si="13"/>
        <v/>
      </c>
      <c r="L175" s="521" t="str">
        <f t="shared" ca="1" si="13"/>
        <v/>
      </c>
      <c r="M175" s="521" t="str">
        <f t="shared" ca="1" si="13"/>
        <v/>
      </c>
      <c r="N175" s="521" t="str">
        <f t="shared" ca="1" si="13"/>
        <v/>
      </c>
      <c r="O175" s="521" t="str">
        <f t="shared" ca="1" si="13"/>
        <v/>
      </c>
      <c r="P175" s="524">
        <f ca="1">IF(ISERROR(AVERAGE(J175:O175)),0,AVERAGE(J175:O175))</f>
        <v>0</v>
      </c>
      <c r="Q175" s="525" t="str">
        <f>Translate!$A$115</f>
        <v>tCO2e</v>
      </c>
      <c r="R175" s="372"/>
      <c r="S175" s="372"/>
      <c r="T175" s="523"/>
      <c r="U175" s="95"/>
      <c r="V175" s="95"/>
      <c r="W175" s="95"/>
      <c r="X175" s="95"/>
      <c r="Y175" s="95"/>
      <c r="Z175" s="95"/>
      <c r="AA175" s="95"/>
      <c r="AB175" s="95"/>
    </row>
    <row r="176" spans="1:28" ht="15.75">
      <c r="A176" s="95"/>
      <c r="B176" s="95"/>
      <c r="C176" s="95"/>
      <c r="D176" s="95"/>
      <c r="E176" s="95"/>
      <c r="F176" s="95"/>
      <c r="G176" s="520"/>
      <c r="H176" s="372"/>
      <c r="I176" s="531" t="str">
        <f>Translate!$A$161</f>
        <v>Uncertainties</v>
      </c>
      <c r="J176" s="521" t="str">
        <f t="shared" ref="J176:O176" ca="1" si="14">IF(J$17,J196+J197,"")</f>
        <v/>
      </c>
      <c r="K176" s="521" t="str">
        <f t="shared" ca="1" si="14"/>
        <v/>
      </c>
      <c r="L176" s="521" t="str">
        <f t="shared" ca="1" si="14"/>
        <v/>
      </c>
      <c r="M176" s="521" t="str">
        <f t="shared" ca="1" si="14"/>
        <v/>
      </c>
      <c r="N176" s="521" t="str">
        <f t="shared" ca="1" si="14"/>
        <v/>
      </c>
      <c r="O176" s="521" t="str">
        <f t="shared" ca="1" si="14"/>
        <v/>
      </c>
      <c r="P176" s="524">
        <f ca="1">IF(ISERROR(AVERAGE(J176:O176)),0,AVERAGE(J176:O176))</f>
        <v>0</v>
      </c>
      <c r="Q176" s="525" t="str">
        <f>Translate!$A$115</f>
        <v>tCO2e</v>
      </c>
      <c r="R176" s="372"/>
      <c r="S176" s="372"/>
      <c r="T176" s="523"/>
      <c r="U176" s="95"/>
      <c r="V176" s="95"/>
      <c r="W176" s="95"/>
      <c r="X176" s="95"/>
      <c r="Y176" s="95"/>
      <c r="Z176" s="95"/>
      <c r="AA176" s="95"/>
      <c r="AB176" s="95"/>
    </row>
    <row r="177" spans="1:28">
      <c r="A177" s="95"/>
      <c r="B177" s="95"/>
      <c r="C177" s="95"/>
      <c r="D177" s="95"/>
      <c r="E177" s="95"/>
      <c r="F177" s="95"/>
      <c r="G177" s="520"/>
      <c r="H177" s="372"/>
      <c r="I177" s="372"/>
      <c r="J177" s="372"/>
      <c r="K177" s="372"/>
      <c r="L177" s="372"/>
      <c r="M177" s="372"/>
      <c r="N177" s="372"/>
      <c r="O177" s="372"/>
      <c r="P177" s="372"/>
      <c r="Q177" s="372"/>
      <c r="R177" s="372"/>
      <c r="S177" s="372"/>
      <c r="T177" s="523"/>
      <c r="U177" s="95"/>
      <c r="V177" s="95"/>
      <c r="W177" s="95"/>
      <c r="X177" s="95"/>
      <c r="Y177" s="95"/>
      <c r="Z177" s="95"/>
      <c r="AA177" s="95"/>
      <c r="AB177" s="95"/>
    </row>
    <row r="178" spans="1:28" ht="15.75">
      <c r="A178" s="95"/>
      <c r="B178" s="95"/>
      <c r="C178" s="95"/>
      <c r="D178" s="95"/>
      <c r="E178" s="95"/>
      <c r="F178" s="95"/>
      <c r="G178" s="520"/>
      <c r="H178" s="372"/>
      <c r="I178" s="372"/>
      <c r="J178" s="530" t="str">
        <f t="shared" ref="J178:O178" ca="1" si="15">IF(J$17,J$16,"")</f>
        <v/>
      </c>
      <c r="K178" s="530" t="str">
        <f t="shared" ca="1" si="15"/>
        <v/>
      </c>
      <c r="L178" s="530" t="str">
        <f t="shared" ca="1" si="15"/>
        <v/>
      </c>
      <c r="M178" s="530" t="str">
        <f t="shared" ca="1" si="15"/>
        <v/>
      </c>
      <c r="N178" s="530" t="str">
        <f t="shared" ca="1" si="15"/>
        <v/>
      </c>
      <c r="O178" s="530" t="str">
        <f t="shared" ca="1" si="15"/>
        <v/>
      </c>
      <c r="P178" s="522" t="s">
        <v>77</v>
      </c>
      <c r="Q178" s="372"/>
      <c r="R178" s="372"/>
      <c r="S178" s="372"/>
      <c r="T178" s="523"/>
      <c r="U178" s="95"/>
      <c r="V178" s="95"/>
      <c r="W178" s="95"/>
      <c r="X178" s="95"/>
      <c r="Y178" s="95"/>
      <c r="Z178" s="95"/>
      <c r="AA178" s="95"/>
      <c r="AB178" s="95"/>
    </row>
    <row r="179" spans="1:28" ht="15.75">
      <c r="A179" s="95" t="s">
        <v>341</v>
      </c>
      <c r="B179" s="95"/>
      <c r="C179" s="95"/>
      <c r="D179" s="95"/>
      <c r="E179" s="95"/>
      <c r="F179" s="95"/>
      <c r="G179" s="520"/>
      <c r="H179" s="372"/>
      <c r="I179" s="701" t="str">
        <f>Translate!$A$73</f>
        <v>Concrete / Slurry / Grout mix</v>
      </c>
      <c r="J179" s="521" t="str">
        <f t="shared" ref="J179:O181" ca="1" si="16">IF(J$17,INDIRECT("'"&amp;J$16&amp;"'!"&amp;$A179),"")</f>
        <v/>
      </c>
      <c r="K179" s="521" t="str">
        <f t="shared" ca="1" si="16"/>
        <v/>
      </c>
      <c r="L179" s="521" t="str">
        <f t="shared" ca="1" si="16"/>
        <v/>
      </c>
      <c r="M179" s="521" t="str">
        <f t="shared" ca="1" si="16"/>
        <v/>
      </c>
      <c r="N179" s="521" t="str">
        <f t="shared" ca="1" si="16"/>
        <v/>
      </c>
      <c r="O179" s="521" t="str">
        <f t="shared" ca="1" si="16"/>
        <v/>
      </c>
      <c r="P179" s="524">
        <f ca="1">IF(ISERROR(AVERAGE(J179:O179)),0,AVERAGE(J179:O179))</f>
        <v>0</v>
      </c>
      <c r="Q179" s="525" t="str">
        <f>Translate!$A$115</f>
        <v>tCO2e</v>
      </c>
      <c r="R179" s="372"/>
      <c r="S179" s="372"/>
      <c r="T179" s="523"/>
      <c r="U179" s="95"/>
      <c r="V179" s="95"/>
      <c r="W179" s="95"/>
      <c r="X179" s="95"/>
      <c r="Y179" s="95"/>
      <c r="Z179" s="95"/>
      <c r="AA179" s="95"/>
      <c r="AB179" s="95"/>
    </row>
    <row r="180" spans="1:28" ht="15.75">
      <c r="A180" s="95" t="s">
        <v>342</v>
      </c>
      <c r="B180" s="95"/>
      <c r="C180" s="95"/>
      <c r="D180" s="95"/>
      <c r="E180" s="95"/>
      <c r="F180" s="95"/>
      <c r="G180" s="520"/>
      <c r="H180" s="372"/>
      <c r="I180" s="531" t="str">
        <f>Translate!$A$138</f>
        <v>Steel</v>
      </c>
      <c r="J180" s="521" t="str">
        <f t="shared" ca="1" si="16"/>
        <v/>
      </c>
      <c r="K180" s="521" t="str">
        <f t="shared" ca="1" si="16"/>
        <v/>
      </c>
      <c r="L180" s="521" t="str">
        <f t="shared" ca="1" si="16"/>
        <v/>
      </c>
      <c r="M180" s="521" t="str">
        <f t="shared" ca="1" si="16"/>
        <v/>
      </c>
      <c r="N180" s="521" t="str">
        <f t="shared" ca="1" si="16"/>
        <v/>
      </c>
      <c r="O180" s="521" t="str">
        <f t="shared" ca="1" si="16"/>
        <v/>
      </c>
      <c r="P180" s="524">
        <f ca="1">IF(ISERROR(AVERAGE(J180:O180)),0,AVERAGE(J180:O180))</f>
        <v>0</v>
      </c>
      <c r="Q180" s="525" t="str">
        <f>Translate!$A$115</f>
        <v>tCO2e</v>
      </c>
      <c r="R180" s="372"/>
      <c r="S180" s="372"/>
      <c r="T180" s="523"/>
      <c r="U180" s="95"/>
      <c r="V180" s="95"/>
      <c r="W180" s="95"/>
      <c r="X180" s="95"/>
      <c r="Y180" s="95"/>
      <c r="Z180" s="95"/>
      <c r="AA180" s="95"/>
      <c r="AB180" s="95"/>
    </row>
    <row r="181" spans="1:28" ht="15.75">
      <c r="A181" s="95" t="s">
        <v>343</v>
      </c>
      <c r="B181" s="95"/>
      <c r="C181" s="95"/>
      <c r="D181" s="95"/>
      <c r="E181" s="95"/>
      <c r="F181" s="95"/>
      <c r="G181" s="520"/>
      <c r="H181" s="372"/>
      <c r="I181" s="531" t="str">
        <f>Translate!$A$162</f>
        <v>Other materials</v>
      </c>
      <c r="J181" s="521" t="str">
        <f t="shared" ca="1" si="16"/>
        <v/>
      </c>
      <c r="K181" s="521" t="str">
        <f t="shared" ca="1" si="16"/>
        <v/>
      </c>
      <c r="L181" s="521" t="str">
        <f t="shared" ca="1" si="16"/>
        <v/>
      </c>
      <c r="M181" s="521" t="str">
        <f t="shared" ca="1" si="16"/>
        <v/>
      </c>
      <c r="N181" s="521" t="str">
        <f t="shared" ca="1" si="16"/>
        <v/>
      </c>
      <c r="O181" s="521" t="str">
        <f t="shared" ca="1" si="16"/>
        <v/>
      </c>
      <c r="P181" s="524">
        <f ca="1">IF(ISERROR(AVERAGE(J181:O181)),0,AVERAGE(J181:O181))</f>
        <v>0</v>
      </c>
      <c r="Q181" s="525" t="str">
        <f>Translate!$A$115</f>
        <v>tCO2e</v>
      </c>
      <c r="R181" s="372"/>
      <c r="S181" s="372"/>
      <c r="T181" s="523"/>
      <c r="U181" s="95"/>
      <c r="V181" s="95"/>
      <c r="W181" s="95"/>
      <c r="X181" s="95"/>
      <c r="Y181" s="95"/>
      <c r="Z181" s="95"/>
      <c r="AA181" s="95"/>
      <c r="AB181" s="95"/>
    </row>
    <row r="182" spans="1:28" ht="15.75">
      <c r="A182" s="95"/>
      <c r="B182" s="95"/>
      <c r="C182" s="95"/>
      <c r="D182" s="95"/>
      <c r="E182" s="95"/>
      <c r="F182" s="95"/>
      <c r="G182" s="520"/>
      <c r="H182" s="372"/>
      <c r="I182" s="531" t="str">
        <f>IF(V97=Translate!$A$163,Translate!$A$165,"")</f>
        <v>Other emission sources</v>
      </c>
      <c r="J182" s="521">
        <f ca="1">(SUM(J29:J35)-SUM(J179:J181))*($V$97=Translate!$A$163)</f>
        <v>0</v>
      </c>
      <c r="K182" s="521">
        <f ca="1">(SUM(K29:K35)-SUM(K179:K181))*($V$97=Translate!$A$163)</f>
        <v>0</v>
      </c>
      <c r="L182" s="521">
        <f ca="1">(SUM(L29:L35)-SUM(L179:L181))*($V$97=Translate!$A$163)</f>
        <v>0</v>
      </c>
      <c r="M182" s="521">
        <f ca="1">(SUM(M29:M35)-SUM(M179:M181))*($V$97=Translate!$A$163)</f>
        <v>0</v>
      </c>
      <c r="N182" s="521">
        <f ca="1">(SUM(N29:N35)-SUM(N179:N181))*($V$97=Translate!$A$163)</f>
        <v>0</v>
      </c>
      <c r="O182" s="521">
        <f ca="1">(SUM(O29:O35)-SUM(O179:O181))*($V$97=Translate!$A$163)</f>
        <v>0</v>
      </c>
      <c r="P182" s="524">
        <f ca="1">(SUM(P29:P35)-SUM(P179:P181))*($V$97="YES")</f>
        <v>0</v>
      </c>
      <c r="Q182" s="525" t="str">
        <f>Translate!$A$115</f>
        <v>tCO2e</v>
      </c>
      <c r="R182" s="372"/>
      <c r="S182" s="372"/>
      <c r="T182" s="523"/>
      <c r="U182" s="95"/>
      <c r="V182" s="95"/>
      <c r="W182" s="95"/>
      <c r="X182" s="95"/>
      <c r="Y182" s="95"/>
      <c r="Z182" s="95"/>
      <c r="AA182" s="95"/>
      <c r="AB182" s="95"/>
    </row>
    <row r="183" spans="1:28">
      <c r="A183" s="95"/>
      <c r="B183" s="95"/>
      <c r="C183" s="95"/>
      <c r="D183" s="95"/>
      <c r="E183" s="95"/>
      <c r="F183" s="95"/>
      <c r="G183" s="520"/>
      <c r="H183" s="372"/>
      <c r="I183" s="372"/>
      <c r="J183" s="372"/>
      <c r="K183" s="372"/>
      <c r="L183" s="372"/>
      <c r="M183" s="372"/>
      <c r="N183" s="372"/>
      <c r="O183" s="372"/>
      <c r="P183" s="372"/>
      <c r="Q183" s="372"/>
      <c r="R183" s="372"/>
      <c r="S183" s="372"/>
      <c r="T183" s="523"/>
      <c r="U183" s="95"/>
      <c r="V183" s="95"/>
      <c r="W183" s="95"/>
      <c r="X183" s="95"/>
      <c r="Y183" s="95"/>
      <c r="Z183" s="95"/>
      <c r="AA183" s="95"/>
      <c r="AB183" s="95"/>
    </row>
    <row r="184" spans="1:28">
      <c r="A184" s="95"/>
      <c r="B184" s="95"/>
      <c r="C184" s="95"/>
      <c r="D184" s="95"/>
      <c r="E184" s="95"/>
      <c r="F184" s="95"/>
      <c r="G184" s="520"/>
      <c r="H184" s="372"/>
      <c r="I184" s="372"/>
      <c r="J184" s="372"/>
      <c r="K184" s="372"/>
      <c r="L184" s="372"/>
      <c r="M184" s="372"/>
      <c r="N184" s="372"/>
      <c r="O184" s="372"/>
      <c r="P184" s="372"/>
      <c r="Q184" s="372"/>
      <c r="R184" s="372"/>
      <c r="S184" s="372"/>
      <c r="T184" s="523"/>
      <c r="U184" s="95"/>
      <c r="V184" s="95"/>
      <c r="W184" s="95"/>
      <c r="X184" s="95"/>
      <c r="Y184" s="95"/>
      <c r="Z184" s="95"/>
      <c r="AA184" s="95"/>
      <c r="AB184" s="95"/>
    </row>
    <row r="185" spans="1:28">
      <c r="A185" s="95"/>
      <c r="B185" s="95"/>
      <c r="C185" s="95"/>
      <c r="D185" s="95"/>
      <c r="E185" s="95"/>
      <c r="F185" s="95"/>
      <c r="G185" s="520"/>
      <c r="H185" s="372"/>
      <c r="I185" s="372"/>
      <c r="J185" s="372"/>
      <c r="K185" s="372"/>
      <c r="L185" s="372"/>
      <c r="M185" s="372"/>
      <c r="N185" s="372"/>
      <c r="O185" s="372"/>
      <c r="P185" s="372"/>
      <c r="Q185" s="372"/>
      <c r="R185" s="372"/>
      <c r="S185" s="372"/>
      <c r="T185" s="523"/>
      <c r="U185" s="95"/>
      <c r="V185" s="95"/>
      <c r="W185" s="95"/>
      <c r="X185" s="95"/>
      <c r="Y185" s="95"/>
      <c r="Z185" s="95"/>
      <c r="AA185" s="95"/>
      <c r="AB185" s="95"/>
    </row>
    <row r="186" spans="1:28" hidden="1">
      <c r="A186" s="95" t="s">
        <v>397</v>
      </c>
      <c r="B186" s="95"/>
      <c r="C186" s="95"/>
      <c r="D186" s="95"/>
      <c r="E186" s="95"/>
      <c r="F186" s="95"/>
      <c r="G186" s="520"/>
      <c r="H186" s="372"/>
      <c r="I186" s="527" t="s">
        <v>395</v>
      </c>
      <c r="J186" s="521" t="str">
        <f t="shared" ref="J186:O186" ca="1" si="17">IF(J$17,INDIRECT("'"&amp;J$16&amp;"'!"&amp;$A186),"")</f>
        <v/>
      </c>
      <c r="K186" s="521" t="str">
        <f t="shared" ca="1" si="17"/>
        <v/>
      </c>
      <c r="L186" s="521" t="str">
        <f t="shared" ca="1" si="17"/>
        <v/>
      </c>
      <c r="M186" s="521" t="str">
        <f t="shared" ca="1" si="17"/>
        <v/>
      </c>
      <c r="N186" s="521" t="str">
        <f t="shared" ca="1" si="17"/>
        <v/>
      </c>
      <c r="O186" s="521" t="str">
        <f t="shared" ca="1" si="17"/>
        <v/>
      </c>
      <c r="P186" s="372"/>
      <c r="Q186" s="372"/>
      <c r="R186" s="372"/>
      <c r="S186" s="372"/>
      <c r="T186" s="523"/>
      <c r="U186" s="95"/>
      <c r="V186" s="95"/>
      <c r="W186" s="95"/>
      <c r="X186" s="95"/>
      <c r="Y186" s="95"/>
      <c r="Z186" s="95"/>
      <c r="AA186" s="95"/>
      <c r="AB186" s="95"/>
    </row>
    <row r="187" spans="1:28" hidden="1">
      <c r="A187" s="95"/>
      <c r="B187" s="95"/>
      <c r="C187" s="95"/>
      <c r="D187" s="95"/>
      <c r="E187" s="95"/>
      <c r="F187" s="95"/>
      <c r="G187" s="520"/>
      <c r="H187" s="372"/>
      <c r="I187" s="372"/>
      <c r="J187" s="372">
        <f t="shared" ref="J187:O187" ca="1" si="18">IF(OR(J16="",J186=$J$186),0,1)</f>
        <v>0</v>
      </c>
      <c r="K187" s="372">
        <f t="shared" ca="1" si="18"/>
        <v>0</v>
      </c>
      <c r="L187" s="372">
        <f t="shared" ca="1" si="18"/>
        <v>0</v>
      </c>
      <c r="M187" s="372">
        <f t="shared" ca="1" si="18"/>
        <v>0</v>
      </c>
      <c r="N187" s="372">
        <f t="shared" ca="1" si="18"/>
        <v>0</v>
      </c>
      <c r="O187" s="372">
        <f t="shared" ca="1" si="18"/>
        <v>0</v>
      </c>
      <c r="P187" s="372">
        <f ca="1">SUM(J187:O187)</f>
        <v>0</v>
      </c>
      <c r="Q187" s="372"/>
      <c r="R187" s="372"/>
      <c r="S187" s="372"/>
      <c r="T187" s="523"/>
      <c r="U187" s="95"/>
      <c r="V187" s="95"/>
      <c r="W187" s="95"/>
      <c r="X187" s="95"/>
      <c r="Y187" s="95"/>
      <c r="Z187" s="95"/>
      <c r="AA187" s="95"/>
      <c r="AB187" s="95"/>
    </row>
    <row r="188" spans="1:28" hidden="1">
      <c r="A188" s="95" t="s">
        <v>413</v>
      </c>
      <c r="B188" s="95"/>
      <c r="C188" s="95"/>
      <c r="D188" s="95"/>
      <c r="E188" s="95"/>
      <c r="F188" s="95"/>
      <c r="G188" s="520"/>
      <c r="H188" s="372"/>
      <c r="I188" s="527" t="s">
        <v>375</v>
      </c>
      <c r="J188" s="521" t="str">
        <f t="shared" ref="J188:O188" ca="1" si="19">IF(J$17,INDIRECT("'"&amp;J$16&amp;"'!"&amp;$A188),"")</f>
        <v/>
      </c>
      <c r="K188" s="521" t="str">
        <f t="shared" ca="1" si="19"/>
        <v/>
      </c>
      <c r="L188" s="521" t="str">
        <f t="shared" ca="1" si="19"/>
        <v/>
      </c>
      <c r="M188" s="521" t="str">
        <f t="shared" ca="1" si="19"/>
        <v/>
      </c>
      <c r="N188" s="521" t="str">
        <f t="shared" ca="1" si="19"/>
        <v/>
      </c>
      <c r="O188" s="521" t="str">
        <f t="shared" ca="1" si="19"/>
        <v/>
      </c>
      <c r="P188" s="372"/>
      <c r="Q188" s="372"/>
      <c r="R188" s="372"/>
      <c r="S188" s="372"/>
      <c r="T188" s="523"/>
      <c r="U188" s="95"/>
      <c r="V188" s="95"/>
      <c r="W188" s="95"/>
      <c r="X188" s="95"/>
      <c r="Y188" s="95"/>
      <c r="Z188" s="95"/>
      <c r="AA188" s="95"/>
      <c r="AB188" s="95"/>
    </row>
    <row r="189" spans="1:28" hidden="1">
      <c r="A189" s="95"/>
      <c r="B189" s="95"/>
      <c r="C189" s="95"/>
      <c r="D189" s="95"/>
      <c r="E189" s="95"/>
      <c r="F189" s="95"/>
      <c r="G189" s="520"/>
      <c r="H189" s="372"/>
      <c r="I189" s="372"/>
      <c r="J189" s="372">
        <f t="shared" ref="J189:O189" ca="1" si="20">IF(OR(J$16="",J188=$J188),0,1)</f>
        <v>0</v>
      </c>
      <c r="K189" s="372">
        <f t="shared" ca="1" si="20"/>
        <v>0</v>
      </c>
      <c r="L189" s="372">
        <f t="shared" ca="1" si="20"/>
        <v>0</v>
      </c>
      <c r="M189" s="372">
        <f t="shared" ca="1" si="20"/>
        <v>0</v>
      </c>
      <c r="N189" s="372">
        <f t="shared" ca="1" si="20"/>
        <v>0</v>
      </c>
      <c r="O189" s="372">
        <f t="shared" ca="1" si="20"/>
        <v>0</v>
      </c>
      <c r="P189" s="372">
        <f ca="1">SUM(J189:O189)</f>
        <v>0</v>
      </c>
      <c r="Q189" s="372"/>
      <c r="R189" s="372"/>
      <c r="S189" s="372"/>
      <c r="T189" s="523"/>
      <c r="U189" s="95"/>
      <c r="V189" s="95"/>
      <c r="W189" s="95"/>
      <c r="X189" s="95"/>
      <c r="Y189" s="95"/>
      <c r="Z189" s="95"/>
      <c r="AA189" s="95"/>
      <c r="AB189" s="95"/>
    </row>
    <row r="190" spans="1:28" hidden="1">
      <c r="A190" s="95" t="s">
        <v>414</v>
      </c>
      <c r="B190" s="95"/>
      <c r="C190" s="95"/>
      <c r="D190" s="95"/>
      <c r="E190" s="95"/>
      <c r="F190" s="95"/>
      <c r="G190" s="520"/>
      <c r="H190" s="372"/>
      <c r="I190" s="527" t="s">
        <v>376</v>
      </c>
      <c r="J190" s="521" t="str">
        <f t="shared" ref="J190:O190" ca="1" si="21">IF(J$17,INDIRECT("'"&amp;J$16&amp;"'!"&amp;$A190),"")</f>
        <v/>
      </c>
      <c r="K190" s="521" t="str">
        <f t="shared" ca="1" si="21"/>
        <v/>
      </c>
      <c r="L190" s="521" t="str">
        <f t="shared" ca="1" si="21"/>
        <v/>
      </c>
      <c r="M190" s="521" t="str">
        <f t="shared" ca="1" si="21"/>
        <v/>
      </c>
      <c r="N190" s="521" t="str">
        <f t="shared" ca="1" si="21"/>
        <v/>
      </c>
      <c r="O190" s="521" t="str">
        <f t="shared" ca="1" si="21"/>
        <v/>
      </c>
      <c r="P190" s="372"/>
      <c r="Q190" s="372"/>
      <c r="R190" s="372"/>
      <c r="S190" s="372"/>
      <c r="T190" s="523"/>
      <c r="U190" s="95"/>
      <c r="V190" s="95"/>
      <c r="W190" s="95"/>
      <c r="X190" s="95"/>
      <c r="Y190" s="95"/>
      <c r="Z190" s="95"/>
      <c r="AA190" s="95"/>
      <c r="AB190" s="95"/>
    </row>
    <row r="191" spans="1:28" hidden="1">
      <c r="A191" s="95"/>
      <c r="B191" s="95"/>
      <c r="C191" s="95"/>
      <c r="D191" s="95"/>
      <c r="E191" s="95"/>
      <c r="F191" s="95"/>
      <c r="G191" s="520"/>
      <c r="H191" s="372"/>
      <c r="I191" s="372"/>
      <c r="J191" s="372">
        <f t="shared" ref="J191:O191" ca="1" si="22">IF(OR(J$16="",J190=$J190),0,1)</f>
        <v>0</v>
      </c>
      <c r="K191" s="372">
        <f t="shared" ca="1" si="22"/>
        <v>0</v>
      </c>
      <c r="L191" s="372">
        <f t="shared" ca="1" si="22"/>
        <v>0</v>
      </c>
      <c r="M191" s="372">
        <f t="shared" ca="1" si="22"/>
        <v>0</v>
      </c>
      <c r="N191" s="372">
        <f t="shared" ca="1" si="22"/>
        <v>0</v>
      </c>
      <c r="O191" s="372">
        <f t="shared" ca="1" si="22"/>
        <v>0</v>
      </c>
      <c r="P191" s="372">
        <f ca="1">SUM(J191:O191)</f>
        <v>0</v>
      </c>
      <c r="Q191" s="372"/>
      <c r="R191" s="372"/>
      <c r="S191" s="372"/>
      <c r="T191" s="523"/>
      <c r="U191" s="95"/>
      <c r="V191" s="95"/>
      <c r="W191" s="95"/>
      <c r="X191" s="95"/>
      <c r="Y191" s="95"/>
      <c r="Z191" s="95"/>
      <c r="AA191" s="95"/>
      <c r="AB191" s="95"/>
    </row>
    <row r="192" spans="1:28" hidden="1">
      <c r="A192" s="95" t="s">
        <v>415</v>
      </c>
      <c r="B192" s="95"/>
      <c r="C192" s="95"/>
      <c r="D192" s="95"/>
      <c r="E192" s="95"/>
      <c r="F192" s="95"/>
      <c r="G192" s="520"/>
      <c r="H192" s="372"/>
      <c r="I192" s="527" t="s">
        <v>284</v>
      </c>
      <c r="J192" s="521" t="str">
        <f t="shared" ref="J192:O192" ca="1" si="23">IF(J$17,INDIRECT("'"&amp;J$16&amp;"'!"&amp;$A192),"")</f>
        <v/>
      </c>
      <c r="K192" s="521" t="str">
        <f t="shared" ca="1" si="23"/>
        <v/>
      </c>
      <c r="L192" s="521" t="str">
        <f t="shared" ca="1" si="23"/>
        <v/>
      </c>
      <c r="M192" s="521" t="str">
        <f t="shared" ca="1" si="23"/>
        <v/>
      </c>
      <c r="N192" s="521" t="str">
        <f t="shared" ca="1" si="23"/>
        <v/>
      </c>
      <c r="O192" s="521" t="str">
        <f t="shared" ca="1" si="23"/>
        <v/>
      </c>
      <c r="P192" s="372"/>
      <c r="Q192" s="372"/>
      <c r="R192" s="372"/>
      <c r="S192" s="372"/>
      <c r="T192" s="523"/>
      <c r="U192" s="95"/>
      <c r="V192" s="95"/>
      <c r="W192" s="95"/>
      <c r="X192" s="95"/>
      <c r="Y192" s="95"/>
      <c r="Z192" s="95"/>
      <c r="AA192" s="95"/>
      <c r="AB192" s="95"/>
    </row>
    <row r="193" spans="1:28" hidden="1">
      <c r="A193" s="95"/>
      <c r="B193" s="95"/>
      <c r="C193" s="95"/>
      <c r="D193" s="95"/>
      <c r="E193" s="95"/>
      <c r="F193" s="95"/>
      <c r="G193" s="520"/>
      <c r="H193" s="372"/>
      <c r="I193" s="372"/>
      <c r="J193" s="372">
        <f t="shared" ref="J193:O193" ca="1" si="24">IF(OR(J$16="",J192=$J192),0,1)</f>
        <v>0</v>
      </c>
      <c r="K193" s="372">
        <f t="shared" ca="1" si="24"/>
        <v>0</v>
      </c>
      <c r="L193" s="372">
        <f t="shared" ca="1" si="24"/>
        <v>0</v>
      </c>
      <c r="M193" s="372">
        <f t="shared" ca="1" si="24"/>
        <v>0</v>
      </c>
      <c r="N193" s="372">
        <f t="shared" ca="1" si="24"/>
        <v>0</v>
      </c>
      <c r="O193" s="372">
        <f t="shared" ca="1" si="24"/>
        <v>0</v>
      </c>
      <c r="P193" s="372">
        <f ca="1">SUM(J193:O193)</f>
        <v>0</v>
      </c>
      <c r="Q193" s="372"/>
      <c r="R193" s="372"/>
      <c r="S193" s="372"/>
      <c r="T193" s="523"/>
      <c r="U193" s="95"/>
      <c r="V193" s="95"/>
      <c r="W193" s="95"/>
      <c r="X193" s="95"/>
      <c r="Y193" s="95"/>
      <c r="Z193" s="95"/>
      <c r="AA193" s="95"/>
      <c r="AB193" s="95"/>
    </row>
    <row r="194" spans="1:28" hidden="1">
      <c r="A194" s="95" t="s">
        <v>416</v>
      </c>
      <c r="B194" s="95"/>
      <c r="C194" s="95"/>
      <c r="D194" s="95"/>
      <c r="E194" s="95"/>
      <c r="F194" s="95"/>
      <c r="G194" s="520"/>
      <c r="H194" s="372"/>
      <c r="I194" s="527" t="s">
        <v>396</v>
      </c>
      <c r="J194" s="521" t="str">
        <f t="shared" ref="J194:O194" ca="1" si="25">IF(J$17,INDIRECT("'"&amp;J$16&amp;"'!"&amp;$A194),"")</f>
        <v/>
      </c>
      <c r="K194" s="521" t="str">
        <f t="shared" ca="1" si="25"/>
        <v/>
      </c>
      <c r="L194" s="521" t="str">
        <f t="shared" ca="1" si="25"/>
        <v/>
      </c>
      <c r="M194" s="521" t="str">
        <f t="shared" ca="1" si="25"/>
        <v/>
      </c>
      <c r="N194" s="521" t="str">
        <f t="shared" ca="1" si="25"/>
        <v/>
      </c>
      <c r="O194" s="521" t="str">
        <f t="shared" ca="1" si="25"/>
        <v/>
      </c>
      <c r="P194" s="372"/>
      <c r="Q194" s="372"/>
      <c r="R194" s="372"/>
      <c r="S194" s="372"/>
      <c r="T194" s="523"/>
      <c r="U194" s="95"/>
      <c r="V194" s="95"/>
      <c r="W194" s="95"/>
      <c r="X194" s="95"/>
      <c r="Y194" s="95"/>
      <c r="Z194" s="95"/>
      <c r="AA194" s="95"/>
      <c r="AB194" s="95"/>
    </row>
    <row r="195" spans="1:28" hidden="1">
      <c r="A195" s="95"/>
      <c r="B195" s="95"/>
      <c r="C195" s="95"/>
      <c r="D195" s="95"/>
      <c r="E195" s="95"/>
      <c r="F195" s="95"/>
      <c r="G195" s="520"/>
      <c r="H195" s="372"/>
      <c r="I195" s="372"/>
      <c r="J195" s="372">
        <f t="shared" ref="J195:O195" ca="1" si="26">IF(OR(J$16="",J194=$J194),0,1)</f>
        <v>0</v>
      </c>
      <c r="K195" s="372">
        <f t="shared" ca="1" si="26"/>
        <v>0</v>
      </c>
      <c r="L195" s="372">
        <f t="shared" ca="1" si="26"/>
        <v>0</v>
      </c>
      <c r="M195" s="372">
        <f t="shared" ca="1" si="26"/>
        <v>0</v>
      </c>
      <c r="N195" s="372">
        <f t="shared" ca="1" si="26"/>
        <v>0</v>
      </c>
      <c r="O195" s="372">
        <f t="shared" ca="1" si="26"/>
        <v>0</v>
      </c>
      <c r="P195" s="372">
        <f ca="1">SUM(J195:O195)</f>
        <v>0</v>
      </c>
      <c r="Q195" s="372"/>
      <c r="R195" s="372"/>
      <c r="S195" s="372"/>
      <c r="T195" s="523"/>
      <c r="U195" s="95"/>
      <c r="V195" s="95"/>
      <c r="W195" s="95"/>
      <c r="X195" s="95"/>
      <c r="Y195" s="95"/>
      <c r="Z195" s="95"/>
      <c r="AA195" s="95"/>
      <c r="AB195" s="95"/>
    </row>
    <row r="196" spans="1:28" ht="15.75" hidden="1">
      <c r="A196" s="95" t="s">
        <v>417</v>
      </c>
      <c r="B196" s="95"/>
      <c r="C196" s="95"/>
      <c r="D196" s="95"/>
      <c r="E196" s="95"/>
      <c r="F196" s="95"/>
      <c r="G196" s="520"/>
      <c r="H196" s="372"/>
      <c r="I196" s="531" t="s">
        <v>337</v>
      </c>
      <c r="J196" s="521" t="str">
        <f t="shared" ref="J196:O197" ca="1" si="27">IF(J$17,INDIRECT("'"&amp;J$16&amp;"'!"&amp;$A196)/1000,"")</f>
        <v/>
      </c>
      <c r="K196" s="521" t="str">
        <f t="shared" ca="1" si="27"/>
        <v/>
      </c>
      <c r="L196" s="521" t="str">
        <f t="shared" ca="1" si="27"/>
        <v/>
      </c>
      <c r="M196" s="521" t="str">
        <f t="shared" ca="1" si="27"/>
        <v/>
      </c>
      <c r="N196" s="521" t="str">
        <f t="shared" ca="1" si="27"/>
        <v/>
      </c>
      <c r="O196" s="521" t="str">
        <f t="shared" ca="1" si="27"/>
        <v/>
      </c>
      <c r="P196" s="524">
        <f ca="1">IF(ISERROR(AVERAGE(J196:O196)),0,AVERAGE(J196:O196))</f>
        <v>0</v>
      </c>
      <c r="Q196" s="372"/>
      <c r="R196" s="372"/>
      <c r="S196" s="372"/>
      <c r="T196" s="523"/>
      <c r="U196" s="95"/>
      <c r="V196" s="95"/>
      <c r="W196" s="95"/>
      <c r="X196" s="95"/>
      <c r="Y196" s="95"/>
      <c r="Z196" s="95"/>
      <c r="AA196" s="95"/>
      <c r="AB196" s="95"/>
    </row>
    <row r="197" spans="1:28" ht="15.75" hidden="1">
      <c r="A197" s="95" t="s">
        <v>418</v>
      </c>
      <c r="B197" s="95"/>
      <c r="C197" s="95"/>
      <c r="D197" s="95"/>
      <c r="E197" s="95"/>
      <c r="F197" s="95"/>
      <c r="G197" s="520"/>
      <c r="H197" s="372"/>
      <c r="I197" s="531" t="s">
        <v>338</v>
      </c>
      <c r="J197" s="521" t="str">
        <f t="shared" ca="1" si="27"/>
        <v/>
      </c>
      <c r="K197" s="521" t="str">
        <f t="shared" ca="1" si="27"/>
        <v/>
      </c>
      <c r="L197" s="521" t="str">
        <f t="shared" ca="1" si="27"/>
        <v/>
      </c>
      <c r="M197" s="521" t="str">
        <f t="shared" ca="1" si="27"/>
        <v/>
      </c>
      <c r="N197" s="521" t="str">
        <f t="shared" ca="1" si="27"/>
        <v/>
      </c>
      <c r="O197" s="521" t="str">
        <f t="shared" ca="1" si="27"/>
        <v/>
      </c>
      <c r="P197" s="524">
        <f ca="1">IF(ISERROR(AVERAGE(J197:O197)),0,AVERAGE(J197:O197))</f>
        <v>0</v>
      </c>
      <c r="Q197" s="372"/>
      <c r="R197" s="372"/>
      <c r="S197" s="372"/>
      <c r="T197" s="523"/>
      <c r="U197" s="95"/>
      <c r="V197" s="95"/>
      <c r="W197" s="95"/>
      <c r="X197" s="95"/>
      <c r="Y197" s="95"/>
      <c r="Z197" s="95"/>
      <c r="AA197" s="95"/>
      <c r="AB197" s="95"/>
    </row>
    <row r="198" spans="1:28">
      <c r="A198" s="95"/>
      <c r="B198" s="95"/>
      <c r="C198" s="95"/>
      <c r="D198" s="95"/>
      <c r="E198" s="95"/>
      <c r="F198" s="95"/>
      <c r="G198" s="520"/>
      <c r="H198" s="372"/>
      <c r="I198" s="372"/>
      <c r="J198" s="372"/>
      <c r="K198" s="372"/>
      <c r="L198" s="372"/>
      <c r="M198" s="372"/>
      <c r="N198" s="372"/>
      <c r="O198" s="372"/>
      <c r="P198" s="372"/>
      <c r="Q198" s="372"/>
      <c r="R198" s="372"/>
      <c r="S198" s="372"/>
      <c r="T198" s="523"/>
      <c r="U198" s="95"/>
      <c r="V198" s="95"/>
      <c r="W198" s="95"/>
      <c r="X198" s="95"/>
      <c r="Y198" s="95"/>
      <c r="Z198" s="95"/>
      <c r="AA198" s="95"/>
      <c r="AB198" s="95"/>
    </row>
    <row r="199" spans="1:28">
      <c r="A199" s="95"/>
      <c r="B199" s="95"/>
      <c r="C199" s="95"/>
      <c r="D199" s="95"/>
      <c r="E199" s="95"/>
      <c r="F199" s="95"/>
      <c r="G199" s="520"/>
      <c r="H199" s="372"/>
      <c r="I199" s="372"/>
      <c r="J199" s="372"/>
      <c r="K199" s="372"/>
      <c r="L199" s="372"/>
      <c r="M199" s="372"/>
      <c r="N199" s="372"/>
      <c r="O199" s="372"/>
      <c r="P199" s="372"/>
      <c r="Q199" s="372"/>
      <c r="R199" s="372"/>
      <c r="S199" s="372"/>
      <c r="T199" s="523"/>
      <c r="U199" s="95"/>
      <c r="V199" s="95"/>
      <c r="W199" s="95"/>
      <c r="X199" s="95"/>
      <c r="Y199" s="95"/>
      <c r="Z199" s="95"/>
      <c r="AA199" s="95"/>
      <c r="AB199" s="95"/>
    </row>
    <row r="200" spans="1:28" ht="15.75" thickBot="1">
      <c r="A200" s="95"/>
      <c r="B200" s="95"/>
      <c r="C200" s="95"/>
      <c r="D200" s="95"/>
      <c r="E200" s="95"/>
      <c r="F200" s="95"/>
      <c r="G200" s="532"/>
      <c r="H200" s="387"/>
      <c r="I200" s="387"/>
      <c r="J200" s="387"/>
      <c r="K200" s="387"/>
      <c r="L200" s="387"/>
      <c r="M200" s="387"/>
      <c r="N200" s="387"/>
      <c r="O200" s="387"/>
      <c r="P200" s="387"/>
      <c r="Q200" s="387"/>
      <c r="R200" s="387"/>
      <c r="S200" s="387"/>
      <c r="T200" s="612" t="str">
        <f>'READ ME'!E5</f>
        <v>EFFC DFI Carbon Calculator Tool v4.0</v>
      </c>
      <c r="U200" s="95"/>
      <c r="V200" s="95"/>
      <c r="W200" s="95"/>
      <c r="X200" s="95"/>
      <c r="Y200" s="95"/>
      <c r="Z200" s="95"/>
      <c r="AA200" s="95"/>
      <c r="AB200" s="95"/>
    </row>
    <row r="201" spans="1:28">
      <c r="A201" s="95"/>
      <c r="B201" s="95"/>
      <c r="C201" s="95"/>
      <c r="D201" s="95"/>
      <c r="E201" s="95"/>
      <c r="F201" s="95"/>
      <c r="G201" s="95"/>
      <c r="H201" s="95"/>
      <c r="I201" s="95"/>
      <c r="J201" s="95"/>
      <c r="K201" s="95"/>
      <c r="L201" s="95"/>
      <c r="M201" s="95"/>
      <c r="N201" s="95"/>
      <c r="O201" s="95"/>
      <c r="P201" s="95"/>
      <c r="Q201" s="95"/>
      <c r="R201" s="95"/>
      <c r="S201" s="95"/>
      <c r="T201" s="95"/>
      <c r="U201" s="95"/>
      <c r="V201" s="95"/>
      <c r="W201" s="95"/>
      <c r="X201" s="95"/>
      <c r="Y201" s="95"/>
      <c r="Z201" s="95"/>
      <c r="AA201" s="95"/>
      <c r="AB201" s="95"/>
    </row>
    <row r="202" spans="1:28">
      <c r="A202" s="95"/>
      <c r="B202" s="95"/>
      <c r="C202" s="95"/>
      <c r="D202" s="95"/>
      <c r="E202" s="95"/>
      <c r="F202" s="95"/>
      <c r="G202" s="95"/>
      <c r="H202" s="95"/>
      <c r="I202" s="95"/>
      <c r="J202" s="95"/>
      <c r="K202" s="95"/>
      <c r="L202" s="95"/>
      <c r="M202" s="95"/>
      <c r="N202" s="95"/>
      <c r="O202" s="95"/>
      <c r="P202" s="95"/>
      <c r="Q202" s="95"/>
      <c r="R202" s="95"/>
      <c r="S202" s="95"/>
      <c r="T202" s="95"/>
      <c r="U202" s="95"/>
      <c r="V202" s="95"/>
      <c r="W202" s="95"/>
      <c r="X202" s="95"/>
      <c r="Y202" s="95"/>
      <c r="Z202" s="95"/>
      <c r="AA202" s="95"/>
      <c r="AB202" s="95"/>
    </row>
    <row r="203" spans="1:28">
      <c r="F203" s="95"/>
      <c r="G203" s="95"/>
      <c r="H203" s="95"/>
      <c r="I203" s="95"/>
      <c r="J203" s="95"/>
      <c r="K203" s="95"/>
      <c r="L203" s="95"/>
      <c r="M203" s="95"/>
      <c r="N203" s="95"/>
      <c r="O203" s="95"/>
      <c r="P203" s="95"/>
      <c r="Q203" s="95"/>
      <c r="R203" s="95"/>
      <c r="S203" s="95"/>
      <c r="T203" s="95"/>
      <c r="U203" s="95"/>
      <c r="V203" s="95"/>
      <c r="W203" s="95"/>
      <c r="X203" s="95"/>
      <c r="Y203" s="95"/>
      <c r="Z203" s="95"/>
      <c r="AA203" s="95"/>
      <c r="AB203" s="95"/>
    </row>
    <row r="204" spans="1:28">
      <c r="F204" s="95"/>
      <c r="G204" s="95"/>
      <c r="H204" s="95"/>
      <c r="I204" s="95"/>
      <c r="J204" s="95"/>
      <c r="K204" s="95"/>
      <c r="L204" s="95"/>
      <c r="M204" s="95"/>
      <c r="N204" s="95"/>
      <c r="O204" s="95"/>
      <c r="P204" s="95"/>
      <c r="Q204" s="95"/>
      <c r="R204" s="95"/>
      <c r="S204" s="95"/>
      <c r="T204" s="95"/>
      <c r="U204" s="95"/>
      <c r="V204" s="95"/>
      <c r="W204" s="95"/>
      <c r="X204" s="95"/>
      <c r="Y204" s="95"/>
      <c r="Z204" s="95"/>
      <c r="AA204" s="95"/>
      <c r="AB204" s="95"/>
    </row>
    <row r="205" spans="1:28">
      <c r="F205" s="95"/>
      <c r="G205" s="95"/>
      <c r="H205" s="95"/>
      <c r="I205" s="95"/>
      <c r="J205" s="95"/>
      <c r="K205" s="95"/>
      <c r="L205" s="95"/>
      <c r="M205" s="95"/>
      <c r="N205" s="95"/>
      <c r="O205" s="95"/>
      <c r="P205" s="95"/>
      <c r="Q205" s="95"/>
      <c r="R205" s="95"/>
      <c r="S205" s="95"/>
      <c r="T205" s="95"/>
      <c r="U205" s="95"/>
      <c r="V205" s="95"/>
      <c r="W205" s="95"/>
      <c r="X205" s="95"/>
      <c r="Y205" s="95"/>
      <c r="Z205" s="95"/>
      <c r="AA205" s="95"/>
      <c r="AB205" s="95"/>
    </row>
    <row r="206" spans="1:28">
      <c r="F206" s="95"/>
      <c r="G206" s="95"/>
      <c r="H206" s="95"/>
      <c r="I206" s="95"/>
      <c r="J206" s="95"/>
      <c r="K206" s="95"/>
      <c r="L206" s="95"/>
      <c r="M206" s="95"/>
      <c r="N206" s="95"/>
      <c r="O206" s="95"/>
      <c r="P206" s="95"/>
      <c r="Q206" s="95"/>
      <c r="R206" s="95"/>
      <c r="S206" s="95"/>
      <c r="T206" s="95"/>
      <c r="U206" s="95"/>
      <c r="V206" s="95"/>
      <c r="W206" s="95"/>
      <c r="X206" s="95"/>
      <c r="Y206" s="95"/>
      <c r="Z206" s="95"/>
      <c r="AA206" s="95"/>
      <c r="AB206" s="95"/>
    </row>
    <row r="207" spans="1:28">
      <c r="F207" s="95"/>
      <c r="G207" s="95"/>
      <c r="H207" s="95"/>
      <c r="I207" s="95"/>
      <c r="J207" s="95"/>
      <c r="K207" s="95"/>
      <c r="L207" s="95"/>
      <c r="M207" s="95"/>
      <c r="N207" s="95"/>
      <c r="O207" s="95"/>
      <c r="P207" s="95"/>
      <c r="Q207" s="95"/>
      <c r="R207" s="95"/>
      <c r="S207" s="95"/>
      <c r="T207" s="95"/>
      <c r="U207" s="95"/>
      <c r="V207" s="95"/>
      <c r="W207" s="95"/>
      <c r="X207" s="95"/>
      <c r="Y207" s="95"/>
      <c r="Z207" s="95"/>
      <c r="AA207" s="95"/>
      <c r="AB207" s="95"/>
    </row>
    <row r="208" spans="1:28">
      <c r="F208" s="95"/>
      <c r="G208" s="95"/>
      <c r="H208" s="95"/>
      <c r="I208" s="95"/>
      <c r="J208" s="95"/>
      <c r="K208" s="95"/>
      <c r="L208" s="95"/>
      <c r="M208" s="95"/>
      <c r="N208" s="95"/>
      <c r="O208" s="95"/>
      <c r="P208" s="95"/>
      <c r="Q208" s="95"/>
      <c r="R208" s="95"/>
      <c r="S208" s="95"/>
      <c r="T208" s="95"/>
      <c r="U208" s="95"/>
      <c r="V208" s="95"/>
      <c r="W208" s="95"/>
      <c r="X208" s="95"/>
      <c r="Y208" s="95"/>
      <c r="Z208" s="95"/>
      <c r="AA208" s="95"/>
      <c r="AB208" s="95"/>
    </row>
    <row r="209" spans="6:28">
      <c r="F209" s="95"/>
      <c r="G209" s="95"/>
      <c r="H209" s="95"/>
      <c r="I209" s="95"/>
      <c r="J209" s="95"/>
      <c r="K209" s="95"/>
      <c r="L209" s="95"/>
      <c r="M209" s="95"/>
      <c r="N209" s="95"/>
      <c r="O209" s="95"/>
      <c r="P209" s="95"/>
      <c r="Q209" s="95"/>
      <c r="R209" s="95"/>
      <c r="S209" s="95"/>
      <c r="T209" s="95"/>
      <c r="U209" s="95"/>
      <c r="V209" s="95"/>
      <c r="W209" s="95"/>
      <c r="X209" s="95"/>
      <c r="Y209" s="95"/>
      <c r="Z209" s="95"/>
      <c r="AA209" s="95"/>
      <c r="AB209" s="95"/>
    </row>
    <row r="210" spans="6:28">
      <c r="F210" s="95"/>
      <c r="G210" s="95"/>
      <c r="H210" s="95"/>
      <c r="I210" s="95"/>
      <c r="J210" s="95"/>
      <c r="K210" s="95"/>
      <c r="L210" s="95"/>
      <c r="M210" s="95"/>
      <c r="N210" s="95"/>
      <c r="O210" s="95"/>
      <c r="P210" s="95"/>
      <c r="Q210" s="95"/>
      <c r="R210" s="95"/>
      <c r="S210" s="95"/>
      <c r="T210" s="95"/>
      <c r="U210" s="95"/>
      <c r="V210" s="95"/>
      <c r="W210" s="95"/>
      <c r="X210" s="95"/>
      <c r="Y210" s="95"/>
      <c r="Z210" s="95"/>
      <c r="AA210" s="95"/>
      <c r="AB210" s="95"/>
    </row>
    <row r="211" spans="6:28">
      <c r="F211" s="95"/>
      <c r="G211" s="95"/>
      <c r="H211" s="95"/>
      <c r="I211" s="95"/>
      <c r="J211" s="95"/>
      <c r="K211" s="95"/>
      <c r="L211" s="95"/>
      <c r="M211" s="95"/>
      <c r="N211" s="95"/>
      <c r="O211" s="95"/>
      <c r="P211" s="95"/>
      <c r="Q211" s="95"/>
      <c r="R211" s="95"/>
      <c r="S211" s="95"/>
      <c r="T211" s="95"/>
      <c r="U211" s="95"/>
      <c r="V211" s="95"/>
      <c r="W211" s="95"/>
      <c r="X211" s="95"/>
      <c r="Y211" s="95"/>
      <c r="Z211" s="95"/>
      <c r="AA211" s="95"/>
      <c r="AB211" s="95"/>
    </row>
    <row r="212" spans="6:28">
      <c r="F212" s="95"/>
      <c r="G212" s="95"/>
      <c r="H212" s="95"/>
      <c r="I212" s="95"/>
      <c r="J212" s="95"/>
      <c r="K212" s="95"/>
      <c r="L212" s="95"/>
      <c r="M212" s="95"/>
      <c r="N212" s="95"/>
      <c r="O212" s="95"/>
      <c r="P212" s="95"/>
      <c r="Q212" s="95"/>
      <c r="R212" s="95"/>
      <c r="S212" s="95"/>
      <c r="T212" s="95"/>
      <c r="U212" s="95"/>
      <c r="V212" s="95"/>
      <c r="W212" s="95"/>
      <c r="X212" s="95"/>
      <c r="Y212" s="95"/>
      <c r="Z212" s="95"/>
      <c r="AA212" s="95"/>
      <c r="AB212" s="95"/>
    </row>
    <row r="213" spans="6:28">
      <c r="F213" s="95"/>
      <c r="G213" s="95"/>
      <c r="H213" s="95"/>
      <c r="I213" s="95"/>
      <c r="J213" s="95"/>
      <c r="K213" s="95"/>
      <c r="L213" s="95"/>
      <c r="M213" s="95"/>
      <c r="N213" s="95"/>
      <c r="O213" s="95"/>
      <c r="P213" s="95"/>
      <c r="Q213" s="95"/>
      <c r="R213" s="95"/>
      <c r="S213" s="95"/>
      <c r="T213" s="95"/>
      <c r="U213" s="95"/>
      <c r="V213" s="95"/>
      <c r="W213" s="95"/>
      <c r="X213" s="95"/>
      <c r="Y213" s="95"/>
      <c r="Z213" s="95"/>
      <c r="AA213" s="95"/>
      <c r="AB213" s="95"/>
    </row>
    <row r="214" spans="6:28">
      <c r="F214" s="95"/>
      <c r="G214" s="95"/>
      <c r="H214" s="95"/>
      <c r="I214" s="95"/>
      <c r="J214" s="95"/>
      <c r="K214" s="95"/>
      <c r="L214" s="95"/>
      <c r="M214" s="95"/>
      <c r="N214" s="95"/>
      <c r="O214" s="95"/>
      <c r="P214" s="95"/>
      <c r="Q214" s="95"/>
      <c r="R214" s="95"/>
      <c r="S214" s="95"/>
      <c r="T214" s="95"/>
      <c r="U214" s="95"/>
      <c r="V214" s="95"/>
      <c r="W214" s="95"/>
      <c r="X214" s="95"/>
      <c r="Y214" s="95"/>
      <c r="Z214" s="95"/>
      <c r="AA214" s="95"/>
      <c r="AB214" s="95"/>
    </row>
    <row r="215" spans="6:28">
      <c r="F215" s="95"/>
      <c r="G215" s="95"/>
      <c r="H215" s="95"/>
      <c r="I215" s="95"/>
      <c r="J215" s="95"/>
      <c r="K215" s="95"/>
      <c r="L215" s="95"/>
      <c r="M215" s="95"/>
      <c r="N215" s="95"/>
      <c r="O215" s="95"/>
      <c r="P215" s="95"/>
      <c r="Q215" s="95"/>
      <c r="R215" s="95"/>
      <c r="S215" s="95"/>
      <c r="T215" s="95"/>
      <c r="U215" s="95"/>
      <c r="V215" s="95"/>
      <c r="W215" s="95"/>
      <c r="X215" s="95"/>
      <c r="Y215" s="95"/>
      <c r="Z215" s="95"/>
      <c r="AA215" s="95"/>
      <c r="AB215" s="95"/>
    </row>
    <row r="216" spans="6:28">
      <c r="F216" s="95"/>
      <c r="G216" s="95"/>
      <c r="H216" s="95"/>
      <c r="I216" s="95"/>
      <c r="J216" s="95"/>
      <c r="K216" s="95"/>
      <c r="L216" s="95"/>
      <c r="M216" s="95"/>
      <c r="N216" s="95"/>
      <c r="O216" s="95"/>
      <c r="P216" s="95"/>
      <c r="Q216" s="95"/>
      <c r="R216" s="95"/>
      <c r="S216" s="95"/>
      <c r="T216" s="95"/>
      <c r="U216" s="95"/>
      <c r="V216" s="95"/>
      <c r="W216" s="95"/>
      <c r="X216" s="95"/>
      <c r="Y216" s="95"/>
      <c r="Z216" s="95"/>
      <c r="AA216" s="95"/>
      <c r="AB216" s="95"/>
    </row>
    <row r="217" spans="6:28">
      <c r="F217" s="95"/>
      <c r="G217" s="95"/>
      <c r="H217" s="95"/>
      <c r="I217" s="95"/>
      <c r="J217" s="95"/>
      <c r="K217" s="95"/>
      <c r="L217" s="95"/>
      <c r="M217" s="95"/>
      <c r="N217" s="95"/>
      <c r="O217" s="95"/>
      <c r="P217" s="95"/>
      <c r="Q217" s="95"/>
      <c r="R217" s="95"/>
      <c r="S217" s="95"/>
      <c r="T217" s="95"/>
      <c r="U217" s="95"/>
      <c r="V217" s="95"/>
      <c r="W217" s="95"/>
      <c r="X217" s="95"/>
      <c r="Y217" s="95"/>
      <c r="Z217" s="95"/>
      <c r="AA217" s="95"/>
      <c r="AB217" s="95"/>
    </row>
    <row r="218" spans="6:28">
      <c r="F218" s="95"/>
      <c r="G218" s="95"/>
      <c r="H218" s="95"/>
      <c r="I218" s="95"/>
      <c r="J218" s="95"/>
      <c r="K218" s="95"/>
      <c r="L218" s="95"/>
      <c r="M218" s="95"/>
      <c r="N218" s="95"/>
      <c r="O218" s="95"/>
      <c r="P218" s="95"/>
      <c r="Q218" s="95"/>
      <c r="R218" s="95"/>
      <c r="S218" s="95"/>
      <c r="T218" s="95"/>
      <c r="U218" s="95"/>
      <c r="V218" s="95"/>
      <c r="W218" s="95"/>
      <c r="X218" s="95"/>
      <c r="Y218" s="95"/>
      <c r="Z218" s="95"/>
      <c r="AA218" s="95"/>
      <c r="AB218" s="95"/>
    </row>
    <row r="219" spans="6:28">
      <c r="F219" s="95"/>
      <c r="G219" s="95"/>
      <c r="H219" s="95"/>
      <c r="I219" s="95"/>
      <c r="J219" s="95"/>
      <c r="K219" s="95"/>
      <c r="L219" s="95"/>
      <c r="M219" s="95"/>
      <c r="N219" s="95"/>
      <c r="O219" s="95"/>
      <c r="P219" s="95"/>
      <c r="Q219" s="95"/>
      <c r="R219" s="95"/>
      <c r="S219" s="95"/>
      <c r="T219" s="95"/>
      <c r="U219" s="95"/>
      <c r="V219" s="95"/>
      <c r="W219" s="95"/>
      <c r="X219" s="95"/>
      <c r="Y219" s="95"/>
      <c r="Z219" s="95"/>
      <c r="AA219" s="95"/>
      <c r="AB219" s="95"/>
    </row>
    <row r="220" spans="6:28">
      <c r="F220" s="95"/>
      <c r="G220" s="95"/>
      <c r="H220" s="95"/>
      <c r="I220" s="95"/>
      <c r="J220" s="95"/>
      <c r="K220" s="95"/>
      <c r="L220" s="95"/>
      <c r="M220" s="95"/>
      <c r="N220" s="95"/>
      <c r="O220" s="95"/>
      <c r="P220" s="95"/>
      <c r="Q220" s="95"/>
      <c r="R220" s="95"/>
      <c r="S220" s="95"/>
      <c r="T220" s="95"/>
      <c r="U220" s="95"/>
      <c r="V220" s="95"/>
      <c r="W220" s="95"/>
      <c r="X220" s="95"/>
      <c r="Y220" s="95"/>
      <c r="Z220" s="95"/>
      <c r="AA220" s="95"/>
      <c r="AB220" s="95"/>
    </row>
    <row r="221" spans="6:28">
      <c r="F221" s="95"/>
      <c r="G221" s="95"/>
      <c r="H221" s="95"/>
      <c r="I221" s="95"/>
      <c r="J221" s="95"/>
      <c r="K221" s="95"/>
      <c r="L221" s="95"/>
      <c r="M221" s="95"/>
      <c r="N221" s="95"/>
      <c r="O221" s="95"/>
      <c r="P221" s="95"/>
      <c r="Q221" s="95"/>
      <c r="R221" s="95"/>
      <c r="S221" s="95"/>
      <c r="T221" s="95"/>
      <c r="U221" s="95"/>
      <c r="V221" s="95"/>
      <c r="W221" s="95"/>
      <c r="X221" s="95"/>
      <c r="Y221" s="95"/>
      <c r="Z221" s="95"/>
      <c r="AA221" s="95"/>
      <c r="AB221" s="95"/>
    </row>
  </sheetData>
  <sheetProtection password="C67E" sheet="1" objects="1" scenarios="1" formatColumns="0" formatRows="0"/>
  <dataConsolidate/>
  <mergeCells count="6">
    <mergeCell ref="I20:K20"/>
    <mergeCell ref="I21:K21"/>
    <mergeCell ref="I22:K22"/>
    <mergeCell ref="I114:K114"/>
    <mergeCell ref="I115:K115"/>
    <mergeCell ref="I116:K116"/>
  </mergeCells>
  <dataValidations count="3">
    <dataValidation type="list" allowBlank="1" showInputMessage="1" showErrorMessage="1" sqref="V97" xr:uid="{9B2773BC-0D8D-4260-8B46-01D96F4ACBE2}">
      <formula1>y_n</formula1>
    </dataValidation>
    <dataValidation type="list" allowBlank="1" showInputMessage="1" showErrorMessage="1" sqref="V125" xr:uid="{C6DBE2EE-B171-4CD4-9C03-38B54C5D01A5}">
      <formula1>$I$41:$I$43</formula1>
    </dataValidation>
    <dataValidation type="list" allowBlank="1" showInputMessage="1" showErrorMessage="1" sqref="J16:O16" xr:uid="{390B007A-88A6-4934-8551-5EF55808EC44}">
      <formula1>ALLSUBANDPROJECTS</formula1>
    </dataValidation>
  </dataValidations>
  <pageMargins left="0.75000000000000011" right="0.75000000000000011" top="0.75" bottom="0.94" header="0.5" footer="0.5"/>
  <pageSetup paperSize="9" scale="50" orientation="portrait" horizontalDpi="4294967292" verticalDpi="429496729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7">
    <tabColor rgb="FFFF0000"/>
    <outlinePr summaryBelow="0" summaryRight="0"/>
  </sheetPr>
  <dimension ref="A2:AL418"/>
  <sheetViews>
    <sheetView tabSelected="1" workbookViewId="0">
      <pane xSplit="4" ySplit="5" topLeftCell="E6" activePane="bottomRight" state="frozen"/>
      <selection pane="topRight" activeCell="E1" sqref="E1"/>
      <selection pane="bottomLeft" activeCell="A6" sqref="A6"/>
      <selection pane="bottomRight" activeCell="I349" sqref="I349"/>
    </sheetView>
  </sheetViews>
  <sheetFormatPr baseColWidth="10" defaultColWidth="10.6640625" defaultRowHeight="15" outlineLevelRow="1"/>
  <cols>
    <col min="1" max="1" width="10.6640625" style="116" customWidth="1"/>
    <col min="2" max="2" width="3.109375" style="116" customWidth="1"/>
    <col min="3" max="3" width="40.88671875" style="116" customWidth="1"/>
    <col min="4" max="4" width="10.6640625" style="116"/>
    <col min="5" max="5" width="12.109375" style="116" customWidth="1"/>
    <col min="6" max="6" width="24" style="116" customWidth="1"/>
    <col min="7" max="7" width="21.33203125" style="116" customWidth="1"/>
    <col min="8" max="9" width="16.33203125" style="116" customWidth="1"/>
    <col min="10" max="10" width="17.109375" style="116" customWidth="1"/>
    <col min="11" max="11" width="19.5546875" style="116" customWidth="1"/>
    <col min="12" max="12" width="19.6640625" style="116" customWidth="1"/>
    <col min="13" max="13" width="18" style="116" customWidth="1"/>
    <col min="14" max="21" width="10.6640625" style="116" customWidth="1"/>
    <col min="22" max="22" width="14.5546875" style="116" customWidth="1"/>
    <col min="23" max="24" width="10.6640625" style="116" customWidth="1"/>
    <col min="25" max="25" width="17.33203125" style="116" customWidth="1"/>
    <col min="26" max="27" width="17" style="116" customWidth="1"/>
    <col min="28" max="16384" width="10.6640625" style="116"/>
  </cols>
  <sheetData>
    <row r="2" spans="1:38">
      <c r="AL2" s="124"/>
    </row>
    <row r="3" spans="1:38" ht="42.75" customHeight="1">
      <c r="C3" s="676" t="str">
        <f>'READ ME'!F18</f>
        <v>EFFC DFI methodology recommended emission factors</v>
      </c>
      <c r="D3" s="824"/>
      <c r="E3" s="824"/>
      <c r="F3" s="676" t="str">
        <f>'READ ME'!K18</f>
        <v>Metric system</v>
      </c>
      <c r="M3" s="118"/>
      <c r="N3" s="118"/>
    </row>
    <row r="4" spans="1:38">
      <c r="D4" s="677">
        <f>MATCH('READ ME'!F18,$K$6:$N$6,0)</f>
        <v>1</v>
      </c>
      <c r="M4" s="118"/>
      <c r="N4" s="118"/>
    </row>
    <row r="5" spans="1:38">
      <c r="M5" s="118"/>
      <c r="N5" s="118"/>
      <c r="P5" s="681" t="str">
        <f>Translate!$A$533</f>
        <v>the table values are in metric system units</v>
      </c>
    </row>
    <row r="6" spans="1:38" s="125" customFormat="1" ht="126">
      <c r="A6" s="116"/>
      <c r="C6" s="128" t="str">
        <f>Translate!$A$175</f>
        <v>Emission factor name</v>
      </c>
      <c r="D6" s="128" t="str">
        <f>Translate!$A$96</f>
        <v>unit</v>
      </c>
      <c r="E6" s="128" t="str">
        <f>Translate!$A$245</f>
        <v>Emission factor used (kgCO2/unit)</v>
      </c>
      <c r="F6" s="128" t="str">
        <f>Translate!$A$249</f>
        <v>Emission factor database used</v>
      </c>
      <c r="G6" s="128" t="str">
        <f>Translate!$A$251</f>
        <v>User-defined emission factor (kgCO2/unit)</v>
      </c>
      <c r="H6" s="128" t="str">
        <f>Translate!$A$253</f>
        <v>User-defined emission factor source</v>
      </c>
      <c r="I6" s="128" t="str">
        <f>Translate!$A$254</f>
        <v>Material type</v>
      </c>
      <c r="J6" s="128" t="str">
        <f>Translate!$A$255</f>
        <v>Uncertainty</v>
      </c>
      <c r="K6" s="128" t="str">
        <f>Translate!$A$256</f>
        <v>EFFC DFI methodology recommended emission factors</v>
      </c>
      <c r="L6" s="128" t="str">
        <f>Translate!$A$531</f>
        <v>US - EPA</v>
      </c>
      <c r="M6" s="128" t="str">
        <f>Translate!$A$263</f>
        <v>France - Bilan Carbone</v>
      </c>
      <c r="N6" s="128" t="str">
        <f>Translate!$A$264</f>
        <v>UK - DEFRA/Uni of Bath</v>
      </c>
      <c r="O6" s="227"/>
      <c r="P6" s="130" t="str">
        <f>Translate!$A$258</f>
        <v>Base carbone (v18.1)</v>
      </c>
      <c r="Q6" s="130" t="str">
        <f>Translate!$A$261</f>
        <v>Defra 2019 (v1.3)</v>
      </c>
      <c r="R6" s="130" t="str">
        <f>Translate!$A$259</f>
        <v>sustainableconcrete</v>
      </c>
      <c r="S6" s="130" t="str">
        <f>Translate!$A$257</f>
        <v>Ecoinvent v3.1</v>
      </c>
      <c r="T6" s="130" t="str">
        <f>Translate!$A$260</f>
        <v>ICE V3</v>
      </c>
      <c r="U6" s="130" t="str">
        <f>Translate!$A$262</f>
        <v>EcoTransit</v>
      </c>
      <c r="V6" s="130" t="str">
        <f>Translate!$A$265</f>
        <v>GHG Protocol</v>
      </c>
      <c r="W6" s="130"/>
      <c r="X6" s="130" t="str">
        <f>Translate!$A$267</f>
        <v>CO2 emissions for electricity 2017 including losses&amp;WTT</v>
      </c>
      <c r="Y6" s="130" t="str">
        <f>Translate!$A$532</f>
        <v>EPA</v>
      </c>
      <c r="Z6" s="130"/>
      <c r="AA6" s="663"/>
      <c r="AB6" s="130" t="str">
        <f>Translate!$A$503</f>
        <v>Metric system</v>
      </c>
      <c r="AC6" s="130" t="str">
        <f>Translate!$A$504</f>
        <v>US units</v>
      </c>
      <c r="AE6" s="130" t="str">
        <f>Translate!$A$268</f>
        <v>Comments</v>
      </c>
    </row>
    <row r="7" spans="1:38" s="222" customFormat="1" ht="27.75" customHeight="1">
      <c r="A7" s="116">
        <f t="shared" ref="A7:A30" ca="1" si="0">IF(ISBLANK(H7),OFFSET(A7,-1,0),OFFSET(A7,-1,0)+1)</f>
        <v>0</v>
      </c>
      <c r="C7" s="226" t="str">
        <f>Translate!$A$104</f>
        <v>Materials</v>
      </c>
      <c r="D7" s="223"/>
      <c r="E7" s="224"/>
      <c r="F7" s="224"/>
      <c r="G7" s="224"/>
      <c r="H7" s="224"/>
      <c r="I7" s="224"/>
      <c r="J7" s="223"/>
      <c r="K7" s="224"/>
      <c r="L7" s="224"/>
      <c r="M7" s="224"/>
      <c r="N7" s="224"/>
      <c r="O7" s="221"/>
      <c r="P7" s="225"/>
      <c r="Q7" s="225"/>
      <c r="R7" s="225"/>
      <c r="S7" s="225"/>
      <c r="T7" s="225"/>
      <c r="U7" s="225"/>
      <c r="V7" s="225"/>
      <c r="W7" s="225"/>
      <c r="X7" s="225"/>
      <c r="Y7" s="225"/>
      <c r="Z7" s="225"/>
      <c r="AA7" s="664"/>
      <c r="AB7" s="225"/>
      <c r="AC7" s="225"/>
    </row>
    <row r="8" spans="1:38" ht="30">
      <c r="A8" s="116">
        <f t="shared" ca="1" si="0"/>
        <v>0</v>
      </c>
      <c r="C8" s="126" t="str">
        <f>Translate!$A$176</f>
        <v>Acrylic acid</v>
      </c>
      <c r="D8" s="126" t="str">
        <f>INDEX(AB8:AC8,MATCH($F$3,$AB$6:$AC$6,0))</f>
        <v>t</v>
      </c>
      <c r="E8" s="680">
        <f t="shared" ref="E8:E30" si="1">IF(F8=H8,G8,INDEX(P8:Z8,MATCH($F8,$P$6:$Z$6,0)))/IF($F$3=$AC$6,VLOOKUP(D8,$E$410:$G$418,3,0),1)</f>
        <v>1984.2799</v>
      </c>
      <c r="F8" s="123" t="str">
        <f t="shared" ref="F8:F30" si="2">IF(ISBLANK(H8),INDEX(K8:N8,$D$4),H8)</f>
        <v>Ecoinvent v3.1</v>
      </c>
      <c r="G8" s="340"/>
      <c r="H8" s="340"/>
      <c r="I8" s="450" t="str">
        <f>Translate!$A$118</f>
        <v>Other</v>
      </c>
      <c r="J8" s="373">
        <v>0.3</v>
      </c>
      <c r="K8" s="129" t="str">
        <f>Translate!$A$257</f>
        <v>Ecoinvent v3.1</v>
      </c>
      <c r="L8" s="606" t="str">
        <f>K8</f>
        <v>Ecoinvent v3.1</v>
      </c>
      <c r="M8" s="606" t="str">
        <f>Translate!$A$257</f>
        <v>Ecoinvent v3.1</v>
      </c>
      <c r="N8" s="606" t="str">
        <f>Translate!$A$257</f>
        <v>Ecoinvent v3.1</v>
      </c>
      <c r="O8" s="118"/>
      <c r="P8" s="714"/>
      <c r="Q8" s="714"/>
      <c r="R8" s="714"/>
      <c r="S8" s="724">
        <v>1984.2799</v>
      </c>
      <c r="T8" s="714"/>
      <c r="U8" s="714"/>
      <c r="V8" s="714"/>
      <c r="W8" s="714"/>
      <c r="X8" s="714"/>
      <c r="Y8" s="714"/>
      <c r="Z8" s="714"/>
      <c r="AA8" s="682"/>
      <c r="AB8" s="127" t="str">
        <f>Translate!$A$101</f>
        <v>t</v>
      </c>
      <c r="AC8" s="127" t="str">
        <f>Translate!$A$520</f>
        <v>lb</v>
      </c>
    </row>
    <row r="9" spans="1:38">
      <c r="A9" s="116">
        <f t="shared" ca="1" si="0"/>
        <v>0</v>
      </c>
      <c r="C9" s="123" t="str">
        <f>Translate!$A$177</f>
        <v>Aggregate</v>
      </c>
      <c r="D9" s="126" t="str">
        <f t="shared" ref="D9:D30" si="3">INDEX(AB9:AC9,MATCH($F$3,$AB$6:$AC$6,0))</f>
        <v>t</v>
      </c>
      <c r="E9" s="680">
        <f t="shared" si="1"/>
        <v>4</v>
      </c>
      <c r="F9" s="123" t="str">
        <f t="shared" si="2"/>
        <v>Base carbone (v18.1)</v>
      </c>
      <c r="G9" s="340"/>
      <c r="H9" s="340"/>
      <c r="I9" s="450" t="str">
        <f>Translate!$A$73</f>
        <v>Concrete / Slurry / Grout mix</v>
      </c>
      <c r="J9" s="373">
        <v>0.8</v>
      </c>
      <c r="K9" s="129" t="str">
        <f>Translate!$A$258</f>
        <v>Base carbone (v18.1)</v>
      </c>
      <c r="L9" s="606" t="str">
        <f t="shared" ref="L9:L30" si="4">K9</f>
        <v>Base carbone (v18.1)</v>
      </c>
      <c r="M9" s="129" t="str">
        <f>Translate!$A$258</f>
        <v>Base carbone (v18.1)</v>
      </c>
      <c r="N9" s="607" t="str">
        <f>Translate!$A$260</f>
        <v>ICE V3</v>
      </c>
      <c r="O9" s="118"/>
      <c r="P9" s="123">
        <v>4</v>
      </c>
      <c r="Q9" s="716"/>
      <c r="R9" s="715"/>
      <c r="S9" s="715"/>
      <c r="T9" s="123">
        <v>7.47</v>
      </c>
      <c r="U9" s="715"/>
      <c r="V9" s="715"/>
      <c r="W9" s="715"/>
      <c r="X9" s="715"/>
      <c r="Y9" s="715"/>
      <c r="Z9" s="714"/>
      <c r="AA9" s="682"/>
      <c r="AB9" s="117" t="str">
        <f>Translate!$A$101</f>
        <v>t</v>
      </c>
      <c r="AC9" s="127" t="str">
        <f>Translate!$A$520</f>
        <v>lb</v>
      </c>
    </row>
    <row r="10" spans="1:38" ht="30">
      <c r="A10" s="116">
        <f t="shared" ca="1" si="0"/>
        <v>0</v>
      </c>
      <c r="C10" s="123" t="str">
        <f>Translate!$A$178</f>
        <v>Bentonite</v>
      </c>
      <c r="D10" s="126" t="str">
        <f t="shared" si="3"/>
        <v>t</v>
      </c>
      <c r="E10" s="680">
        <f t="shared" si="1"/>
        <v>474.97791999999998</v>
      </c>
      <c r="F10" s="123" t="str">
        <f t="shared" si="2"/>
        <v>Ecoinvent v3.1</v>
      </c>
      <c r="G10" s="340"/>
      <c r="H10" s="340"/>
      <c r="I10" s="450" t="str">
        <f>Translate!$A$73</f>
        <v>Concrete / Slurry / Grout mix</v>
      </c>
      <c r="J10" s="373">
        <v>0.3</v>
      </c>
      <c r="K10" s="129" t="str">
        <f>Translate!$A$257</f>
        <v>Ecoinvent v3.1</v>
      </c>
      <c r="L10" s="606" t="str">
        <f t="shared" si="4"/>
        <v>Ecoinvent v3.1</v>
      </c>
      <c r="M10" s="129" t="str">
        <f>Translate!$A$257</f>
        <v>Ecoinvent v3.1</v>
      </c>
      <c r="N10" s="606" t="str">
        <f>Translate!$A$257</f>
        <v>Ecoinvent v3.1</v>
      </c>
      <c r="P10" s="715"/>
      <c r="Q10" s="716"/>
      <c r="R10" s="715"/>
      <c r="S10" s="228">
        <v>474.97791999999998</v>
      </c>
      <c r="T10" s="715"/>
      <c r="U10" s="715"/>
      <c r="V10" s="715"/>
      <c r="W10" s="715"/>
      <c r="X10" s="715"/>
      <c r="Y10" s="715"/>
      <c r="Z10" s="714"/>
      <c r="AA10" s="682"/>
      <c r="AB10" s="117" t="str">
        <f>Translate!$A$101</f>
        <v>t</v>
      </c>
      <c r="AC10" s="127" t="str">
        <f>Translate!$A$520</f>
        <v>lb</v>
      </c>
    </row>
    <row r="11" spans="1:38" ht="30">
      <c r="A11" s="116">
        <f ca="1">IF(ISBLANK(H11),OFFSET(A11,-1,0),OFFSET(A11,-1,0)+1)</f>
        <v>0</v>
      </c>
      <c r="C11" s="123" t="str">
        <f>Translate!$A$196</f>
        <v>Synthetic polymer slurry</v>
      </c>
      <c r="D11" s="126" t="str">
        <f>INDEX(AB11:AC11,MATCH($F$3,$AB$6:$AC$6,0))</f>
        <v>m3</v>
      </c>
      <c r="E11" s="680">
        <f t="shared" si="1"/>
        <v>3.6415834999999994</v>
      </c>
      <c r="F11" s="123" t="str">
        <f>IF(ISBLANK(H11),INDEX(K11:N11,$D$4),H11)</f>
        <v>Ecoinvent v3.1</v>
      </c>
      <c r="G11" s="340"/>
      <c r="H11" s="340"/>
      <c r="I11" s="450" t="str">
        <f>Translate!$A$73</f>
        <v>Concrete / Slurry / Grout mix</v>
      </c>
      <c r="J11" s="373">
        <v>0.3</v>
      </c>
      <c r="K11" s="129" t="str">
        <f>Translate!$A$257</f>
        <v>Ecoinvent v3.1</v>
      </c>
      <c r="L11" s="606" t="str">
        <f>K11</f>
        <v>Ecoinvent v3.1</v>
      </c>
      <c r="M11" s="129" t="str">
        <f>Translate!$A$257</f>
        <v>Ecoinvent v3.1</v>
      </c>
      <c r="N11" s="606" t="str">
        <f>Translate!$A$257</f>
        <v>Ecoinvent v3.1</v>
      </c>
      <c r="P11" s="715"/>
      <c r="Q11" s="716"/>
      <c r="R11" s="715"/>
      <c r="S11" s="228">
        <f>Q30+(S25+S8)/1000</f>
        <v>3.6415834999999994</v>
      </c>
      <c r="T11" s="715"/>
      <c r="U11" s="715"/>
      <c r="V11" s="715"/>
      <c r="W11" s="715"/>
      <c r="X11" s="715"/>
      <c r="Y11" s="715"/>
      <c r="Z11" s="714"/>
      <c r="AA11" s="682"/>
      <c r="AB11" s="117" t="s">
        <v>20</v>
      </c>
      <c r="AC11" s="127" t="s">
        <v>2196</v>
      </c>
    </row>
    <row r="12" spans="1:38" ht="30">
      <c r="A12" s="116">
        <f ca="1">IF(ISBLANK(H12),OFFSET(A12,-1,0),OFFSET(A12,-1,0)+1)</f>
        <v>0</v>
      </c>
      <c r="C12" s="123" t="str">
        <f>Translate!$A$197</f>
        <v>Cellulose-based polymer slurry</v>
      </c>
      <c r="D12" s="126" t="str">
        <f>INDEX(AB12:AC12,MATCH($F$3,$AB$6:$AC$6,0))</f>
        <v>m3</v>
      </c>
      <c r="E12" s="680">
        <f t="shared" si="1"/>
        <v>4.3341979000000004</v>
      </c>
      <c r="F12" s="123" t="str">
        <f>IF(ISBLANK(H12),INDEX(K12:N12,$D$4),H12)</f>
        <v>Ecoinvent v3.1</v>
      </c>
      <c r="G12" s="340"/>
      <c r="H12" s="340"/>
      <c r="I12" s="450" t="str">
        <f>Translate!$A$73</f>
        <v>Concrete / Slurry / Grout mix</v>
      </c>
      <c r="J12" s="373">
        <v>0.3</v>
      </c>
      <c r="K12" s="129" t="str">
        <f>Translate!$A$257</f>
        <v>Ecoinvent v3.1</v>
      </c>
      <c r="L12" s="606" t="str">
        <f>K12</f>
        <v>Ecoinvent v3.1</v>
      </c>
      <c r="M12" s="129" t="str">
        <f>Translate!$A$257</f>
        <v>Ecoinvent v3.1</v>
      </c>
      <c r="N12" s="606" t="str">
        <f>Translate!$A$257</f>
        <v>Ecoinvent v3.1</v>
      </c>
      <c r="P12" s="715"/>
      <c r="Q12" s="716"/>
      <c r="R12" s="715"/>
      <c r="S12" s="228">
        <f>Q30+S14/1000</f>
        <v>4.3341979000000004</v>
      </c>
      <c r="T12" s="715"/>
      <c r="U12" s="715"/>
      <c r="V12" s="715"/>
      <c r="W12" s="715"/>
      <c r="X12" s="715"/>
      <c r="Y12" s="715"/>
      <c r="Z12" s="714"/>
      <c r="AA12" s="682"/>
      <c r="AB12" s="117" t="s">
        <v>20</v>
      </c>
      <c r="AC12" s="127" t="s">
        <v>2196</v>
      </c>
    </row>
    <row r="13" spans="1:38" ht="30">
      <c r="A13" s="116">
        <f t="shared" ca="1" si="0"/>
        <v>0</v>
      </c>
      <c r="C13" s="123" t="str">
        <f>Translate!$A$179</f>
        <v>Calcium chloride</v>
      </c>
      <c r="D13" s="126" t="str">
        <f t="shared" si="3"/>
        <v>t</v>
      </c>
      <c r="E13" s="680">
        <f t="shared" si="1"/>
        <v>493.43257</v>
      </c>
      <c r="F13" s="123" t="str">
        <f t="shared" si="2"/>
        <v>Ecoinvent v3.1</v>
      </c>
      <c r="G13" s="340"/>
      <c r="H13" s="340"/>
      <c r="I13" s="450" t="str">
        <f>Translate!$A$118</f>
        <v>Other</v>
      </c>
      <c r="J13" s="373">
        <v>0.3</v>
      </c>
      <c r="K13" s="129" t="str">
        <f>Translate!$A$257</f>
        <v>Ecoinvent v3.1</v>
      </c>
      <c r="L13" s="606" t="str">
        <f t="shared" si="4"/>
        <v>Ecoinvent v3.1</v>
      </c>
      <c r="M13" s="129" t="str">
        <f>Translate!$A$257</f>
        <v>Ecoinvent v3.1</v>
      </c>
      <c r="N13" s="606" t="str">
        <f>Translate!$A$257</f>
        <v>Ecoinvent v3.1</v>
      </c>
      <c r="P13" s="715"/>
      <c r="Q13" s="715"/>
      <c r="R13" s="715"/>
      <c r="S13" s="735">
        <v>493.43257</v>
      </c>
      <c r="T13" s="715"/>
      <c r="U13" s="715"/>
      <c r="V13" s="715"/>
      <c r="W13" s="715"/>
      <c r="X13" s="715"/>
      <c r="Y13" s="715"/>
      <c r="Z13" s="714"/>
      <c r="AA13" s="682"/>
      <c r="AB13" s="117" t="str">
        <f>Translate!$A$101</f>
        <v>t</v>
      </c>
      <c r="AC13" s="127" t="str">
        <f>Translate!$A$520</f>
        <v>lb</v>
      </c>
    </row>
    <row r="14" spans="1:38" ht="30">
      <c r="A14" s="116">
        <f ca="1">IF(ISBLANK(H14),OFFSET(A14,-1,0),OFFSET(A14,-1,0)+1)</f>
        <v>0</v>
      </c>
      <c r="C14" s="123" t="str">
        <f>Translate!$A$180</f>
        <v>Carboxymethyl cellulose</v>
      </c>
      <c r="D14" s="126" t="str">
        <f>INDEX(AB14:AC14,MATCH($F$3,$AB$6:$AC$6,0))</f>
        <v>t</v>
      </c>
      <c r="E14" s="680">
        <f t="shared" si="1"/>
        <v>3990.1979000000001</v>
      </c>
      <c r="F14" s="123" t="str">
        <f>IF(ISBLANK(H14),INDEX(K14:N14,$D$4),H14)</f>
        <v>Ecoinvent v3.1</v>
      </c>
      <c r="G14" s="340"/>
      <c r="H14" s="340"/>
      <c r="I14" s="450" t="str">
        <f>Translate!$A$118</f>
        <v>Other</v>
      </c>
      <c r="J14" s="373">
        <v>0.3</v>
      </c>
      <c r="K14" s="129" t="str">
        <f>Translate!$A$257</f>
        <v>Ecoinvent v3.1</v>
      </c>
      <c r="L14" s="606" t="str">
        <f>K14</f>
        <v>Ecoinvent v3.1</v>
      </c>
      <c r="M14" s="129" t="str">
        <f>Translate!$A$257</f>
        <v>Ecoinvent v3.1</v>
      </c>
      <c r="N14" s="606" t="str">
        <f>Translate!$A$257</f>
        <v>Ecoinvent v3.1</v>
      </c>
      <c r="P14" s="715"/>
      <c r="Q14" s="715"/>
      <c r="R14" s="715"/>
      <c r="S14" s="735">
        <v>3990.1979000000001</v>
      </c>
      <c r="T14" s="715"/>
      <c r="U14" s="715"/>
      <c r="V14" s="715"/>
      <c r="W14" s="715"/>
      <c r="X14" s="715"/>
      <c r="Y14" s="715"/>
      <c r="Z14" s="714"/>
      <c r="AA14" s="682"/>
      <c r="AB14" s="117" t="str">
        <f>Translate!$A$101</f>
        <v>t</v>
      </c>
      <c r="AC14" s="127" t="str">
        <f>Translate!$A$520</f>
        <v>lb</v>
      </c>
    </row>
    <row r="15" spans="1:38">
      <c r="A15" s="116">
        <f t="shared" ca="1" si="0"/>
        <v>0</v>
      </c>
      <c r="C15" s="123" t="str">
        <f>Translate!$A$181</f>
        <v>CEM I</v>
      </c>
      <c r="D15" s="126" t="str">
        <f t="shared" si="3"/>
        <v>t</v>
      </c>
      <c r="E15" s="680">
        <f t="shared" si="1"/>
        <v>860</v>
      </c>
      <c r="F15" s="123" t="str">
        <f t="shared" si="2"/>
        <v>sustainableconcrete</v>
      </c>
      <c r="G15" s="340"/>
      <c r="H15" s="340"/>
      <c r="I15" s="450" t="str">
        <f>Translate!$A$73</f>
        <v>Concrete / Slurry / Grout mix</v>
      </c>
      <c r="J15" s="373">
        <v>0.2</v>
      </c>
      <c r="K15" s="129" t="str">
        <f>Translate!$A$259</f>
        <v>sustainableconcrete</v>
      </c>
      <c r="L15" s="606" t="str">
        <f t="shared" si="4"/>
        <v>sustainableconcrete</v>
      </c>
      <c r="M15" s="129" t="str">
        <f>Translate!$A$258</f>
        <v>Base carbone (v18.1)</v>
      </c>
      <c r="N15" s="607" t="str">
        <f>Translate!$A$260</f>
        <v>ICE V3</v>
      </c>
      <c r="P15" s="123">
        <v>866</v>
      </c>
      <c r="Q15" s="715"/>
      <c r="R15" s="123">
        <v>860</v>
      </c>
      <c r="S15" s="735">
        <v>877.92220999999995</v>
      </c>
      <c r="T15" s="123">
        <v>912</v>
      </c>
      <c r="U15" s="715"/>
      <c r="V15" s="715"/>
      <c r="W15" s="715"/>
      <c r="X15" s="715"/>
      <c r="Y15" s="715"/>
      <c r="Z15" s="714"/>
      <c r="AA15" s="682"/>
      <c r="AB15" s="117" t="str">
        <f>Translate!$A$101</f>
        <v>t</v>
      </c>
      <c r="AC15" s="127" t="str">
        <f>Translate!$A$520</f>
        <v>lb</v>
      </c>
    </row>
    <row r="16" spans="1:38">
      <c r="A16" s="116">
        <f t="shared" ca="1" si="0"/>
        <v>0</v>
      </c>
      <c r="C16" s="117" t="str">
        <f>Translate!$A$182</f>
        <v>GGbs</v>
      </c>
      <c r="D16" s="126" t="str">
        <f t="shared" si="3"/>
        <v>t</v>
      </c>
      <c r="E16" s="680">
        <f t="shared" si="1"/>
        <v>79.599999999999994</v>
      </c>
      <c r="F16" s="123" t="str">
        <f t="shared" si="2"/>
        <v>sustainableconcrete</v>
      </c>
      <c r="G16" s="340"/>
      <c r="H16" s="340"/>
      <c r="I16" s="450" t="str">
        <f>Translate!$A$73</f>
        <v>Concrete / Slurry / Grout mix</v>
      </c>
      <c r="J16" s="373">
        <v>0.3</v>
      </c>
      <c r="K16" s="129" t="str">
        <f>Translate!$A$259</f>
        <v>sustainableconcrete</v>
      </c>
      <c r="L16" s="606" t="str">
        <f t="shared" si="4"/>
        <v>sustainableconcrete</v>
      </c>
      <c r="M16" s="129" t="str">
        <f>Translate!$A$259</f>
        <v>sustainableconcrete</v>
      </c>
      <c r="N16" s="607" t="str">
        <f>Translate!$A$260</f>
        <v>ICE V3</v>
      </c>
      <c r="P16" s="715"/>
      <c r="Q16" s="715"/>
      <c r="R16" s="123">
        <v>79.599999999999994</v>
      </c>
      <c r="S16" s="735"/>
      <c r="T16" s="123">
        <v>83</v>
      </c>
      <c r="U16" s="715"/>
      <c r="V16" s="715"/>
      <c r="W16" s="715"/>
      <c r="X16" s="715"/>
      <c r="Y16" s="715"/>
      <c r="Z16" s="714"/>
      <c r="AA16" s="682"/>
      <c r="AB16" s="117" t="str">
        <f>Translate!$A$101</f>
        <v>t</v>
      </c>
      <c r="AC16" s="127" t="str">
        <f>Translate!$A$520</f>
        <v>lb</v>
      </c>
    </row>
    <row r="17" spans="1:29">
      <c r="A17" s="116">
        <f t="shared" ca="1" si="0"/>
        <v>0</v>
      </c>
      <c r="C17" s="117" t="str">
        <f>Translate!$A$183</f>
        <v>Fly Ash</v>
      </c>
      <c r="D17" s="126" t="str">
        <f t="shared" si="3"/>
        <v>t</v>
      </c>
      <c r="E17" s="680">
        <f t="shared" si="1"/>
        <v>0.1</v>
      </c>
      <c r="F17" s="123" t="str">
        <f t="shared" si="2"/>
        <v>sustainableconcrete</v>
      </c>
      <c r="G17" s="340"/>
      <c r="H17" s="340"/>
      <c r="I17" s="450" t="str">
        <f>Translate!$A$73</f>
        <v>Concrete / Slurry / Grout mix</v>
      </c>
      <c r="J17" s="373">
        <v>0.3</v>
      </c>
      <c r="K17" s="129" t="str">
        <f>Translate!$A$259</f>
        <v>sustainableconcrete</v>
      </c>
      <c r="L17" s="606" t="str">
        <f t="shared" si="4"/>
        <v>sustainableconcrete</v>
      </c>
      <c r="M17" s="129" t="str">
        <f>Translate!$A$259</f>
        <v>sustainableconcrete</v>
      </c>
      <c r="N17" s="607" t="str">
        <f>Translate!$A$260</f>
        <v>ICE V3</v>
      </c>
      <c r="P17" s="715"/>
      <c r="Q17" s="715"/>
      <c r="R17" s="123">
        <v>0.1</v>
      </c>
      <c r="S17" s="735"/>
      <c r="T17" s="123">
        <v>8</v>
      </c>
      <c r="U17" s="715"/>
      <c r="V17" s="715"/>
      <c r="W17" s="715"/>
      <c r="X17" s="715"/>
      <c r="Y17" s="715"/>
      <c r="Z17" s="714"/>
      <c r="AA17" s="682"/>
      <c r="AB17" s="117" t="str">
        <f>Translate!$A$101</f>
        <v>t</v>
      </c>
      <c r="AC17" s="127" t="str">
        <f>Translate!$A$520</f>
        <v>lb</v>
      </c>
    </row>
    <row r="18" spans="1:29">
      <c r="A18" s="116">
        <f t="shared" ca="1" si="0"/>
        <v>0</v>
      </c>
      <c r="C18" s="117" t="str">
        <f>Translate!$A$184</f>
        <v>Limestone</v>
      </c>
      <c r="D18" s="126" t="str">
        <f t="shared" si="3"/>
        <v>t</v>
      </c>
      <c r="E18" s="680">
        <f t="shared" si="1"/>
        <v>8</v>
      </c>
      <c r="F18" s="123" t="str">
        <f t="shared" si="2"/>
        <v>sustainableconcrete</v>
      </c>
      <c r="G18" s="340"/>
      <c r="H18" s="340"/>
      <c r="I18" s="450" t="str">
        <f>Translate!$A$73</f>
        <v>Concrete / Slurry / Grout mix</v>
      </c>
      <c r="J18" s="373">
        <v>0.3</v>
      </c>
      <c r="K18" s="129" t="str">
        <f>Translate!$A$259</f>
        <v>sustainableconcrete</v>
      </c>
      <c r="L18" s="606" t="str">
        <f t="shared" si="4"/>
        <v>sustainableconcrete</v>
      </c>
      <c r="M18" s="129" t="str">
        <f>Translate!$A$259</f>
        <v>sustainableconcrete</v>
      </c>
      <c r="N18" s="607" t="str">
        <f>Translate!$A$260</f>
        <v>ICE V3</v>
      </c>
      <c r="P18" s="715"/>
      <c r="Q18" s="715"/>
      <c r="R18" s="123">
        <v>8</v>
      </c>
      <c r="S18" s="735"/>
      <c r="T18" s="123">
        <v>90</v>
      </c>
      <c r="U18" s="715"/>
      <c r="V18" s="715"/>
      <c r="W18" s="715"/>
      <c r="X18" s="715"/>
      <c r="Y18" s="715"/>
      <c r="Z18" s="714"/>
      <c r="AA18" s="682"/>
      <c r="AB18" s="117" t="str">
        <f>Translate!$A$101</f>
        <v>t</v>
      </c>
      <c r="AC18" s="127" t="str">
        <f>Translate!$A$520</f>
        <v>lb</v>
      </c>
    </row>
    <row r="19" spans="1:29" ht="30">
      <c r="A19" s="116">
        <f t="shared" ca="1" si="0"/>
        <v>0</v>
      </c>
      <c r="C19" s="117" t="str">
        <f>Translate!$A$185</f>
        <v>minor additional constituent</v>
      </c>
      <c r="D19" s="126" t="str">
        <f t="shared" si="3"/>
        <v>t</v>
      </c>
      <c r="E19" s="680">
        <f t="shared" si="1"/>
        <v>75</v>
      </c>
      <c r="F19" s="123" t="str">
        <f t="shared" si="2"/>
        <v>sustainableconcrete</v>
      </c>
      <c r="G19" s="340"/>
      <c r="H19" s="340"/>
      <c r="I19" s="450" t="str">
        <f>Translate!$A$73</f>
        <v>Concrete / Slurry / Grout mix</v>
      </c>
      <c r="J19" s="373">
        <v>0.3</v>
      </c>
      <c r="K19" s="129" t="str">
        <f>Translate!$A$259</f>
        <v>sustainableconcrete</v>
      </c>
      <c r="L19" s="606" t="str">
        <f t="shared" si="4"/>
        <v>sustainableconcrete</v>
      </c>
      <c r="M19" s="129" t="str">
        <f>Translate!$A$259</f>
        <v>sustainableconcrete</v>
      </c>
      <c r="N19" s="129" t="str">
        <f>Translate!$A$259</f>
        <v>sustainableconcrete</v>
      </c>
      <c r="P19" s="715"/>
      <c r="Q19" s="715"/>
      <c r="R19" s="123">
        <v>75</v>
      </c>
      <c r="S19" s="735"/>
      <c r="T19" s="123"/>
      <c r="U19" s="715"/>
      <c r="V19" s="715"/>
      <c r="W19" s="715"/>
      <c r="X19" s="715"/>
      <c r="Y19" s="715"/>
      <c r="Z19" s="714"/>
      <c r="AA19" s="682"/>
      <c r="AB19" s="117" t="str">
        <f>Translate!$A$101</f>
        <v>t</v>
      </c>
      <c r="AC19" s="127" t="str">
        <f>Translate!$A$520</f>
        <v>lb</v>
      </c>
    </row>
    <row r="20" spans="1:29" ht="30">
      <c r="A20" s="116">
        <f t="shared" ca="1" si="0"/>
        <v>0</v>
      </c>
      <c r="C20" s="123" t="str">
        <f>Translate!$A186</f>
        <v>Chemicals inorganic</v>
      </c>
      <c r="D20" s="126" t="str">
        <f t="shared" si="3"/>
        <v>t</v>
      </c>
      <c r="E20" s="680">
        <f t="shared" si="1"/>
        <v>1988.2809999999999</v>
      </c>
      <c r="F20" s="123" t="str">
        <f t="shared" si="2"/>
        <v>Ecoinvent v3.1</v>
      </c>
      <c r="G20" s="340"/>
      <c r="H20" s="340"/>
      <c r="I20" s="450" t="str">
        <f>Translate!$A$118</f>
        <v>Other</v>
      </c>
      <c r="J20" s="373">
        <v>0.3</v>
      </c>
      <c r="K20" s="129" t="str">
        <f>Translate!$A$257</f>
        <v>Ecoinvent v3.1</v>
      </c>
      <c r="L20" s="606" t="str">
        <f t="shared" si="4"/>
        <v>Ecoinvent v3.1</v>
      </c>
      <c r="M20" s="129" t="str">
        <f>Translate!$A$257</f>
        <v>Ecoinvent v3.1</v>
      </c>
      <c r="N20" s="129" t="str">
        <f>Translate!$A$257</f>
        <v>Ecoinvent v3.1</v>
      </c>
      <c r="P20" s="715"/>
      <c r="Q20" s="715"/>
      <c r="R20" s="715"/>
      <c r="S20" s="735">
        <v>1988.2809999999999</v>
      </c>
      <c r="T20" s="123"/>
      <c r="U20" s="715"/>
      <c r="V20" s="715"/>
      <c r="W20" s="715"/>
      <c r="X20" s="715"/>
      <c r="Y20" s="715"/>
      <c r="Z20" s="714"/>
      <c r="AA20" s="682"/>
      <c r="AB20" s="117" t="str">
        <f>Translate!$A$101</f>
        <v>t</v>
      </c>
      <c r="AC20" s="127" t="str">
        <f>Translate!$A$520</f>
        <v>lb</v>
      </c>
    </row>
    <row r="21" spans="1:29" ht="30">
      <c r="A21" s="116">
        <f t="shared" ca="1" si="0"/>
        <v>0</v>
      </c>
      <c r="C21" s="123" t="str">
        <f>Translate!$A187</f>
        <v>EPDM-rubber</v>
      </c>
      <c r="D21" s="126" t="str">
        <f t="shared" si="3"/>
        <v>t</v>
      </c>
      <c r="E21" s="680">
        <f t="shared" si="1"/>
        <v>2770.4699000000001</v>
      </c>
      <c r="F21" s="123" t="str">
        <f t="shared" si="2"/>
        <v>Ecoinvent v3.1</v>
      </c>
      <c r="G21" s="340"/>
      <c r="H21" s="340"/>
      <c r="I21" s="450" t="str">
        <f>Translate!$A$118</f>
        <v>Other</v>
      </c>
      <c r="J21" s="373">
        <v>0.3</v>
      </c>
      <c r="K21" s="129" t="str">
        <f>Translate!$A$257</f>
        <v>Ecoinvent v3.1</v>
      </c>
      <c r="L21" s="606" t="str">
        <f t="shared" si="4"/>
        <v>Ecoinvent v3.1</v>
      </c>
      <c r="M21" s="129" t="str">
        <f>Translate!$A$257</f>
        <v>Ecoinvent v3.1</v>
      </c>
      <c r="N21" s="129" t="str">
        <f>Translate!$A$257</f>
        <v>Ecoinvent v3.1</v>
      </c>
      <c r="P21" s="715"/>
      <c r="Q21" s="715"/>
      <c r="R21" s="715"/>
      <c r="S21" s="735">
        <v>2770.4699000000001</v>
      </c>
      <c r="T21" s="123"/>
      <c r="U21" s="715"/>
      <c r="V21" s="715"/>
      <c r="W21" s="715"/>
      <c r="X21" s="715"/>
      <c r="Y21" s="715"/>
      <c r="Z21" s="714"/>
      <c r="AA21" s="682"/>
      <c r="AB21" s="117" t="str">
        <f>Translate!$A$101</f>
        <v>t</v>
      </c>
      <c r="AC21" s="127" t="str">
        <f>Translate!$A$520</f>
        <v>lb</v>
      </c>
    </row>
    <row r="22" spans="1:29" ht="30">
      <c r="A22" s="116">
        <f t="shared" ca="1" si="0"/>
        <v>0</v>
      </c>
      <c r="C22" s="123" t="str">
        <f>Translate!$A188</f>
        <v>Polypropylene</v>
      </c>
      <c r="D22" s="126" t="str">
        <f t="shared" si="3"/>
        <v>t</v>
      </c>
      <c r="E22" s="680">
        <f t="shared" si="1"/>
        <v>2293.127</v>
      </c>
      <c r="F22" s="123" t="str">
        <f t="shared" si="2"/>
        <v>Ecoinvent v3.1</v>
      </c>
      <c r="G22" s="340"/>
      <c r="H22" s="340"/>
      <c r="I22" s="450" t="str">
        <f>Translate!$A$118</f>
        <v>Other</v>
      </c>
      <c r="J22" s="373">
        <v>0.3</v>
      </c>
      <c r="K22" s="129" t="str">
        <f>Translate!$A$257</f>
        <v>Ecoinvent v3.1</v>
      </c>
      <c r="L22" s="606" t="str">
        <f t="shared" si="4"/>
        <v>Ecoinvent v3.1</v>
      </c>
      <c r="M22" s="129" t="str">
        <f>Translate!$A$257</f>
        <v>Ecoinvent v3.1</v>
      </c>
      <c r="N22" s="129" t="str">
        <f>Translate!$A$257</f>
        <v>Ecoinvent v3.1</v>
      </c>
      <c r="P22" s="715"/>
      <c r="Q22" s="715"/>
      <c r="R22" s="715"/>
      <c r="S22" s="735">
        <v>2293.127</v>
      </c>
      <c r="T22" s="228">
        <v>4980</v>
      </c>
      <c r="U22" s="715"/>
      <c r="V22" s="715"/>
      <c r="W22" s="715"/>
      <c r="X22" s="715"/>
      <c r="Y22" s="715"/>
      <c r="Z22" s="714"/>
      <c r="AA22" s="682"/>
      <c r="AB22" s="117" t="str">
        <f>Translate!$A$101</f>
        <v>t</v>
      </c>
      <c r="AC22" s="127" t="str">
        <f>Translate!$A$520</f>
        <v>lb</v>
      </c>
    </row>
    <row r="23" spans="1:29">
      <c r="A23" s="116">
        <f t="shared" ca="1" si="0"/>
        <v>0</v>
      </c>
      <c r="C23" s="123" t="str">
        <f>Translate!$A$189</f>
        <v>PVC pipes</v>
      </c>
      <c r="D23" s="126" t="str">
        <f t="shared" si="3"/>
        <v>t</v>
      </c>
      <c r="E23" s="680">
        <f t="shared" si="1"/>
        <v>3230</v>
      </c>
      <c r="F23" s="123" t="str">
        <f t="shared" si="2"/>
        <v>ICE V3</v>
      </c>
      <c r="G23" s="340"/>
      <c r="H23" s="340"/>
      <c r="I23" s="450" t="str">
        <f>Translate!$A$118</f>
        <v>Other</v>
      </c>
      <c r="J23" s="373">
        <v>0.3</v>
      </c>
      <c r="K23" s="342" t="str">
        <f>Translate!$A$260</f>
        <v>ICE V3</v>
      </c>
      <c r="L23" s="606" t="str">
        <f t="shared" si="4"/>
        <v>ICE V3</v>
      </c>
      <c r="M23" s="129" t="str">
        <f>Translate!$A$258</f>
        <v>Base carbone (v18.1)</v>
      </c>
      <c r="N23" s="607" t="str">
        <f>Translate!$A$260</f>
        <v>ICE V3</v>
      </c>
      <c r="P23" s="123">
        <v>1870</v>
      </c>
      <c r="Q23" s="715"/>
      <c r="R23" s="715"/>
      <c r="S23" s="735"/>
      <c r="T23" s="228">
        <v>3230</v>
      </c>
      <c r="U23" s="715"/>
      <c r="V23" s="715"/>
      <c r="W23" s="715"/>
      <c r="X23" s="715"/>
      <c r="Y23" s="715"/>
      <c r="Z23" s="714"/>
      <c r="AA23" s="682"/>
      <c r="AB23" s="117" t="str">
        <f>Translate!$A$101</f>
        <v>t</v>
      </c>
      <c r="AC23" s="127" t="str">
        <f>Translate!$A$520</f>
        <v>lb</v>
      </c>
    </row>
    <row r="24" spans="1:29">
      <c r="A24" s="116">
        <f t="shared" ca="1" si="0"/>
        <v>0</v>
      </c>
      <c r="C24" s="123" t="str">
        <f>Translate!$A$190</f>
        <v>Sand</v>
      </c>
      <c r="D24" s="126" t="str">
        <f t="shared" si="3"/>
        <v>t</v>
      </c>
      <c r="E24" s="680">
        <f t="shared" si="1"/>
        <v>6</v>
      </c>
      <c r="F24" s="123" t="str">
        <f t="shared" si="2"/>
        <v>ICE V3</v>
      </c>
      <c r="G24" s="340"/>
      <c r="H24" s="340"/>
      <c r="I24" s="450" t="str">
        <f>Translate!$A$73</f>
        <v>Concrete / Slurry / Grout mix</v>
      </c>
      <c r="J24" s="373">
        <v>0.3</v>
      </c>
      <c r="K24" s="607" t="str">
        <f>Translate!$A$260</f>
        <v>ICE V3</v>
      </c>
      <c r="L24" s="606" t="str">
        <f t="shared" si="4"/>
        <v>ICE V3</v>
      </c>
      <c r="M24" s="607" t="str">
        <f>Translate!$A$260</f>
        <v>ICE V3</v>
      </c>
      <c r="N24" s="607" t="str">
        <f>Translate!$A$260</f>
        <v>ICE V3</v>
      </c>
      <c r="P24" s="715"/>
      <c r="Q24" s="715"/>
      <c r="R24" s="715"/>
      <c r="S24" s="735"/>
      <c r="T24" s="123">
        <v>6</v>
      </c>
      <c r="U24" s="715"/>
      <c r="V24" s="715"/>
      <c r="W24" s="715"/>
      <c r="X24" s="715"/>
      <c r="Y24" s="715"/>
      <c r="Z24" s="714"/>
      <c r="AA24" s="682"/>
      <c r="AB24" s="117" t="str">
        <f>Translate!$A$101</f>
        <v>t</v>
      </c>
      <c r="AC24" s="127" t="str">
        <f>Translate!$A$520</f>
        <v>lb</v>
      </c>
    </row>
    <row r="25" spans="1:29" ht="30">
      <c r="A25" s="116">
        <f t="shared" ca="1" si="0"/>
        <v>0</v>
      </c>
      <c r="C25" s="123" t="str">
        <f>Translate!$A$191</f>
        <v>Sodium carbonate</v>
      </c>
      <c r="D25" s="126" t="str">
        <f t="shared" si="3"/>
        <v>t</v>
      </c>
      <c r="E25" s="680">
        <f t="shared" si="1"/>
        <v>1313.3036</v>
      </c>
      <c r="F25" s="123" t="str">
        <f t="shared" si="2"/>
        <v>Ecoinvent v3.1</v>
      </c>
      <c r="G25" s="340"/>
      <c r="H25" s="340"/>
      <c r="I25" s="450" t="str">
        <f>Translate!$A$118</f>
        <v>Other</v>
      </c>
      <c r="J25" s="373">
        <v>0.3</v>
      </c>
      <c r="K25" s="129" t="str">
        <f>Translate!$A$257</f>
        <v>Ecoinvent v3.1</v>
      </c>
      <c r="L25" s="606" t="str">
        <f t="shared" si="4"/>
        <v>Ecoinvent v3.1</v>
      </c>
      <c r="M25" s="129" t="str">
        <f>Translate!$A$257</f>
        <v>Ecoinvent v3.1</v>
      </c>
      <c r="N25" s="129" t="str">
        <f>Translate!$A$257</f>
        <v>Ecoinvent v3.1</v>
      </c>
      <c r="P25" s="715"/>
      <c r="Q25" s="715"/>
      <c r="R25" s="715"/>
      <c r="S25" s="735">
        <v>1313.3036</v>
      </c>
      <c r="T25" s="123"/>
      <c r="U25" s="715"/>
      <c r="V25" s="715"/>
      <c r="W25" s="715"/>
      <c r="X25" s="715"/>
      <c r="Y25" s="715"/>
      <c r="Z25" s="714"/>
      <c r="AA25" s="682"/>
      <c r="AB25" s="117" t="str">
        <f>Translate!$A$101</f>
        <v>t</v>
      </c>
      <c r="AC25" s="127" t="str">
        <f>Translate!$A$520</f>
        <v>lb</v>
      </c>
    </row>
    <row r="26" spans="1:29">
      <c r="A26" s="116">
        <f t="shared" ca="1" si="0"/>
        <v>0</v>
      </c>
      <c r="C26" s="123" t="str">
        <f>Translate!$A$192</f>
        <v>Steel sheets</v>
      </c>
      <c r="D26" s="126" t="str">
        <f t="shared" si="3"/>
        <v>t</v>
      </c>
      <c r="E26" s="680">
        <f t="shared" si="1"/>
        <v>2164</v>
      </c>
      <c r="F26" s="123" t="str">
        <f t="shared" si="2"/>
        <v>Ecoinvent v3.1</v>
      </c>
      <c r="G26" s="340"/>
      <c r="H26" s="340"/>
      <c r="I26" s="450" t="str">
        <f>Translate!$A$138</f>
        <v>Steel</v>
      </c>
      <c r="J26" s="373">
        <v>0.3</v>
      </c>
      <c r="K26" s="342" t="str">
        <f>Translate!$A$257</f>
        <v>Ecoinvent v3.1</v>
      </c>
      <c r="L26" s="606" t="str">
        <f t="shared" si="4"/>
        <v>Ecoinvent v3.1</v>
      </c>
      <c r="M26" s="129" t="str">
        <f>Translate!$A$258</f>
        <v>Base carbone (v18.1)</v>
      </c>
      <c r="N26" s="607" t="str">
        <f>Translate!$A$260</f>
        <v>ICE V3</v>
      </c>
      <c r="P26" s="123">
        <v>2211</v>
      </c>
      <c r="Q26" s="715"/>
      <c r="R26" s="715"/>
      <c r="S26" s="123">
        <v>2164</v>
      </c>
      <c r="T26" s="123">
        <v>3060</v>
      </c>
      <c r="U26" s="715"/>
      <c r="V26" s="715"/>
      <c r="W26" s="715"/>
      <c r="X26" s="715"/>
      <c r="Y26" s="715"/>
      <c r="Z26" s="714"/>
      <c r="AA26" s="682"/>
      <c r="AB26" s="117" t="str">
        <f>Translate!$A$101</f>
        <v>t</v>
      </c>
      <c r="AC26" s="127" t="str">
        <f>Translate!$A$520</f>
        <v>lb</v>
      </c>
    </row>
    <row r="27" spans="1:29">
      <c r="A27" s="116">
        <f t="shared" ca="1" si="0"/>
        <v>0</v>
      </c>
      <c r="C27" s="123" t="str">
        <f>Translate!$A$193</f>
        <v>Steel rebars</v>
      </c>
      <c r="D27" s="126" t="str">
        <f t="shared" si="3"/>
        <v>t</v>
      </c>
      <c r="E27" s="680">
        <f t="shared" si="1"/>
        <v>2055</v>
      </c>
      <c r="F27" s="123" t="str">
        <f t="shared" si="2"/>
        <v>Ecoinvent v3.1</v>
      </c>
      <c r="G27" s="340"/>
      <c r="H27" s="340"/>
      <c r="I27" s="450" t="str">
        <f>Translate!$A$138</f>
        <v>Steel</v>
      </c>
      <c r="J27" s="373">
        <v>0.3</v>
      </c>
      <c r="K27" s="342" t="str">
        <f>Translate!$A$257</f>
        <v>Ecoinvent v3.1</v>
      </c>
      <c r="L27" s="606" t="str">
        <f t="shared" si="4"/>
        <v>Ecoinvent v3.1</v>
      </c>
      <c r="M27" s="129" t="str">
        <f>Translate!$A$258</f>
        <v>Base carbone (v18.1)</v>
      </c>
      <c r="N27" s="607" t="str">
        <f>Translate!$A$260</f>
        <v>ICE V3</v>
      </c>
      <c r="P27" s="123">
        <v>2211</v>
      </c>
      <c r="Q27" s="715"/>
      <c r="R27" s="715"/>
      <c r="S27" s="123">
        <v>2055</v>
      </c>
      <c r="T27" s="123">
        <v>1990</v>
      </c>
      <c r="U27" s="715"/>
      <c r="V27" s="715"/>
      <c r="W27" s="715"/>
      <c r="X27" s="715"/>
      <c r="Y27" s="715"/>
      <c r="Z27" s="714"/>
      <c r="AA27" s="682"/>
      <c r="AB27" s="117" t="str">
        <f>Translate!$A$101</f>
        <v>t</v>
      </c>
      <c r="AC27" s="127" t="str">
        <f>Translate!$A$520</f>
        <v>lb</v>
      </c>
    </row>
    <row r="28" spans="1:29">
      <c r="A28" s="116">
        <f t="shared" ca="1" si="0"/>
        <v>0</v>
      </c>
      <c r="C28" s="123" t="str">
        <f>Translate!$A$194</f>
        <v>Steel tubes</v>
      </c>
      <c r="D28" s="126" t="str">
        <f t="shared" si="3"/>
        <v>t</v>
      </c>
      <c r="E28" s="680">
        <f t="shared" si="1"/>
        <v>2534</v>
      </c>
      <c r="F28" s="123" t="str">
        <f t="shared" si="2"/>
        <v>Ecoinvent v3.1</v>
      </c>
      <c r="G28" s="340"/>
      <c r="H28" s="340"/>
      <c r="I28" s="450" t="str">
        <f>Translate!$A$138</f>
        <v>Steel</v>
      </c>
      <c r="J28" s="373">
        <v>0.3</v>
      </c>
      <c r="K28" s="342" t="str">
        <f>Translate!$A$257</f>
        <v>Ecoinvent v3.1</v>
      </c>
      <c r="L28" s="606" t="str">
        <f t="shared" si="4"/>
        <v>Ecoinvent v3.1</v>
      </c>
      <c r="M28" s="129" t="str">
        <f>Translate!$A$258</f>
        <v>Base carbone (v18.1)</v>
      </c>
      <c r="N28" s="607" t="str">
        <f>Translate!$A$260</f>
        <v>ICE V3</v>
      </c>
      <c r="P28" s="123">
        <v>2211</v>
      </c>
      <c r="Q28" s="715"/>
      <c r="R28" s="715"/>
      <c r="S28" s="123">
        <v>2534</v>
      </c>
      <c r="T28" s="123">
        <v>2780</v>
      </c>
      <c r="U28" s="715"/>
      <c r="V28" s="715"/>
      <c r="W28" s="715"/>
      <c r="X28" s="715"/>
      <c r="Y28" s="715"/>
      <c r="Z28" s="714"/>
      <c r="AA28" s="682"/>
      <c r="AB28" s="117" t="str">
        <f>Translate!$A$101</f>
        <v>t</v>
      </c>
      <c r="AC28" s="127" t="str">
        <f>Translate!$A$520</f>
        <v>lb</v>
      </c>
    </row>
    <row r="29" spans="1:29">
      <c r="A29" s="116">
        <f t="shared" ca="1" si="0"/>
        <v>0</v>
      </c>
      <c r="C29" s="123" t="str">
        <f>Translate!$A$195</f>
        <v>Steel wires</v>
      </c>
      <c r="D29" s="126" t="str">
        <f t="shared" si="3"/>
        <v>t</v>
      </c>
      <c r="E29" s="680">
        <f t="shared" si="1"/>
        <v>2505</v>
      </c>
      <c r="F29" s="123" t="str">
        <f t="shared" si="2"/>
        <v>Ecoinvent v3.1</v>
      </c>
      <c r="G29" s="340"/>
      <c r="H29" s="340"/>
      <c r="I29" s="450" t="str">
        <f>Translate!$A$138</f>
        <v>Steel</v>
      </c>
      <c r="J29" s="373">
        <v>0.3</v>
      </c>
      <c r="K29" s="342" t="str">
        <f>Translate!$A$257</f>
        <v>Ecoinvent v3.1</v>
      </c>
      <c r="L29" s="606" t="str">
        <f t="shared" si="4"/>
        <v>Ecoinvent v3.1</v>
      </c>
      <c r="M29" s="129" t="str">
        <f>Translate!$A$258</f>
        <v>Base carbone (v18.1)</v>
      </c>
      <c r="N29" s="607" t="str">
        <f>Translate!$A$260</f>
        <v>ICE V3</v>
      </c>
      <c r="P29" s="123">
        <v>2211</v>
      </c>
      <c r="Q29" s="715"/>
      <c r="R29" s="715"/>
      <c r="S29" s="123">
        <v>2505</v>
      </c>
      <c r="T29" s="123">
        <v>2270</v>
      </c>
      <c r="U29" s="715"/>
      <c r="V29" s="715"/>
      <c r="W29" s="715"/>
      <c r="X29" s="715"/>
      <c r="Y29" s="715"/>
      <c r="Z29" s="714"/>
      <c r="AA29" s="682"/>
      <c r="AB29" s="117" t="str">
        <f>Translate!$A$101</f>
        <v>t</v>
      </c>
      <c r="AC29" s="127" t="str">
        <f>Translate!$A$520</f>
        <v>lb</v>
      </c>
    </row>
    <row r="30" spans="1:29">
      <c r="A30" s="116">
        <f t="shared" ca="1" si="0"/>
        <v>0</v>
      </c>
      <c r="C30" s="123" t="str">
        <f>Translate!$A$198</f>
        <v>Water</v>
      </c>
      <c r="D30" s="126" t="str">
        <f t="shared" si="3"/>
        <v>t</v>
      </c>
      <c r="E30" s="680">
        <f t="shared" si="1"/>
        <v>0.34399999999999997</v>
      </c>
      <c r="F30" s="123" t="str">
        <f t="shared" si="2"/>
        <v>Defra 2019 (v1.3)</v>
      </c>
      <c r="G30" s="340"/>
      <c r="H30" s="340"/>
      <c r="I30" s="450" t="str">
        <f>Translate!$A$73</f>
        <v>Concrete / Slurry / Grout mix</v>
      </c>
      <c r="J30" s="373">
        <v>0.3</v>
      </c>
      <c r="K30" s="342" t="str">
        <f>Translate!$A$261</f>
        <v>Defra 2019 (v1.3)</v>
      </c>
      <c r="L30" s="606" t="str">
        <f t="shared" si="4"/>
        <v>Defra 2019 (v1.3)</v>
      </c>
      <c r="M30" s="342" t="str">
        <f>Translate!$A$261</f>
        <v>Defra 2019 (v1.3)</v>
      </c>
      <c r="N30" s="342" t="str">
        <f>Translate!$A$261</f>
        <v>Defra 2019 (v1.3)</v>
      </c>
      <c r="P30" s="715"/>
      <c r="Q30" s="123">
        <v>0.34399999999999997</v>
      </c>
      <c r="R30" s="715"/>
      <c r="S30" s="123"/>
      <c r="T30" s="123"/>
      <c r="U30" s="715"/>
      <c r="V30" s="715"/>
      <c r="W30" s="715"/>
      <c r="X30" s="715"/>
      <c r="Y30" s="715"/>
      <c r="Z30" s="714"/>
      <c r="AA30" s="682"/>
      <c r="AB30" s="117" t="str">
        <f>Translate!$A$101</f>
        <v>t</v>
      </c>
      <c r="AC30" s="127" t="str">
        <f>Translate!$A$520</f>
        <v>lb</v>
      </c>
    </row>
    <row r="31" spans="1:29" ht="15.75">
      <c r="A31" s="116">
        <f ca="1">IF(AND(ISBLANK(C31),ISBLANK(G31)),OFFSET(A31,-1,0),OFFSET(A31,-1,0)+1)</f>
        <v>0</v>
      </c>
      <c r="C31" s="343"/>
      <c r="D31" s="343"/>
      <c r="E31" s="680">
        <f t="shared" ref="E31:F34" si="5">G31</f>
        <v>0</v>
      </c>
      <c r="F31" s="123">
        <f t="shared" si="5"/>
        <v>0</v>
      </c>
      <c r="G31" s="276"/>
      <c r="H31" s="276"/>
      <c r="I31" s="340" t="str">
        <f>Translate!$A$118</f>
        <v>Other</v>
      </c>
      <c r="J31" s="374"/>
      <c r="P31" s="718"/>
      <c r="Q31" s="718"/>
      <c r="R31" s="718"/>
      <c r="S31" s="730"/>
      <c r="T31" s="730"/>
      <c r="U31" s="718"/>
      <c r="V31" s="718"/>
      <c r="W31" s="718"/>
      <c r="X31" s="718"/>
      <c r="Y31" s="718"/>
      <c r="Z31" s="718"/>
      <c r="AA31" s="682"/>
    </row>
    <row r="32" spans="1:29" ht="15.75">
      <c r="A32" s="116">
        <f ca="1">IF(AND(ISBLANK(C32),ISBLANK(G32)),OFFSET(A32,-1,0),OFFSET(A32,-1,0)+1)</f>
        <v>0</v>
      </c>
      <c r="C32" s="343"/>
      <c r="D32" s="343"/>
      <c r="E32" s="680">
        <f t="shared" si="5"/>
        <v>0</v>
      </c>
      <c r="F32" s="123">
        <f t="shared" si="5"/>
        <v>0</v>
      </c>
      <c r="G32" s="276"/>
      <c r="H32" s="276"/>
      <c r="I32" s="340" t="str">
        <f>Translate!$A$118</f>
        <v>Other</v>
      </c>
      <c r="J32" s="374"/>
      <c r="P32" s="718"/>
      <c r="Q32" s="718"/>
      <c r="R32" s="718"/>
      <c r="S32" s="730"/>
      <c r="T32" s="730"/>
      <c r="U32" s="718"/>
      <c r="V32" s="718"/>
      <c r="W32" s="718"/>
      <c r="X32" s="718"/>
      <c r="Y32" s="718"/>
      <c r="Z32" s="718"/>
      <c r="AA32" s="682"/>
    </row>
    <row r="33" spans="1:29" ht="15.75">
      <c r="A33" s="116">
        <f ca="1">IF(AND(ISBLANK(C33),ISBLANK(G33)),OFFSET(A33,-1,0),OFFSET(A33,-1,0)+1)</f>
        <v>0</v>
      </c>
      <c r="B33" s="118"/>
      <c r="C33" s="343"/>
      <c r="D33" s="343"/>
      <c r="E33" s="680">
        <f t="shared" si="5"/>
        <v>0</v>
      </c>
      <c r="F33" s="123">
        <f t="shared" si="5"/>
        <v>0</v>
      </c>
      <c r="G33" s="276"/>
      <c r="H33" s="276"/>
      <c r="I33" s="340" t="str">
        <f>Translate!$A$118</f>
        <v>Other</v>
      </c>
      <c r="J33" s="374"/>
      <c r="P33" s="718"/>
      <c r="Q33" s="718"/>
      <c r="R33" s="718"/>
      <c r="S33" s="730"/>
      <c r="T33" s="730"/>
      <c r="U33" s="718"/>
      <c r="V33" s="718"/>
      <c r="W33" s="718"/>
      <c r="X33" s="718"/>
      <c r="Y33" s="718"/>
      <c r="Z33" s="718"/>
      <c r="AA33" s="682"/>
    </row>
    <row r="34" spans="1:29" ht="15.75">
      <c r="A34" s="116">
        <f ca="1">IF(AND(ISBLANK(C34),ISBLANK(G34)),OFFSET(A34,-1,0),OFFSET(A34,-1,0)+1)</f>
        <v>0</v>
      </c>
      <c r="B34" s="118"/>
      <c r="C34" s="343"/>
      <c r="D34" s="343"/>
      <c r="E34" s="680">
        <f t="shared" si="5"/>
        <v>0</v>
      </c>
      <c r="F34" s="123">
        <f t="shared" si="5"/>
        <v>0</v>
      </c>
      <c r="G34" s="276"/>
      <c r="H34" s="276"/>
      <c r="I34" s="340" t="str">
        <f>Translate!$A$118</f>
        <v>Other</v>
      </c>
      <c r="J34" s="374"/>
      <c r="P34" s="718"/>
      <c r="Q34" s="718"/>
      <c r="R34" s="718"/>
      <c r="S34" s="730"/>
      <c r="T34" s="730"/>
      <c r="U34" s="718"/>
      <c r="V34" s="718"/>
      <c r="W34" s="718"/>
      <c r="X34" s="718"/>
      <c r="Y34" s="718"/>
      <c r="Z34" s="718"/>
      <c r="AA34" s="682"/>
    </row>
    <row r="35" spans="1:29">
      <c r="A35" s="116">
        <f t="shared" ref="A35:A42" ca="1" si="6">IF(ISBLANK(H35),OFFSET(A35,-1,0),OFFSET(A35,-1,0)+1)</f>
        <v>0</v>
      </c>
      <c r="C35" s="123" t="str">
        <f>C26&amp;Translate!$A$199</f>
        <v>Steel sheets - recycled</v>
      </c>
      <c r="D35" s="126" t="str">
        <f>INDEX(AB35:AC35,MATCH($F$3,$AB$6:$AC$6,0))</f>
        <v>t</v>
      </c>
      <c r="E35" s="680">
        <f>IF(F35=H35,G35,INDEX(P35:Z35,MATCH($F35,$P$6:$Z$6,0)))/IF($F$3=$AC$6,VLOOKUP(D35,$E$410:$G$418,3,0),1)</f>
        <v>673</v>
      </c>
      <c r="F35" s="123" t="str">
        <f>IF(ISBLANK(H35),INDEX(K35:N35,$D$4),H35)</f>
        <v>Ecoinvent v3.1</v>
      </c>
      <c r="G35" s="340"/>
      <c r="H35" s="340"/>
      <c r="I35" s="450" t="str">
        <f>Translate!$A$138</f>
        <v>Steel</v>
      </c>
      <c r="J35" s="373">
        <v>0.3</v>
      </c>
      <c r="K35" s="342" t="str">
        <f>Translate!$A$257</f>
        <v>Ecoinvent v3.1</v>
      </c>
      <c r="L35" s="606" t="str">
        <f>Translate!$A$257</f>
        <v>Ecoinvent v3.1</v>
      </c>
      <c r="M35" s="129" t="str">
        <f>Translate!$A$258</f>
        <v>Base carbone (v18.1)</v>
      </c>
      <c r="N35" s="607" t="str">
        <f>Translate!$A$260</f>
        <v>ICE V3</v>
      </c>
      <c r="P35" s="123">
        <v>938</v>
      </c>
      <c r="Q35" s="715"/>
      <c r="R35" s="715"/>
      <c r="S35" s="123">
        <v>673</v>
      </c>
      <c r="T35" s="123">
        <f>T26</f>
        <v>3060</v>
      </c>
      <c r="U35" s="715"/>
      <c r="V35" s="715"/>
      <c r="W35" s="715"/>
      <c r="X35" s="715"/>
      <c r="Y35" s="715"/>
      <c r="Z35" s="715"/>
      <c r="AA35" s="682"/>
      <c r="AB35" s="117" t="str">
        <f>Translate!$A$101</f>
        <v>t</v>
      </c>
      <c r="AC35" s="117" t="str">
        <f>Translate!$A$520</f>
        <v>lb</v>
      </c>
    </row>
    <row r="36" spans="1:29">
      <c r="A36" s="116">
        <f t="shared" ca="1" si="6"/>
        <v>0</v>
      </c>
      <c r="C36" s="123" t="str">
        <f>C27&amp;Translate!$A$199</f>
        <v>Steel rebars - recycled</v>
      </c>
      <c r="D36" s="126" t="str">
        <f>INDEX(AB36:AC36,MATCH($F$3,$AB$6:$AC$6,0))</f>
        <v>t</v>
      </c>
      <c r="E36" s="680">
        <f>IF(F36=H36,G36,INDEX(P36:Z36,MATCH($F36,$P$6:$Z$6,0)))/IF($F$3=$AC$6,VLOOKUP(D36,$E$410:$G$418,3,0),1)</f>
        <v>565</v>
      </c>
      <c r="F36" s="123" t="str">
        <f>IF(ISBLANK(H36),INDEX(K36:N36,$D$4),H36)</f>
        <v>Ecoinvent v3.1</v>
      </c>
      <c r="G36" s="340"/>
      <c r="H36" s="340"/>
      <c r="I36" s="450" t="str">
        <f>Translate!$A$138</f>
        <v>Steel</v>
      </c>
      <c r="J36" s="373">
        <v>0.3</v>
      </c>
      <c r="K36" s="342" t="str">
        <f>Translate!$A$257</f>
        <v>Ecoinvent v3.1</v>
      </c>
      <c r="L36" s="606" t="str">
        <f>Translate!$A$257</f>
        <v>Ecoinvent v3.1</v>
      </c>
      <c r="M36" s="129" t="str">
        <f>Translate!$A$258</f>
        <v>Base carbone (v18.1)</v>
      </c>
      <c r="N36" s="607" t="str">
        <f>Translate!$A$260</f>
        <v>ICE V3</v>
      </c>
      <c r="P36" s="123">
        <v>938</v>
      </c>
      <c r="Q36" s="715"/>
      <c r="R36" s="715"/>
      <c r="S36" s="123">
        <v>565</v>
      </c>
      <c r="T36" s="123">
        <f>T27</f>
        <v>1990</v>
      </c>
      <c r="U36" s="715"/>
      <c r="V36" s="715"/>
      <c r="W36" s="715"/>
      <c r="X36" s="715"/>
      <c r="Y36" s="715"/>
      <c r="Z36" s="714"/>
      <c r="AA36" s="682"/>
      <c r="AB36" s="117" t="str">
        <f>Translate!$A$101</f>
        <v>t</v>
      </c>
      <c r="AC36" s="127" t="str">
        <f>Translate!$A$520</f>
        <v>lb</v>
      </c>
    </row>
    <row r="37" spans="1:29">
      <c r="A37" s="116">
        <f t="shared" ca="1" si="6"/>
        <v>0</v>
      </c>
      <c r="C37" s="123" t="str">
        <f>C28&amp;Translate!$A$199</f>
        <v>Steel tubes - recycled</v>
      </c>
      <c r="D37" s="126" t="str">
        <f>INDEX(AB37:AC37,MATCH($F$3,$AB$6:$AC$6,0))</f>
        <v>t</v>
      </c>
      <c r="E37" s="680">
        <f>IF(F37=H37,G37,INDEX(P37:Z37,MATCH($F37,$P$6:$Z$6,0)))/IF($F$3=$AC$6,VLOOKUP(D37,$E$410:$G$418,3,0),1)</f>
        <v>1044</v>
      </c>
      <c r="F37" s="123" t="str">
        <f>IF(ISBLANK(H37),INDEX(K37:N37,$D$4),H37)</f>
        <v>Ecoinvent v3.1</v>
      </c>
      <c r="G37" s="340"/>
      <c r="H37" s="340"/>
      <c r="I37" s="450" t="str">
        <f>Translate!$A$138</f>
        <v>Steel</v>
      </c>
      <c r="J37" s="373">
        <v>0.3</v>
      </c>
      <c r="K37" s="342" t="str">
        <f>Translate!$A$257</f>
        <v>Ecoinvent v3.1</v>
      </c>
      <c r="L37" s="606" t="str">
        <f>Translate!$A$257</f>
        <v>Ecoinvent v3.1</v>
      </c>
      <c r="M37" s="129" t="str">
        <f>Translate!$A$258</f>
        <v>Base carbone (v18.1)</v>
      </c>
      <c r="N37" s="607" t="str">
        <f>Translate!$A$260</f>
        <v>ICE V3</v>
      </c>
      <c r="P37" s="123">
        <v>938</v>
      </c>
      <c r="Q37" s="715"/>
      <c r="R37" s="715"/>
      <c r="S37" s="123">
        <v>1044</v>
      </c>
      <c r="T37" s="123">
        <f>T28</f>
        <v>2780</v>
      </c>
      <c r="U37" s="715"/>
      <c r="V37" s="715"/>
      <c r="W37" s="715"/>
      <c r="X37" s="715"/>
      <c r="Y37" s="715"/>
      <c r="Z37" s="714"/>
      <c r="AA37" s="682"/>
      <c r="AB37" s="117" t="str">
        <f>Translate!$A$101</f>
        <v>t</v>
      </c>
      <c r="AC37" s="127" t="str">
        <f>Translate!$A$520</f>
        <v>lb</v>
      </c>
    </row>
    <row r="38" spans="1:29">
      <c r="A38" s="116">
        <f t="shared" ca="1" si="6"/>
        <v>0</v>
      </c>
      <c r="C38" s="123" t="str">
        <f>C29&amp;Translate!$A$199</f>
        <v>Steel wires - recycled</v>
      </c>
      <c r="D38" s="126" t="str">
        <f>INDEX(AB38:AC38,MATCH($F$3,$AB$6:$AC$6,0))</f>
        <v>t</v>
      </c>
      <c r="E38" s="680">
        <f>IF(F38=H38,G38,INDEX(P38:Z38,MATCH($F38,$P$6:$Z$6,0)))/IF($F$3=$AC$6,VLOOKUP(D38,$E$410:$G$418,3,0),1)</f>
        <v>1015</v>
      </c>
      <c r="F38" s="123" t="str">
        <f>IF(ISBLANK(H38),INDEX(K38:N38,$D$4),H38)</f>
        <v>Ecoinvent v3.1</v>
      </c>
      <c r="G38" s="340"/>
      <c r="H38" s="340"/>
      <c r="I38" s="450" t="str">
        <f>Translate!$A$138</f>
        <v>Steel</v>
      </c>
      <c r="J38" s="373">
        <v>0.3</v>
      </c>
      <c r="K38" s="342" t="str">
        <f>Translate!$A$257</f>
        <v>Ecoinvent v3.1</v>
      </c>
      <c r="L38" s="606" t="str">
        <f>Translate!$A$257</f>
        <v>Ecoinvent v3.1</v>
      </c>
      <c r="M38" s="129" t="str">
        <f>Translate!$A$258</f>
        <v>Base carbone (v18.1)</v>
      </c>
      <c r="N38" s="607" t="str">
        <f>Translate!$A$260</f>
        <v>ICE V3</v>
      </c>
      <c r="P38" s="123">
        <v>938</v>
      </c>
      <c r="Q38" s="715"/>
      <c r="R38" s="715"/>
      <c r="S38" s="123">
        <v>1015</v>
      </c>
      <c r="T38" s="123">
        <f>T29</f>
        <v>2270</v>
      </c>
      <c r="U38" s="715"/>
      <c r="V38" s="715"/>
      <c r="W38" s="715"/>
      <c r="X38" s="715"/>
      <c r="Y38" s="715"/>
      <c r="Z38" s="714"/>
      <c r="AA38" s="682"/>
      <c r="AB38" s="117" t="str">
        <f>Translate!$A$101</f>
        <v>t</v>
      </c>
      <c r="AC38" s="127" t="str">
        <f>Translate!$A$520</f>
        <v>lb</v>
      </c>
    </row>
    <row r="39" spans="1:29">
      <c r="A39" s="116">
        <f t="shared" ca="1" si="6"/>
        <v>0</v>
      </c>
      <c r="B39" s="118"/>
      <c r="E39" s="230"/>
      <c r="J39" s="375"/>
      <c r="P39" s="718"/>
      <c r="Q39" s="718"/>
      <c r="R39" s="718"/>
      <c r="S39" s="718"/>
      <c r="T39" s="123"/>
      <c r="U39" s="718"/>
      <c r="V39" s="718"/>
      <c r="W39" s="718"/>
      <c r="X39" s="718"/>
      <c r="Y39" s="718"/>
      <c r="Z39" s="718"/>
    </row>
    <row r="40" spans="1:29" s="222" customFormat="1" ht="27.75" customHeight="1">
      <c r="A40" s="116">
        <f t="shared" ca="1" si="6"/>
        <v>0</v>
      </c>
      <c r="C40" s="226" t="str">
        <f>Translate!$A$105</f>
        <v>Energy</v>
      </c>
      <c r="D40" s="223"/>
      <c r="E40" s="231"/>
      <c r="F40" s="223"/>
      <c r="G40" s="223"/>
      <c r="H40" s="223"/>
      <c r="I40" s="370"/>
      <c r="J40" s="376"/>
      <c r="K40" s="223"/>
      <c r="L40" s="223"/>
      <c r="M40" s="223"/>
      <c r="N40" s="223"/>
      <c r="O40" s="221"/>
      <c r="P40" s="719"/>
      <c r="Q40" s="719"/>
      <c r="R40" s="719"/>
      <c r="S40" s="719"/>
      <c r="T40" s="719"/>
      <c r="U40" s="719"/>
      <c r="V40" s="719"/>
      <c r="W40" s="719"/>
      <c r="X40" s="719"/>
      <c r="Y40" s="719"/>
      <c r="Z40" s="719"/>
      <c r="AA40" s="664"/>
      <c r="AB40" s="225"/>
      <c r="AC40" s="225"/>
    </row>
    <row r="41" spans="1:29">
      <c r="A41" s="116">
        <f t="shared" ca="1" si="6"/>
        <v>0</v>
      </c>
      <c r="B41" s="118"/>
      <c r="C41" s="117" t="str">
        <f>Translate!$A$200</f>
        <v>Diesel</v>
      </c>
      <c r="D41" s="126" t="str">
        <f>INDEX(AB41:AC41,MATCH($F$3,$AB$6:$AC$6,0))</f>
        <v>liter</v>
      </c>
      <c r="E41" s="680">
        <f>IF(F41=H41,G41,INDEX(P41:Z41,MATCH($F41,$P$6:$Z$6,0)))/IF($F$3=$AC$6,VLOOKUP(D41,$E$410:$G$418,3,0),1)</f>
        <v>3.2112000000000003</v>
      </c>
      <c r="F41" s="123" t="str">
        <f>IF(ISBLANK(H41),INDEX(K41:N41,$D$4),H41)</f>
        <v>Defra 2019 (v1.3)</v>
      </c>
      <c r="G41" s="340"/>
      <c r="H41" s="340"/>
      <c r="I41" s="371"/>
      <c r="J41" s="121">
        <v>0.05</v>
      </c>
      <c r="K41" s="342" t="str">
        <f>Translate!$A$261</f>
        <v>Defra 2019 (v1.3)</v>
      </c>
      <c r="L41" s="606" t="str">
        <f>Translate!$A$532</f>
        <v>EPA</v>
      </c>
      <c r="M41" s="129" t="str">
        <f>Translate!$A$258</f>
        <v>Base carbone (v18.1)</v>
      </c>
      <c r="N41" s="342" t="str">
        <f>Translate!$A$261</f>
        <v>Defra 2019 (v1.3)</v>
      </c>
      <c r="P41" s="731">
        <v>3.17</v>
      </c>
      <c r="Q41" s="731">
        <f>2.59411+0.61709</f>
        <v>3.2112000000000003</v>
      </c>
      <c r="R41" s="715"/>
      <c r="S41" s="715"/>
      <c r="T41" s="715"/>
      <c r="U41" s="715"/>
      <c r="V41" s="735">
        <v>3</v>
      </c>
      <c r="W41" s="715"/>
      <c r="X41" s="715"/>
      <c r="Y41" s="123">
        <f>10.21/3.79</f>
        <v>2.6939313984168867</v>
      </c>
      <c r="Z41" s="715"/>
      <c r="AA41" s="118"/>
      <c r="AB41" s="117" t="str">
        <f>Translate!$A$238</f>
        <v>liter</v>
      </c>
      <c r="AC41" s="117" t="str">
        <f>Translate!$A$523</f>
        <v>gallon</v>
      </c>
    </row>
    <row r="42" spans="1:29">
      <c r="A42" s="116">
        <f t="shared" ca="1" si="6"/>
        <v>0</v>
      </c>
      <c r="B42" s="118"/>
      <c r="C42" s="117" t="str">
        <f>Translate!$A$201</f>
        <v>Heavy fuel oil</v>
      </c>
      <c r="D42" s="126" t="str">
        <f>INDEX(AB42:AC42,MATCH($F$3,$AB$6:$AC$6,0))</f>
        <v>liter</v>
      </c>
      <c r="E42" s="680">
        <f>IF(F42=H42,G42,INDEX(P42:Z42,MATCH($F42,$P$6:$Z$6,0)))/IF($F$3=$AC$6,VLOOKUP(D42,$E$410:$G$418,3,0),1)</f>
        <v>3.7822900000000002</v>
      </c>
      <c r="F42" s="123" t="str">
        <f>IF(ISBLANK(H42),INDEX(K42:N42,$D$4),H42)</f>
        <v>Defra 2019 (v1.3)</v>
      </c>
      <c r="G42" s="340"/>
      <c r="H42" s="340"/>
      <c r="I42" s="371"/>
      <c r="J42" s="121">
        <v>0.05</v>
      </c>
      <c r="K42" s="342" t="str">
        <f>Translate!$A$261</f>
        <v>Defra 2019 (v1.3)</v>
      </c>
      <c r="L42" s="606" t="str">
        <f>Translate!$A$532</f>
        <v>EPA</v>
      </c>
      <c r="M42" s="129" t="str">
        <f>Translate!$A$258</f>
        <v>Base carbone (v18.1)</v>
      </c>
      <c r="N42" s="342" t="str">
        <f>Translate!$A$261</f>
        <v>Defra 2019 (v1.3)</v>
      </c>
      <c r="P42" s="731">
        <v>3.2490000000000001</v>
      </c>
      <c r="Q42" s="731">
        <f>3.17966+0.60263</f>
        <v>3.7822900000000002</v>
      </c>
      <c r="R42" s="715"/>
      <c r="S42" s="715"/>
      <c r="T42" s="715"/>
      <c r="U42" s="715"/>
      <c r="V42" s="735">
        <v>3</v>
      </c>
      <c r="W42" s="715"/>
      <c r="X42" s="715"/>
      <c r="Y42" s="123">
        <f>11.09/3.79</f>
        <v>2.9261213720316621</v>
      </c>
      <c r="Z42" s="715"/>
      <c r="AA42" s="118"/>
      <c r="AB42" s="117" t="str">
        <f>Translate!$A$238</f>
        <v>liter</v>
      </c>
      <c r="AC42" s="117" t="str">
        <f>Translate!$A$523</f>
        <v>gallon</v>
      </c>
    </row>
    <row r="43" spans="1:29" ht="15.75">
      <c r="A43" s="116">
        <f ca="1">IF(AND(ISBLANK(C43),ISBLANK(G43)),OFFSET(A43,-1,0),OFFSET(A43,-1,0)+1)</f>
        <v>0</v>
      </c>
      <c r="B43" s="118"/>
      <c r="C43" s="343"/>
      <c r="D43" s="343"/>
      <c r="E43" s="229">
        <f>G43</f>
        <v>0</v>
      </c>
      <c r="F43" s="123">
        <f>H43</f>
        <v>0</v>
      </c>
      <c r="G43" s="276"/>
      <c r="H43" s="276"/>
      <c r="I43" s="371"/>
      <c r="J43" s="374"/>
      <c r="P43" s="718"/>
      <c r="Q43" s="718"/>
      <c r="R43" s="718"/>
      <c r="S43" s="718"/>
      <c r="T43" s="718"/>
      <c r="U43" s="718"/>
      <c r="V43" s="718"/>
      <c r="W43" s="718"/>
      <c r="X43" s="718"/>
      <c r="Y43" s="730"/>
      <c r="Z43" s="718"/>
    </row>
    <row r="44" spans="1:29" ht="15.75">
      <c r="A44" s="116">
        <f ca="1">IF(AND(ISBLANK(C44),ISBLANK(G44)),OFFSET(A44,-1,0),OFFSET(A44,-1,0)+1)</f>
        <v>0</v>
      </c>
      <c r="B44" s="118"/>
      <c r="C44" s="343"/>
      <c r="D44" s="343"/>
      <c r="E44" s="229">
        <f>G44</f>
        <v>0</v>
      </c>
      <c r="F44" s="123">
        <f>H44</f>
        <v>0</v>
      </c>
      <c r="G44" s="276"/>
      <c r="H44" s="276"/>
      <c r="I44" s="371"/>
      <c r="J44" s="374"/>
      <c r="P44" s="718"/>
      <c r="Q44" s="718"/>
      <c r="R44" s="718"/>
      <c r="S44" s="718"/>
      <c r="T44" s="718"/>
      <c r="U44" s="718"/>
      <c r="V44" s="718"/>
      <c r="W44" s="718"/>
      <c r="X44" s="718"/>
      <c r="Y44" s="730"/>
      <c r="Z44" s="718"/>
    </row>
    <row r="45" spans="1:29" collapsed="1">
      <c r="B45" s="118"/>
      <c r="C45" s="239" t="str">
        <f>Translate!$A$202</f>
        <v>Electricity</v>
      </c>
      <c r="D45" s="240"/>
      <c r="E45" s="241"/>
      <c r="F45" s="242"/>
      <c r="G45" s="243"/>
      <c r="H45" s="243"/>
      <c r="I45" s="371"/>
      <c r="J45" s="377">
        <v>0.1</v>
      </c>
      <c r="K45" s="244"/>
      <c r="L45" s="245"/>
      <c r="M45" s="244"/>
      <c r="N45" s="245"/>
      <c r="P45" s="715"/>
      <c r="Q45" s="715"/>
      <c r="R45" s="715"/>
      <c r="S45" s="715"/>
      <c r="T45" s="715"/>
      <c r="U45" s="715"/>
      <c r="V45" s="715"/>
      <c r="W45" s="715"/>
      <c r="X45" s="715"/>
      <c r="Y45" s="123"/>
      <c r="Z45" s="715"/>
      <c r="AA45" s="118"/>
      <c r="AB45" s="117"/>
      <c r="AC45" s="117"/>
    </row>
    <row r="46" spans="1:29" hidden="1" outlineLevel="1">
      <c r="B46" s="118"/>
      <c r="C46" s="237" t="s">
        <v>118</v>
      </c>
      <c r="D46" s="120">
        <v>0.03</v>
      </c>
      <c r="E46" s="228"/>
      <c r="F46" s="123"/>
      <c r="G46" s="98"/>
      <c r="H46" s="98"/>
      <c r="I46" s="98"/>
      <c r="J46" s="377">
        <v>0.1</v>
      </c>
      <c r="K46" s="129"/>
      <c r="L46" s="123"/>
      <c r="M46" s="129"/>
      <c r="N46" s="123"/>
      <c r="P46" s="715"/>
      <c r="Q46" s="715"/>
      <c r="R46" s="715"/>
      <c r="S46" s="715"/>
      <c r="T46" s="715"/>
      <c r="U46" s="715"/>
      <c r="V46" s="715"/>
      <c r="W46" s="715"/>
      <c r="X46" s="715"/>
      <c r="Y46" s="123"/>
      <c r="Z46" s="715"/>
      <c r="AA46" s="118"/>
      <c r="AB46" s="117">
        <v>0.03</v>
      </c>
      <c r="AC46" s="117"/>
    </row>
    <row r="47" spans="1:29" ht="105" hidden="1" outlineLevel="1">
      <c r="A47" s="116">
        <f t="shared" ref="A47:A78" ca="1" si="7">IF(ISBLANK(H47),OFFSET(A47,-1,0),OFFSET(A47,-1,0)+1)</f>
        <v>0</v>
      </c>
      <c r="B47" s="118"/>
      <c r="C47" s="117" t="s">
        <v>2596</v>
      </c>
      <c r="D47" s="126" t="str">
        <f t="shared" ref="D47:D110" si="8">INDEX(AB47:AC47,MATCH($F$3,$AB$6:$AC$6,0))</f>
        <v>kWh</v>
      </c>
      <c r="E47" s="452">
        <f t="shared" ref="E47:E78" si="9">IF(F47=H47,G47,INDEX(P47:AD47,MATCH($F47,$P$6:$AD$6,0)))</f>
        <v>0.2249678978253366</v>
      </c>
      <c r="F47" s="123" t="str">
        <f t="shared" ref="F47:F78" si="10">IF(ISBLANK(H47),INDEX(K47:N47,$D$4),H47)</f>
        <v>CO2 emissions for electricity 2017 including losses&amp;WTT</v>
      </c>
      <c r="G47" s="98"/>
      <c r="H47" s="98"/>
      <c r="I47" s="98"/>
      <c r="J47" s="377">
        <v>0.1</v>
      </c>
      <c r="K47" s="129" t="str">
        <f>Translate!$A$267</f>
        <v>CO2 emissions for electricity 2017 including losses&amp;WTT</v>
      </c>
      <c r="L47" s="129" t="str">
        <f>Translate!$A$267</f>
        <v>CO2 emissions for electricity 2017 including losses&amp;WTT</v>
      </c>
      <c r="M47" s="129" t="str">
        <f>Translate!$A$267</f>
        <v>CO2 emissions for electricity 2017 including losses&amp;WTT</v>
      </c>
      <c r="N47" s="129" t="str">
        <f>Translate!$A$267</f>
        <v>CO2 emissions for electricity 2017 including losses&amp;WTT</v>
      </c>
      <c r="P47" s="715"/>
      <c r="Q47" s="715"/>
      <c r="R47" s="715"/>
      <c r="S47" s="715"/>
      <c r="T47" s="715"/>
      <c r="U47" s="715"/>
      <c r="V47" s="715"/>
      <c r="W47" s="721"/>
      <c r="X47" s="732">
        <v>0.2249678978253366</v>
      </c>
      <c r="Y47" s="228"/>
      <c r="Z47" s="717"/>
      <c r="AA47" s="665"/>
      <c r="AB47" s="228" t="s">
        <v>45</v>
      </c>
      <c r="AC47" s="228" t="s">
        <v>45</v>
      </c>
    </row>
    <row r="48" spans="1:29" ht="105" hidden="1" outlineLevel="1">
      <c r="A48" s="116">
        <f t="shared" ca="1" si="7"/>
        <v>0</v>
      </c>
      <c r="B48" s="118"/>
      <c r="C48" s="117" t="s">
        <v>2597</v>
      </c>
      <c r="D48" s="126" t="str">
        <f t="shared" si="8"/>
        <v>kWh</v>
      </c>
      <c r="E48" s="452">
        <f t="shared" si="9"/>
        <v>0.24574832336944308</v>
      </c>
      <c r="F48" s="123" t="str">
        <f t="shared" si="10"/>
        <v>CO2 emissions for electricity 2017 including losses&amp;WTT</v>
      </c>
      <c r="G48" s="98"/>
      <c r="H48" s="98"/>
      <c r="I48" s="98"/>
      <c r="J48" s="377">
        <v>0.1</v>
      </c>
      <c r="K48" s="129" t="str">
        <f>Translate!$A$267</f>
        <v>CO2 emissions for electricity 2017 including losses&amp;WTT</v>
      </c>
      <c r="L48" s="129" t="str">
        <f>Translate!$A$267</f>
        <v>CO2 emissions for electricity 2017 including losses&amp;WTT</v>
      </c>
      <c r="M48" s="129" t="str">
        <f>Translate!$A$267</f>
        <v>CO2 emissions for electricity 2017 including losses&amp;WTT</v>
      </c>
      <c r="N48" s="129" t="str">
        <f>Translate!$A$267</f>
        <v>CO2 emissions for electricity 2017 including losses&amp;WTT</v>
      </c>
      <c r="P48" s="715"/>
      <c r="Q48" s="715"/>
      <c r="R48" s="715"/>
      <c r="S48" s="715"/>
      <c r="T48" s="715"/>
      <c r="U48" s="715"/>
      <c r="V48" s="715"/>
      <c r="W48" s="721"/>
      <c r="X48" s="732">
        <v>0.24574832336944308</v>
      </c>
      <c r="Y48" s="228"/>
      <c r="Z48" s="717"/>
      <c r="AA48" s="665"/>
      <c r="AB48" s="228" t="s">
        <v>45</v>
      </c>
      <c r="AC48" s="228" t="s">
        <v>45</v>
      </c>
    </row>
    <row r="49" spans="1:29" ht="105" hidden="1" outlineLevel="1">
      <c r="A49" s="116">
        <f t="shared" ca="1" si="7"/>
        <v>0</v>
      </c>
      <c r="B49" s="118"/>
      <c r="C49" s="117" t="s">
        <v>2598</v>
      </c>
      <c r="D49" s="126" t="str">
        <f t="shared" si="8"/>
        <v>kWh</v>
      </c>
      <c r="E49" s="452">
        <f t="shared" si="9"/>
        <v>0.59581421530985323</v>
      </c>
      <c r="F49" s="123" t="str">
        <f t="shared" si="10"/>
        <v>CO2 emissions for electricity 2017 including losses&amp;WTT</v>
      </c>
      <c r="G49" s="98"/>
      <c r="H49" s="98"/>
      <c r="I49" s="98"/>
      <c r="J49" s="377">
        <v>0.1</v>
      </c>
      <c r="K49" s="129" t="str">
        <f>Translate!$A$267</f>
        <v>CO2 emissions for electricity 2017 including losses&amp;WTT</v>
      </c>
      <c r="L49" s="129" t="str">
        <f>Translate!$A$267</f>
        <v>CO2 emissions for electricity 2017 including losses&amp;WTT</v>
      </c>
      <c r="M49" s="129" t="str">
        <f>Translate!$A$267</f>
        <v>CO2 emissions for electricity 2017 including losses&amp;WTT</v>
      </c>
      <c r="N49" s="129" t="str">
        <f>Translate!$A$267</f>
        <v>CO2 emissions for electricity 2017 including losses&amp;WTT</v>
      </c>
      <c r="P49" s="715"/>
      <c r="Q49" s="715"/>
      <c r="R49" s="715"/>
      <c r="S49" s="715"/>
      <c r="T49" s="715"/>
      <c r="U49" s="715"/>
      <c r="V49" s="715"/>
      <c r="W49" s="721"/>
      <c r="X49" s="732">
        <v>0.59581421530985323</v>
      </c>
      <c r="Y49" s="228"/>
      <c r="Z49" s="717"/>
      <c r="AA49" s="665"/>
      <c r="AB49" s="228" t="s">
        <v>45</v>
      </c>
      <c r="AC49" s="228" t="s">
        <v>45</v>
      </c>
    </row>
    <row r="50" spans="1:29" ht="105" hidden="1" outlineLevel="1">
      <c r="A50" s="116">
        <f t="shared" ca="1" si="7"/>
        <v>0</v>
      </c>
      <c r="B50" s="118"/>
      <c r="C50" s="117" t="s">
        <v>2599</v>
      </c>
      <c r="D50" s="126" t="str">
        <f t="shared" si="8"/>
        <v>kWh</v>
      </c>
      <c r="E50" s="452">
        <f t="shared" si="9"/>
        <v>0.26609976439712502</v>
      </c>
      <c r="F50" s="123" t="str">
        <f t="shared" si="10"/>
        <v>CO2 emissions for electricity 2017 including losses&amp;WTT</v>
      </c>
      <c r="G50" s="98"/>
      <c r="H50" s="98"/>
      <c r="I50" s="98"/>
      <c r="J50" s="377">
        <v>0.1</v>
      </c>
      <c r="K50" s="129" t="str">
        <f>Translate!$A$267</f>
        <v>CO2 emissions for electricity 2017 including losses&amp;WTT</v>
      </c>
      <c r="L50" s="129" t="str">
        <f>Translate!$A$267</f>
        <v>CO2 emissions for electricity 2017 including losses&amp;WTT</v>
      </c>
      <c r="M50" s="129" t="str">
        <f>Translate!$A$267</f>
        <v>CO2 emissions for electricity 2017 including losses&amp;WTT</v>
      </c>
      <c r="N50" s="129" t="str">
        <f>Translate!$A$267</f>
        <v>CO2 emissions for electricity 2017 including losses&amp;WTT</v>
      </c>
      <c r="P50" s="715"/>
      <c r="Q50" s="715"/>
      <c r="R50" s="715"/>
      <c r="S50" s="715"/>
      <c r="T50" s="715"/>
      <c r="U50" s="715"/>
      <c r="V50" s="715"/>
      <c r="W50" s="721"/>
      <c r="X50" s="732">
        <v>0.26609976439712502</v>
      </c>
      <c r="Y50" s="228"/>
      <c r="Z50" s="717"/>
      <c r="AA50" s="665"/>
      <c r="AB50" s="228" t="s">
        <v>45</v>
      </c>
      <c r="AC50" s="228" t="s">
        <v>45</v>
      </c>
    </row>
    <row r="51" spans="1:29" ht="105" hidden="1" outlineLevel="1">
      <c r="A51" s="116">
        <f t="shared" ca="1" si="7"/>
        <v>0</v>
      </c>
      <c r="B51" s="118"/>
      <c r="C51" s="117" t="s">
        <v>2600</v>
      </c>
      <c r="D51" s="126" t="str">
        <f t="shared" si="8"/>
        <v>kWh</v>
      </c>
      <c r="E51" s="452">
        <f t="shared" si="9"/>
        <v>1.0149864918736584</v>
      </c>
      <c r="F51" s="123" t="str">
        <f t="shared" si="10"/>
        <v>CO2 emissions for electricity 2017 including losses&amp;WTT</v>
      </c>
      <c r="G51" s="98"/>
      <c r="H51" s="98"/>
      <c r="I51" s="98"/>
      <c r="J51" s="377">
        <v>0.1</v>
      </c>
      <c r="K51" s="129" t="str">
        <f>Translate!$A$267</f>
        <v>CO2 emissions for electricity 2017 including losses&amp;WTT</v>
      </c>
      <c r="L51" s="129" t="str">
        <f>Translate!$A$267</f>
        <v>CO2 emissions for electricity 2017 including losses&amp;WTT</v>
      </c>
      <c r="M51" s="129" t="str">
        <f>Translate!$A$267</f>
        <v>CO2 emissions for electricity 2017 including losses&amp;WTT</v>
      </c>
      <c r="N51" s="129" t="str">
        <f>Translate!$A$267</f>
        <v>CO2 emissions for electricity 2017 including losses&amp;WTT</v>
      </c>
      <c r="P51" s="715"/>
      <c r="Q51" s="715"/>
      <c r="R51" s="715"/>
      <c r="S51" s="715"/>
      <c r="T51" s="715"/>
      <c r="U51" s="715"/>
      <c r="V51" s="715"/>
      <c r="W51" s="721"/>
      <c r="X51" s="732">
        <v>1.0149864918736584</v>
      </c>
      <c r="Y51" s="228"/>
      <c r="Z51" s="717"/>
      <c r="AA51" s="665"/>
      <c r="AB51" s="228" t="s">
        <v>45</v>
      </c>
      <c r="AC51" s="228" t="s">
        <v>45</v>
      </c>
    </row>
    <row r="52" spans="1:29" ht="105" hidden="1" outlineLevel="1">
      <c r="A52" s="116">
        <f t="shared" ca="1" si="7"/>
        <v>0</v>
      </c>
      <c r="B52" s="118"/>
      <c r="C52" s="117" t="s">
        <v>2601</v>
      </c>
      <c r="D52" s="126" t="str">
        <f t="shared" si="8"/>
        <v>kWh</v>
      </c>
      <c r="E52" s="452">
        <f t="shared" si="9"/>
        <v>0.19231410359146206</v>
      </c>
      <c r="F52" s="123" t="str">
        <f t="shared" si="10"/>
        <v>CO2 emissions for electricity 2017 including losses&amp;WTT</v>
      </c>
      <c r="G52" s="98"/>
      <c r="H52" s="98"/>
      <c r="I52" s="98"/>
      <c r="J52" s="377">
        <v>0.1</v>
      </c>
      <c r="K52" s="129" t="str">
        <f>Translate!$A$267</f>
        <v>CO2 emissions for electricity 2017 including losses&amp;WTT</v>
      </c>
      <c r="L52" s="129" t="str">
        <f>Translate!$A$267</f>
        <v>CO2 emissions for electricity 2017 including losses&amp;WTT</v>
      </c>
      <c r="M52" s="129" t="str">
        <f>Translate!$A$267</f>
        <v>CO2 emissions for electricity 2017 including losses&amp;WTT</v>
      </c>
      <c r="N52" s="129" t="str">
        <f>Translate!$A$267</f>
        <v>CO2 emissions for electricity 2017 including losses&amp;WTT</v>
      </c>
      <c r="P52" s="715"/>
      <c r="Q52" s="715"/>
      <c r="R52" s="715"/>
      <c r="S52" s="715"/>
      <c r="T52" s="715"/>
      <c r="U52" s="715"/>
      <c r="V52" s="715"/>
      <c r="W52" s="721"/>
      <c r="X52" s="732">
        <v>0.19231410359146206</v>
      </c>
      <c r="Y52" s="228"/>
      <c r="Z52" s="717"/>
      <c r="AA52" s="665"/>
      <c r="AB52" s="228" t="s">
        <v>45</v>
      </c>
      <c r="AC52" s="228" t="s">
        <v>45</v>
      </c>
    </row>
    <row r="53" spans="1:29" ht="105" hidden="1" outlineLevel="1">
      <c r="A53" s="116">
        <f t="shared" ca="1" si="7"/>
        <v>0</v>
      </c>
      <c r="B53" s="118"/>
      <c r="C53" s="117" t="s">
        <v>2602</v>
      </c>
      <c r="D53" s="126" t="str">
        <f t="shared" si="8"/>
        <v>kWh</v>
      </c>
      <c r="E53" s="452">
        <f t="shared" si="9"/>
        <v>5.7099999999999998E-2</v>
      </c>
      <c r="F53" s="123" t="str">
        <f t="shared" si="10"/>
        <v>CO2 emissions for electricity 2017 including losses&amp;WTT</v>
      </c>
      <c r="G53" s="98"/>
      <c r="H53" s="98"/>
      <c r="I53" s="98"/>
      <c r="J53" s="377">
        <v>0.1</v>
      </c>
      <c r="K53" s="129" t="str">
        <f>Translate!$A$267</f>
        <v>CO2 emissions for electricity 2017 including losses&amp;WTT</v>
      </c>
      <c r="L53" s="129" t="str">
        <f>Translate!$A$267</f>
        <v>CO2 emissions for electricity 2017 including losses&amp;WTT</v>
      </c>
      <c r="M53" s="129" t="str">
        <f>Translate!$A$267</f>
        <v>CO2 emissions for electricity 2017 including losses&amp;WTT</v>
      </c>
      <c r="N53" s="129" t="str">
        <f>Translate!$A$267</f>
        <v>CO2 emissions for electricity 2017 including losses&amp;WTT</v>
      </c>
      <c r="P53" s="715"/>
      <c r="Q53" s="715"/>
      <c r="R53" s="715"/>
      <c r="S53" s="715"/>
      <c r="T53" s="715"/>
      <c r="U53" s="715"/>
      <c r="V53" s="715"/>
      <c r="W53" s="721"/>
      <c r="X53" s="732">
        <v>5.7099999999999998E-2</v>
      </c>
      <c r="Y53" s="228"/>
      <c r="Z53" s="717"/>
      <c r="AA53" s="665"/>
      <c r="AB53" s="228" t="s">
        <v>45</v>
      </c>
      <c r="AC53" s="228" t="s">
        <v>45</v>
      </c>
    </row>
    <row r="54" spans="1:29" ht="105" hidden="1" outlineLevel="1">
      <c r="A54" s="116">
        <f t="shared" ca="1" si="7"/>
        <v>0</v>
      </c>
      <c r="B54" s="118"/>
      <c r="C54" s="117" t="s">
        <v>2603</v>
      </c>
      <c r="D54" s="126" t="str">
        <f t="shared" si="8"/>
        <v>kWh</v>
      </c>
      <c r="E54" s="452">
        <f t="shared" si="9"/>
        <v>0.51951288274140772</v>
      </c>
      <c r="F54" s="123" t="str">
        <f t="shared" si="10"/>
        <v>CO2 emissions for electricity 2017 including losses&amp;WTT</v>
      </c>
      <c r="G54" s="98"/>
      <c r="H54" s="98"/>
      <c r="I54" s="98"/>
      <c r="J54" s="377">
        <v>0.1</v>
      </c>
      <c r="K54" s="129" t="str">
        <f>Translate!$A$267</f>
        <v>CO2 emissions for electricity 2017 including losses&amp;WTT</v>
      </c>
      <c r="L54" s="129" t="str">
        <f>Translate!$A$267</f>
        <v>CO2 emissions for electricity 2017 including losses&amp;WTT</v>
      </c>
      <c r="M54" s="129" t="str">
        <f>Translate!$A$267</f>
        <v>CO2 emissions for electricity 2017 including losses&amp;WTT</v>
      </c>
      <c r="N54" s="129" t="str">
        <f>Translate!$A$267</f>
        <v>CO2 emissions for electricity 2017 including losses&amp;WTT</v>
      </c>
      <c r="P54" s="715"/>
      <c r="Q54" s="715"/>
      <c r="R54" s="715"/>
      <c r="S54" s="715"/>
      <c r="T54" s="715"/>
      <c r="U54" s="715"/>
      <c r="V54" s="715"/>
      <c r="W54" s="721"/>
      <c r="X54" s="732">
        <v>0.51951288274140772</v>
      </c>
      <c r="Y54" s="228"/>
      <c r="Z54" s="717"/>
      <c r="AA54" s="665"/>
      <c r="AB54" s="228" t="s">
        <v>45</v>
      </c>
      <c r="AC54" s="228" t="s">
        <v>45</v>
      </c>
    </row>
    <row r="55" spans="1:29" ht="105" hidden="1" outlineLevel="1">
      <c r="A55" s="116">
        <f t="shared" ca="1" si="7"/>
        <v>0</v>
      </c>
      <c r="B55" s="118"/>
      <c r="C55" s="117" t="s">
        <v>2604</v>
      </c>
      <c r="D55" s="126" t="str">
        <f t="shared" si="8"/>
        <v>kWh</v>
      </c>
      <c r="E55" s="452">
        <f t="shared" si="9"/>
        <v>0.61877913726341693</v>
      </c>
      <c r="F55" s="123" t="str">
        <f t="shared" si="10"/>
        <v>CO2 emissions for electricity 2017 including losses&amp;WTT</v>
      </c>
      <c r="G55" s="98"/>
      <c r="H55" s="98"/>
      <c r="I55" s="98"/>
      <c r="J55" s="377">
        <v>0.1</v>
      </c>
      <c r="K55" s="129" t="str">
        <f>Translate!$A$267</f>
        <v>CO2 emissions for electricity 2017 including losses&amp;WTT</v>
      </c>
      <c r="L55" s="129" t="str">
        <f>Translate!$A$267</f>
        <v>CO2 emissions for electricity 2017 including losses&amp;WTT</v>
      </c>
      <c r="M55" s="129" t="str">
        <f>Translate!$A$267</f>
        <v>CO2 emissions for electricity 2017 including losses&amp;WTT</v>
      </c>
      <c r="N55" s="129" t="str">
        <f>Translate!$A$267</f>
        <v>CO2 emissions for electricity 2017 including losses&amp;WTT</v>
      </c>
      <c r="P55" s="715"/>
      <c r="Q55" s="715"/>
      <c r="R55" s="715"/>
      <c r="S55" s="715"/>
      <c r="T55" s="715"/>
      <c r="U55" s="715"/>
      <c r="V55" s="715"/>
      <c r="W55" s="721"/>
      <c r="X55" s="732">
        <v>0.61877913726341693</v>
      </c>
      <c r="Y55" s="228"/>
      <c r="Z55" s="717"/>
      <c r="AA55" s="665"/>
      <c r="AB55" s="228" t="s">
        <v>45</v>
      </c>
      <c r="AC55" s="228" t="s">
        <v>45</v>
      </c>
    </row>
    <row r="56" spans="1:29" ht="105" hidden="1" outlineLevel="1">
      <c r="A56" s="116">
        <f t="shared" ca="1" si="7"/>
        <v>0</v>
      </c>
      <c r="B56" s="118"/>
      <c r="C56" s="117" t="s">
        <v>2605</v>
      </c>
      <c r="D56" s="126" t="str">
        <f t="shared" si="8"/>
        <v>kWh</v>
      </c>
      <c r="E56" s="452">
        <f t="shared" si="9"/>
        <v>0.35139777229213076</v>
      </c>
      <c r="F56" s="123" t="str">
        <f t="shared" si="10"/>
        <v>CO2 emissions for electricity 2017 including losses&amp;WTT</v>
      </c>
      <c r="G56" s="98"/>
      <c r="H56" s="98"/>
      <c r="I56" s="98"/>
      <c r="J56" s="377">
        <v>0.1</v>
      </c>
      <c r="K56" s="129" t="str">
        <f>Translate!$A$267</f>
        <v>CO2 emissions for electricity 2017 including losses&amp;WTT</v>
      </c>
      <c r="L56" s="129" t="str">
        <f>Translate!$A$267</f>
        <v>CO2 emissions for electricity 2017 including losses&amp;WTT</v>
      </c>
      <c r="M56" s="129" t="str">
        <f>Translate!$A$267</f>
        <v>CO2 emissions for electricity 2017 including losses&amp;WTT</v>
      </c>
      <c r="N56" s="129" t="str">
        <f>Translate!$A$267</f>
        <v>CO2 emissions for electricity 2017 including losses&amp;WTT</v>
      </c>
      <c r="P56" s="715"/>
      <c r="Q56" s="715"/>
      <c r="R56" s="715"/>
      <c r="S56" s="715"/>
      <c r="T56" s="715"/>
      <c r="U56" s="715"/>
      <c r="V56" s="715"/>
      <c r="W56" s="721"/>
      <c r="X56" s="732">
        <v>0.35139777229213076</v>
      </c>
      <c r="Y56" s="228"/>
      <c r="Z56" s="717"/>
      <c r="AA56" s="665"/>
      <c r="AB56" s="228" t="s">
        <v>45</v>
      </c>
      <c r="AC56" s="228" t="s">
        <v>45</v>
      </c>
    </row>
    <row r="57" spans="1:29" ht="105" hidden="1" outlineLevel="1">
      <c r="A57" s="116">
        <f t="shared" ca="1" si="7"/>
        <v>0</v>
      </c>
      <c r="B57" s="118"/>
      <c r="C57" s="117" t="s">
        <v>2606</v>
      </c>
      <c r="D57" s="126" t="str">
        <f t="shared" si="8"/>
        <v>kWh</v>
      </c>
      <c r="E57" s="452">
        <f t="shared" si="9"/>
        <v>2.6096517490514063E-2</v>
      </c>
      <c r="F57" s="123" t="str">
        <f t="shared" si="10"/>
        <v>CO2 emissions for electricity 2017 including losses&amp;WTT</v>
      </c>
      <c r="G57" s="98"/>
      <c r="H57" s="98"/>
      <c r="I57" s="98"/>
      <c r="J57" s="377">
        <v>0.1</v>
      </c>
      <c r="K57" s="129" t="str">
        <f>Translate!$A$267</f>
        <v>CO2 emissions for electricity 2017 including losses&amp;WTT</v>
      </c>
      <c r="L57" s="129" t="str">
        <f>Translate!$A$267</f>
        <v>CO2 emissions for electricity 2017 including losses&amp;WTT</v>
      </c>
      <c r="M57" s="129" t="str">
        <f>Translate!$A$267</f>
        <v>CO2 emissions for electricity 2017 including losses&amp;WTT</v>
      </c>
      <c r="N57" s="129" t="str">
        <f>Translate!$A$267</f>
        <v>CO2 emissions for electricity 2017 including losses&amp;WTT</v>
      </c>
      <c r="P57" s="715"/>
      <c r="Q57" s="715"/>
      <c r="R57" s="715"/>
      <c r="S57" s="715"/>
      <c r="T57" s="715"/>
      <c r="U57" s="715"/>
      <c r="V57" s="715"/>
      <c r="W57" s="721"/>
      <c r="X57" s="732">
        <v>2.6096517490514063E-2</v>
      </c>
      <c r="Y57" s="228"/>
      <c r="Z57" s="717"/>
      <c r="AA57" s="665"/>
      <c r="AB57" s="228" t="s">
        <v>45</v>
      </c>
      <c r="AC57" s="228" t="s">
        <v>45</v>
      </c>
    </row>
    <row r="58" spans="1:29" ht="105" hidden="1" outlineLevel="1">
      <c r="A58" s="116">
        <f t="shared" ca="1" si="7"/>
        <v>0</v>
      </c>
      <c r="B58" s="118"/>
      <c r="C58" s="117" t="s">
        <v>2607</v>
      </c>
      <c r="D58" s="126" t="str">
        <f t="shared" si="8"/>
        <v>kWh</v>
      </c>
      <c r="E58" s="452">
        <f t="shared" si="9"/>
        <v>0.48193753989531468</v>
      </c>
      <c r="F58" s="123" t="str">
        <f t="shared" si="10"/>
        <v>CO2 emissions for electricity 2017 including losses&amp;WTT</v>
      </c>
      <c r="G58" s="98"/>
      <c r="H58" s="98"/>
      <c r="I58" s="98"/>
      <c r="J58" s="377">
        <v>0.1</v>
      </c>
      <c r="K58" s="129" t="str">
        <f>Translate!$A$267</f>
        <v>CO2 emissions for electricity 2017 including losses&amp;WTT</v>
      </c>
      <c r="L58" s="129" t="str">
        <f>Translate!$A$267</f>
        <v>CO2 emissions for electricity 2017 including losses&amp;WTT</v>
      </c>
      <c r="M58" s="129" t="str">
        <f>Translate!$A$267</f>
        <v>CO2 emissions for electricity 2017 including losses&amp;WTT</v>
      </c>
      <c r="N58" s="129" t="str">
        <f>Translate!$A$267</f>
        <v>CO2 emissions for electricity 2017 including losses&amp;WTT</v>
      </c>
      <c r="P58" s="715"/>
      <c r="Q58" s="715"/>
      <c r="R58" s="715"/>
      <c r="S58" s="715"/>
      <c r="T58" s="715"/>
      <c r="U58" s="715"/>
      <c r="V58" s="715"/>
      <c r="W58" s="721"/>
      <c r="X58" s="732">
        <v>0.48193753989531468</v>
      </c>
      <c r="Y58" s="228"/>
      <c r="Z58" s="717"/>
      <c r="AA58" s="665"/>
      <c r="AB58" s="228" t="s">
        <v>45</v>
      </c>
      <c r="AC58" s="228" t="s">
        <v>45</v>
      </c>
    </row>
    <row r="59" spans="1:29" ht="105" hidden="1" outlineLevel="1">
      <c r="A59" s="116">
        <f t="shared" ca="1" si="7"/>
        <v>0</v>
      </c>
      <c r="B59" s="118"/>
      <c r="C59" s="117" t="s">
        <v>2608</v>
      </c>
      <c r="D59" s="126" t="str">
        <f t="shared" si="8"/>
        <v>kWh</v>
      </c>
      <c r="E59" s="452">
        <f t="shared" si="9"/>
        <v>0.43505834626109335</v>
      </c>
      <c r="F59" s="123" t="str">
        <f t="shared" si="10"/>
        <v>CO2 emissions for electricity 2017 including losses&amp;WTT</v>
      </c>
      <c r="G59" s="98"/>
      <c r="H59" s="98"/>
      <c r="I59" s="98"/>
      <c r="J59" s="377">
        <v>0.1</v>
      </c>
      <c r="K59" s="129" t="str">
        <f>Translate!$A$267</f>
        <v>CO2 emissions for electricity 2017 including losses&amp;WTT</v>
      </c>
      <c r="L59" s="129" t="str">
        <f>Translate!$A$267</f>
        <v>CO2 emissions for electricity 2017 including losses&amp;WTT</v>
      </c>
      <c r="M59" s="129" t="str">
        <f>Translate!$A$267</f>
        <v>CO2 emissions for electricity 2017 including losses&amp;WTT</v>
      </c>
      <c r="N59" s="129" t="str">
        <f>Translate!$A$267</f>
        <v>CO2 emissions for electricity 2017 including losses&amp;WTT</v>
      </c>
      <c r="P59" s="715"/>
      <c r="Q59" s="715"/>
      <c r="R59" s="715"/>
      <c r="S59" s="715"/>
      <c r="T59" s="715"/>
      <c r="U59" s="715"/>
      <c r="V59" s="715"/>
      <c r="W59" s="721"/>
      <c r="X59" s="732">
        <v>0.43505834626109335</v>
      </c>
      <c r="Y59" s="228"/>
      <c r="Z59" s="717"/>
      <c r="AA59" s="665"/>
      <c r="AB59" s="228" t="s">
        <v>45</v>
      </c>
      <c r="AC59" s="228" t="s">
        <v>45</v>
      </c>
    </row>
    <row r="60" spans="1:29" ht="105" hidden="1" outlineLevel="1">
      <c r="A60" s="116">
        <f t="shared" ca="1" si="7"/>
        <v>0</v>
      </c>
      <c r="B60" s="118"/>
      <c r="C60" s="117" t="s">
        <v>2609</v>
      </c>
      <c r="D60" s="126" t="str">
        <f t="shared" si="8"/>
        <v>kWh</v>
      </c>
      <c r="E60" s="452">
        <f t="shared" si="9"/>
        <v>0.24762349272349271</v>
      </c>
      <c r="F60" s="123" t="str">
        <f t="shared" si="10"/>
        <v>CO2 emissions for electricity 2017 including losses&amp;WTT</v>
      </c>
      <c r="G60" s="98"/>
      <c r="H60" s="98"/>
      <c r="I60" s="98"/>
      <c r="J60" s="377">
        <v>0.1</v>
      </c>
      <c r="K60" s="129" t="str">
        <f>Translate!$A$267</f>
        <v>CO2 emissions for electricity 2017 including losses&amp;WTT</v>
      </c>
      <c r="L60" s="129" t="str">
        <f>Translate!$A$267</f>
        <v>CO2 emissions for electricity 2017 including losses&amp;WTT</v>
      </c>
      <c r="M60" s="129" t="str">
        <f>Translate!$A$267</f>
        <v>CO2 emissions for electricity 2017 including losses&amp;WTT</v>
      </c>
      <c r="N60" s="129" t="str">
        <f>Translate!$A$267</f>
        <v>CO2 emissions for electricity 2017 including losses&amp;WTT</v>
      </c>
      <c r="P60" s="715"/>
      <c r="Q60" s="715"/>
      <c r="R60" s="715"/>
      <c r="S60" s="715"/>
      <c r="T60" s="715"/>
      <c r="U60" s="715"/>
      <c r="V60" s="715"/>
      <c r="W60" s="721"/>
      <c r="X60" s="732">
        <v>0.24762349272349271</v>
      </c>
      <c r="Y60" s="228"/>
      <c r="Z60" s="717"/>
      <c r="AA60" s="665"/>
      <c r="AB60" s="228" t="s">
        <v>45</v>
      </c>
      <c r="AC60" s="228" t="s">
        <v>45</v>
      </c>
    </row>
    <row r="61" spans="1:29" ht="105" hidden="1" outlineLevel="1">
      <c r="A61" s="116">
        <f t="shared" ca="1" si="7"/>
        <v>0</v>
      </c>
      <c r="B61" s="118"/>
      <c r="C61" s="117" t="s">
        <v>2610</v>
      </c>
      <c r="D61" s="126" t="str">
        <f t="shared" si="8"/>
        <v>kWh</v>
      </c>
      <c r="E61" s="452">
        <f t="shared" si="9"/>
        <v>0.55197198656163871</v>
      </c>
      <c r="F61" s="123" t="str">
        <f t="shared" si="10"/>
        <v>CO2 emissions for electricity 2017 including losses&amp;WTT</v>
      </c>
      <c r="G61" s="98"/>
      <c r="H61" s="98"/>
      <c r="I61" s="98"/>
      <c r="J61" s="377">
        <v>0.1</v>
      </c>
      <c r="K61" s="129" t="str">
        <f>Translate!$A$267</f>
        <v>CO2 emissions for electricity 2017 including losses&amp;WTT</v>
      </c>
      <c r="L61" s="129" t="str">
        <f>Translate!$A$267</f>
        <v>CO2 emissions for electricity 2017 including losses&amp;WTT</v>
      </c>
      <c r="M61" s="129" t="str">
        <f>Translate!$A$267</f>
        <v>CO2 emissions for electricity 2017 including losses&amp;WTT</v>
      </c>
      <c r="N61" s="129" t="str">
        <f>Translate!$A$267</f>
        <v>CO2 emissions for electricity 2017 including losses&amp;WTT</v>
      </c>
      <c r="P61" s="715"/>
      <c r="Q61" s="715"/>
      <c r="R61" s="715"/>
      <c r="S61" s="715"/>
      <c r="T61" s="715"/>
      <c r="U61" s="715"/>
      <c r="V61" s="715"/>
      <c r="W61" s="721"/>
      <c r="X61" s="732">
        <v>0.55197198656163871</v>
      </c>
      <c r="Y61" s="228"/>
      <c r="Z61" s="717"/>
      <c r="AA61" s="665"/>
      <c r="AB61" s="228" t="s">
        <v>45</v>
      </c>
      <c r="AC61" s="228" t="s">
        <v>45</v>
      </c>
    </row>
    <row r="62" spans="1:29" ht="105" hidden="1" outlineLevel="1">
      <c r="A62" s="116">
        <f t="shared" ca="1" si="7"/>
        <v>0</v>
      </c>
      <c r="B62" s="118"/>
      <c r="C62" s="117" t="s">
        <v>2611</v>
      </c>
      <c r="D62" s="126" t="str">
        <f t="shared" si="8"/>
        <v>kWh</v>
      </c>
      <c r="E62" s="452">
        <f t="shared" si="9"/>
        <v>3.1051831226671475E-2</v>
      </c>
      <c r="F62" s="123" t="str">
        <f t="shared" si="10"/>
        <v>CO2 emissions for electricity 2017 including losses&amp;WTT</v>
      </c>
      <c r="G62" s="98"/>
      <c r="H62" s="98"/>
      <c r="I62" s="98"/>
      <c r="J62" s="377">
        <v>0.1</v>
      </c>
      <c r="K62" s="129" t="str">
        <f>Translate!$A$267</f>
        <v>CO2 emissions for electricity 2017 including losses&amp;WTT</v>
      </c>
      <c r="L62" s="129" t="str">
        <f>Translate!$A$267</f>
        <v>CO2 emissions for electricity 2017 including losses&amp;WTT</v>
      </c>
      <c r="M62" s="129" t="str">
        <f>Translate!$A$267</f>
        <v>CO2 emissions for electricity 2017 including losses&amp;WTT</v>
      </c>
      <c r="N62" s="129" t="str">
        <f>Translate!$A$267</f>
        <v>CO2 emissions for electricity 2017 including losses&amp;WTT</v>
      </c>
      <c r="P62" s="715"/>
      <c r="Q62" s="715"/>
      <c r="R62" s="715"/>
      <c r="S62" s="715"/>
      <c r="T62" s="715"/>
      <c r="U62" s="715"/>
      <c r="V62" s="715"/>
      <c r="W62" s="721"/>
      <c r="X62" s="732">
        <v>3.1051831226671475E-2</v>
      </c>
      <c r="Y62" s="228"/>
      <c r="Z62" s="717"/>
      <c r="AA62" s="665"/>
      <c r="AB62" s="228" t="s">
        <v>45</v>
      </c>
      <c r="AC62" s="228" t="s">
        <v>45</v>
      </c>
    </row>
    <row r="63" spans="1:29" ht="105" hidden="1" outlineLevel="1">
      <c r="A63" s="116">
        <f t="shared" ca="1" si="7"/>
        <v>0</v>
      </c>
      <c r="B63" s="118"/>
      <c r="C63" s="117" t="s">
        <v>2612</v>
      </c>
      <c r="D63" s="126" t="str">
        <f t="shared" si="8"/>
        <v>kWh</v>
      </c>
      <c r="E63" s="452">
        <f t="shared" si="9"/>
        <v>0.83988634245709337</v>
      </c>
      <c r="F63" s="123" t="str">
        <f t="shared" si="10"/>
        <v>CO2 emissions for electricity 2017 including losses&amp;WTT</v>
      </c>
      <c r="G63" s="98"/>
      <c r="H63" s="98"/>
      <c r="I63" s="98"/>
      <c r="J63" s="377">
        <v>0.1</v>
      </c>
      <c r="K63" s="129" t="str">
        <f>Translate!$A$267</f>
        <v>CO2 emissions for electricity 2017 including losses&amp;WTT</v>
      </c>
      <c r="L63" s="129" t="str">
        <f>Translate!$A$267</f>
        <v>CO2 emissions for electricity 2017 including losses&amp;WTT</v>
      </c>
      <c r="M63" s="129" t="str">
        <f>Translate!$A$267</f>
        <v>CO2 emissions for electricity 2017 including losses&amp;WTT</v>
      </c>
      <c r="N63" s="129" t="str">
        <f>Translate!$A$267</f>
        <v>CO2 emissions for electricity 2017 including losses&amp;WTT</v>
      </c>
      <c r="P63" s="715"/>
      <c r="Q63" s="715"/>
      <c r="R63" s="715"/>
      <c r="S63" s="715"/>
      <c r="T63" s="715"/>
      <c r="U63" s="715"/>
      <c r="V63" s="715"/>
      <c r="W63" s="721"/>
      <c r="X63" s="732">
        <v>0.83988634245709337</v>
      </c>
      <c r="Y63" s="228"/>
      <c r="Z63" s="717"/>
      <c r="AA63" s="665"/>
      <c r="AB63" s="228" t="s">
        <v>45</v>
      </c>
      <c r="AC63" s="228" t="s">
        <v>45</v>
      </c>
    </row>
    <row r="64" spans="1:29" ht="105" hidden="1" outlineLevel="1">
      <c r="A64" s="116">
        <f t="shared" ca="1" si="7"/>
        <v>0</v>
      </c>
      <c r="B64" s="118"/>
      <c r="C64" s="117" t="s">
        <v>2613</v>
      </c>
      <c r="D64" s="126" t="str">
        <f t="shared" si="8"/>
        <v>kWh</v>
      </c>
      <c r="E64" s="452">
        <f t="shared" si="9"/>
        <v>0.46716768609538939</v>
      </c>
      <c r="F64" s="123" t="str">
        <f t="shared" si="10"/>
        <v>CO2 emissions for electricity 2017 including losses&amp;WTT</v>
      </c>
      <c r="G64" s="98"/>
      <c r="H64" s="98"/>
      <c r="I64" s="98"/>
      <c r="J64" s="377">
        <v>0.1</v>
      </c>
      <c r="K64" s="129" t="str">
        <f>Translate!$A$267</f>
        <v>CO2 emissions for electricity 2017 including losses&amp;WTT</v>
      </c>
      <c r="L64" s="129" t="str">
        <f>Translate!$A$267</f>
        <v>CO2 emissions for electricity 2017 including losses&amp;WTT</v>
      </c>
      <c r="M64" s="129" t="str">
        <f>Translate!$A$267</f>
        <v>CO2 emissions for electricity 2017 including losses&amp;WTT</v>
      </c>
      <c r="N64" s="129" t="str">
        <f>Translate!$A$267</f>
        <v>CO2 emissions for electricity 2017 including losses&amp;WTT</v>
      </c>
      <c r="P64" s="715"/>
      <c r="Q64" s="715"/>
      <c r="R64" s="715"/>
      <c r="S64" s="715"/>
      <c r="T64" s="715"/>
      <c r="U64" s="715"/>
      <c r="V64" s="715"/>
      <c r="W64" s="721"/>
      <c r="X64" s="732">
        <v>0.46716768609538939</v>
      </c>
      <c r="Y64" s="228"/>
      <c r="Z64" s="717"/>
      <c r="AA64" s="665"/>
      <c r="AB64" s="228" t="s">
        <v>45</v>
      </c>
      <c r="AC64" s="228" t="s">
        <v>45</v>
      </c>
    </row>
    <row r="65" spans="1:29" ht="105" hidden="1" outlineLevel="1">
      <c r="A65" s="116">
        <f t="shared" ca="1" si="7"/>
        <v>0</v>
      </c>
      <c r="B65" s="118"/>
      <c r="C65" s="117" t="s">
        <v>2614</v>
      </c>
      <c r="D65" s="126" t="str">
        <f t="shared" si="8"/>
        <v>kWh</v>
      </c>
      <c r="E65" s="452">
        <f t="shared" si="9"/>
        <v>0.2151254141647978</v>
      </c>
      <c r="F65" s="123" t="str">
        <f t="shared" si="10"/>
        <v>CO2 emissions for electricity 2017 including losses&amp;WTT</v>
      </c>
      <c r="G65" s="98"/>
      <c r="H65" s="98"/>
      <c r="I65" s="98"/>
      <c r="J65" s="377">
        <v>0.1</v>
      </c>
      <c r="K65" s="129" t="str">
        <f>Translate!$A$267</f>
        <v>CO2 emissions for electricity 2017 including losses&amp;WTT</v>
      </c>
      <c r="L65" s="129" t="str">
        <f>Translate!$A$267</f>
        <v>CO2 emissions for electricity 2017 including losses&amp;WTT</v>
      </c>
      <c r="M65" s="129" t="str">
        <f>Translate!$A$267</f>
        <v>CO2 emissions for electricity 2017 including losses&amp;WTT</v>
      </c>
      <c r="N65" s="129" t="str">
        <f>Translate!$A$267</f>
        <v>CO2 emissions for electricity 2017 including losses&amp;WTT</v>
      </c>
      <c r="P65" s="715"/>
      <c r="Q65" s="715"/>
      <c r="R65" s="715"/>
      <c r="S65" s="715"/>
      <c r="T65" s="715"/>
      <c r="U65" s="715"/>
      <c r="V65" s="715"/>
      <c r="W65" s="721"/>
      <c r="X65" s="732">
        <v>0.2151254141647978</v>
      </c>
      <c r="Y65" s="228"/>
      <c r="Z65" s="717"/>
      <c r="AA65" s="665"/>
      <c r="AB65" s="228" t="s">
        <v>45</v>
      </c>
      <c r="AC65" s="228" t="s">
        <v>45</v>
      </c>
    </row>
    <row r="66" spans="1:29" ht="105" hidden="1" outlineLevel="1">
      <c r="A66" s="116">
        <f t="shared" ca="1" si="7"/>
        <v>0</v>
      </c>
      <c r="B66" s="118"/>
      <c r="C66" s="117" t="s">
        <v>2615</v>
      </c>
      <c r="D66" s="126" t="str">
        <f t="shared" si="8"/>
        <v>kWh</v>
      </c>
      <c r="E66" s="452">
        <f t="shared" si="9"/>
        <v>0.31728324145534731</v>
      </c>
      <c r="F66" s="123" t="str">
        <f t="shared" si="10"/>
        <v>CO2 emissions for electricity 2017 including losses&amp;WTT</v>
      </c>
      <c r="G66" s="98"/>
      <c r="H66" s="98"/>
      <c r="I66" s="98"/>
      <c r="J66" s="377">
        <v>0.1</v>
      </c>
      <c r="K66" s="129" t="str">
        <f>Translate!$A$267</f>
        <v>CO2 emissions for electricity 2017 including losses&amp;WTT</v>
      </c>
      <c r="L66" s="129" t="str">
        <f>Translate!$A$267</f>
        <v>CO2 emissions for electricity 2017 including losses&amp;WTT</v>
      </c>
      <c r="M66" s="129" t="str">
        <f>Translate!$A$267</f>
        <v>CO2 emissions for electricity 2017 including losses&amp;WTT</v>
      </c>
      <c r="N66" s="129" t="str">
        <f>Translate!$A$267</f>
        <v>CO2 emissions for electricity 2017 including losses&amp;WTT</v>
      </c>
      <c r="P66" s="715"/>
      <c r="Q66" s="715"/>
      <c r="R66" s="715"/>
      <c r="S66" s="715"/>
      <c r="T66" s="715"/>
      <c r="U66" s="715"/>
      <c r="V66" s="715"/>
      <c r="W66" s="721"/>
      <c r="X66" s="732">
        <v>0.31728324145534731</v>
      </c>
      <c r="Y66" s="228"/>
      <c r="Z66" s="717"/>
      <c r="AA66" s="665"/>
      <c r="AB66" s="228" t="s">
        <v>45</v>
      </c>
      <c r="AC66" s="228" t="s">
        <v>45</v>
      </c>
    </row>
    <row r="67" spans="1:29" ht="105" hidden="1" outlineLevel="1">
      <c r="A67" s="116">
        <f t="shared" ca="1" si="7"/>
        <v>0</v>
      </c>
      <c r="B67" s="118"/>
      <c r="C67" s="117" t="s">
        <v>2616</v>
      </c>
      <c r="D67" s="126" t="str">
        <f t="shared" si="8"/>
        <v>kWh</v>
      </c>
      <c r="E67" s="452">
        <f t="shared" si="9"/>
        <v>0.37721208270522505</v>
      </c>
      <c r="F67" s="123" t="str">
        <f t="shared" si="10"/>
        <v>CO2 emissions for electricity 2017 including losses&amp;WTT</v>
      </c>
      <c r="G67" s="98"/>
      <c r="H67" s="98"/>
      <c r="I67" s="98"/>
      <c r="J67" s="377">
        <v>0.1</v>
      </c>
      <c r="K67" s="129" t="str">
        <f>Translate!$A$267</f>
        <v>CO2 emissions for electricity 2017 including losses&amp;WTT</v>
      </c>
      <c r="L67" s="129" t="str">
        <f>Translate!$A$267</f>
        <v>CO2 emissions for electricity 2017 including losses&amp;WTT</v>
      </c>
      <c r="M67" s="129" t="str">
        <f>Translate!$A$267</f>
        <v>CO2 emissions for electricity 2017 including losses&amp;WTT</v>
      </c>
      <c r="N67" s="129" t="str">
        <f>Translate!$A$267</f>
        <v>CO2 emissions for electricity 2017 including losses&amp;WTT</v>
      </c>
      <c r="P67" s="715"/>
      <c r="Q67" s="715"/>
      <c r="R67" s="715"/>
      <c r="S67" s="715"/>
      <c r="T67" s="715"/>
      <c r="U67" s="715"/>
      <c r="V67" s="715"/>
      <c r="W67" s="721"/>
      <c r="X67" s="732">
        <v>0.37721208270522505</v>
      </c>
      <c r="Y67" s="228"/>
      <c r="Z67" s="717"/>
      <c r="AA67" s="665"/>
      <c r="AB67" s="228" t="s">
        <v>45</v>
      </c>
      <c r="AC67" s="228" t="s">
        <v>45</v>
      </c>
    </row>
    <row r="68" spans="1:29" ht="105" hidden="1" outlineLevel="1">
      <c r="A68" s="116">
        <f t="shared" ca="1" si="7"/>
        <v>0</v>
      </c>
      <c r="B68" s="118"/>
      <c r="C68" s="117" t="s">
        <v>2617</v>
      </c>
      <c r="D68" s="126" t="str">
        <f t="shared" si="8"/>
        <v>kWh</v>
      </c>
      <c r="E68" s="452">
        <f t="shared" si="9"/>
        <v>6.1422380907417022E-2</v>
      </c>
      <c r="F68" s="123" t="str">
        <f t="shared" si="10"/>
        <v>CO2 emissions for electricity 2017 including losses&amp;WTT</v>
      </c>
      <c r="G68" s="98"/>
      <c r="H68" s="98"/>
      <c r="I68" s="98"/>
      <c r="J68" s="377">
        <v>0.1</v>
      </c>
      <c r="K68" s="129" t="str">
        <f>Translate!$A$267</f>
        <v>CO2 emissions for electricity 2017 including losses&amp;WTT</v>
      </c>
      <c r="L68" s="129" t="str">
        <f>Translate!$A$267</f>
        <v>CO2 emissions for electricity 2017 including losses&amp;WTT</v>
      </c>
      <c r="M68" s="129" t="str">
        <f>Translate!$A$267</f>
        <v>CO2 emissions for electricity 2017 including losses&amp;WTT</v>
      </c>
      <c r="N68" s="129" t="str">
        <f>Translate!$A$267</f>
        <v>CO2 emissions for electricity 2017 including losses&amp;WTT</v>
      </c>
      <c r="P68" s="715"/>
      <c r="Q68" s="715"/>
      <c r="R68" s="715"/>
      <c r="S68" s="715"/>
      <c r="T68" s="715"/>
      <c r="U68" s="715"/>
      <c r="V68" s="715"/>
      <c r="W68" s="721"/>
      <c r="X68" s="732">
        <v>6.1422380907417022E-2</v>
      </c>
      <c r="Y68" s="228"/>
      <c r="Z68" s="717"/>
      <c r="AA68" s="665"/>
      <c r="AB68" s="228" t="s">
        <v>45</v>
      </c>
      <c r="AC68" s="228" t="s">
        <v>45</v>
      </c>
    </row>
    <row r="69" spans="1:29" ht="105" hidden="1" outlineLevel="1">
      <c r="A69" s="116">
        <f t="shared" ca="1" si="7"/>
        <v>0</v>
      </c>
      <c r="B69" s="118"/>
      <c r="C69" s="117" t="s">
        <v>2618</v>
      </c>
      <c r="D69" s="126" t="str">
        <f t="shared" si="8"/>
        <v>kWh</v>
      </c>
      <c r="E69" s="452">
        <f t="shared" si="9"/>
        <v>7.5997198744989697E-2</v>
      </c>
      <c r="F69" s="123" t="str">
        <f t="shared" si="10"/>
        <v>CO2 emissions for electricity 2017 including losses&amp;WTT</v>
      </c>
      <c r="G69" s="98"/>
      <c r="H69" s="98"/>
      <c r="I69" s="98"/>
      <c r="J69" s="377">
        <v>0.1</v>
      </c>
      <c r="K69" s="129" t="str">
        <f>Translate!$A$267</f>
        <v>CO2 emissions for electricity 2017 including losses&amp;WTT</v>
      </c>
      <c r="L69" s="129" t="str">
        <f>Translate!$A$267</f>
        <v>CO2 emissions for electricity 2017 including losses&amp;WTT</v>
      </c>
      <c r="M69" s="129" t="str">
        <f>Translate!$A$267</f>
        <v>CO2 emissions for electricity 2017 including losses&amp;WTT</v>
      </c>
      <c r="N69" s="129" t="str">
        <f>Translate!$A$267</f>
        <v>CO2 emissions for electricity 2017 including losses&amp;WTT</v>
      </c>
      <c r="P69" s="715"/>
      <c r="Q69" s="715"/>
      <c r="R69" s="715"/>
      <c r="S69" s="715"/>
      <c r="T69" s="715"/>
      <c r="U69" s="715"/>
      <c r="V69" s="715"/>
      <c r="W69" s="721"/>
      <c r="X69" s="732">
        <v>7.5997198744989697E-2</v>
      </c>
      <c r="Y69" s="228"/>
      <c r="Z69" s="717"/>
      <c r="AA69" s="665"/>
      <c r="AB69" s="228" t="s">
        <v>45</v>
      </c>
      <c r="AC69" s="228" t="s">
        <v>45</v>
      </c>
    </row>
    <row r="70" spans="1:29" ht="105" hidden="1" outlineLevel="1">
      <c r="A70" s="116">
        <f t="shared" ca="1" si="7"/>
        <v>0</v>
      </c>
      <c r="B70" s="118"/>
      <c r="C70" s="117" t="s">
        <v>2619</v>
      </c>
      <c r="D70" s="126" t="str">
        <f t="shared" si="8"/>
        <v>kWh</v>
      </c>
      <c r="E70" s="452">
        <f t="shared" si="9"/>
        <v>0.58686957439917953</v>
      </c>
      <c r="F70" s="123" t="str">
        <f t="shared" si="10"/>
        <v>CO2 emissions for electricity 2017 including losses&amp;WTT</v>
      </c>
      <c r="G70" s="98"/>
      <c r="H70" s="98"/>
      <c r="I70" s="98"/>
      <c r="J70" s="377">
        <v>0.1</v>
      </c>
      <c r="K70" s="129" t="str">
        <f>Translate!$A$267</f>
        <v>CO2 emissions for electricity 2017 including losses&amp;WTT</v>
      </c>
      <c r="L70" s="129" t="str">
        <f>Translate!$A$267</f>
        <v>CO2 emissions for electricity 2017 including losses&amp;WTT</v>
      </c>
      <c r="M70" s="129" t="str">
        <f>Translate!$A$267</f>
        <v>CO2 emissions for electricity 2017 including losses&amp;WTT</v>
      </c>
      <c r="N70" s="129" t="str">
        <f>Translate!$A$267</f>
        <v>CO2 emissions for electricity 2017 including losses&amp;WTT</v>
      </c>
      <c r="P70" s="715"/>
      <c r="Q70" s="715"/>
      <c r="R70" s="715"/>
      <c r="S70" s="715"/>
      <c r="T70" s="715"/>
      <c r="U70" s="715"/>
      <c r="V70" s="715"/>
      <c r="W70" s="721"/>
      <c r="X70" s="732">
        <v>0.58686957439917953</v>
      </c>
      <c r="Y70" s="228"/>
      <c r="Z70" s="717"/>
      <c r="AA70" s="665"/>
      <c r="AB70" s="228" t="s">
        <v>45</v>
      </c>
      <c r="AC70" s="228" t="s">
        <v>45</v>
      </c>
    </row>
    <row r="71" spans="1:29" ht="105" hidden="1" outlineLevel="1">
      <c r="A71" s="116">
        <f t="shared" ca="1" si="7"/>
        <v>0</v>
      </c>
      <c r="B71" s="118"/>
      <c r="C71" s="117" t="s">
        <v>2620</v>
      </c>
      <c r="D71" s="126" t="str">
        <f t="shared" si="8"/>
        <v>kWh</v>
      </c>
      <c r="E71" s="452">
        <f t="shared" si="9"/>
        <v>0.35009338123468409</v>
      </c>
      <c r="F71" s="123" t="str">
        <f t="shared" si="10"/>
        <v>CO2 emissions for electricity 2017 including losses&amp;WTT</v>
      </c>
      <c r="G71" s="98"/>
      <c r="H71" s="98"/>
      <c r="I71" s="98"/>
      <c r="J71" s="377">
        <v>0.1</v>
      </c>
      <c r="K71" s="129" t="str">
        <f>Translate!$A$267</f>
        <v>CO2 emissions for electricity 2017 including losses&amp;WTT</v>
      </c>
      <c r="L71" s="129" t="str">
        <f>Translate!$A$267</f>
        <v>CO2 emissions for electricity 2017 including losses&amp;WTT</v>
      </c>
      <c r="M71" s="129" t="str">
        <f>Translate!$A$267</f>
        <v>CO2 emissions for electricity 2017 including losses&amp;WTT</v>
      </c>
      <c r="N71" s="129" t="str">
        <f>Translate!$A$267</f>
        <v>CO2 emissions for electricity 2017 including losses&amp;WTT</v>
      </c>
      <c r="P71" s="715"/>
      <c r="Q71" s="715"/>
      <c r="R71" s="715"/>
      <c r="S71" s="715"/>
      <c r="T71" s="715"/>
      <c r="U71" s="715"/>
      <c r="V71" s="715"/>
      <c r="W71" s="721"/>
      <c r="X71" s="732">
        <v>0.35009338123468409</v>
      </c>
      <c r="Y71" s="228"/>
      <c r="Z71" s="717"/>
      <c r="AA71" s="665"/>
      <c r="AB71" s="228" t="s">
        <v>45</v>
      </c>
      <c r="AC71" s="228" t="s">
        <v>45</v>
      </c>
    </row>
    <row r="72" spans="1:29" ht="105" hidden="1" outlineLevel="1">
      <c r="A72" s="116">
        <f t="shared" ca="1" si="7"/>
        <v>0</v>
      </c>
      <c r="B72" s="118"/>
      <c r="C72" s="117" t="s">
        <v>2621</v>
      </c>
      <c r="D72" s="126" t="str">
        <f t="shared" si="8"/>
        <v>kWh</v>
      </c>
      <c r="E72" s="452">
        <f t="shared" si="9"/>
        <v>1.9006407423773752E-2</v>
      </c>
      <c r="F72" s="123" t="str">
        <f t="shared" si="10"/>
        <v>CO2 emissions for electricity 2017 including losses&amp;WTT</v>
      </c>
      <c r="G72" s="98"/>
      <c r="H72" s="98"/>
      <c r="I72" s="98"/>
      <c r="J72" s="377">
        <v>0.1</v>
      </c>
      <c r="K72" s="129" t="str">
        <f>Translate!$A$267</f>
        <v>CO2 emissions for electricity 2017 including losses&amp;WTT</v>
      </c>
      <c r="L72" s="129" t="str">
        <f>Translate!$A$267</f>
        <v>CO2 emissions for electricity 2017 including losses&amp;WTT</v>
      </c>
      <c r="M72" s="129" t="str">
        <f>Translate!$A$267</f>
        <v>CO2 emissions for electricity 2017 including losses&amp;WTT</v>
      </c>
      <c r="N72" s="129" t="str">
        <f>Translate!$A$267</f>
        <v>CO2 emissions for electricity 2017 including losses&amp;WTT</v>
      </c>
      <c r="P72" s="715"/>
      <c r="Q72" s="715"/>
      <c r="R72" s="715"/>
      <c r="S72" s="715"/>
      <c r="T72" s="715"/>
      <c r="U72" s="715"/>
      <c r="V72" s="715"/>
      <c r="W72" s="721"/>
      <c r="X72" s="732">
        <v>1.9006407423773752E-2</v>
      </c>
      <c r="Y72" s="228"/>
      <c r="Z72" s="717"/>
      <c r="AA72" s="665"/>
      <c r="AB72" s="228" t="s">
        <v>45</v>
      </c>
      <c r="AC72" s="228" t="s">
        <v>45</v>
      </c>
    </row>
    <row r="73" spans="1:29" ht="105" hidden="1" outlineLevel="1">
      <c r="A73" s="116">
        <f t="shared" ca="1" si="7"/>
        <v>0</v>
      </c>
      <c r="B73" s="118"/>
      <c r="C73" s="117" t="s">
        <v>2622</v>
      </c>
      <c r="D73" s="126" t="str">
        <f t="shared" si="8"/>
        <v>kWh</v>
      </c>
      <c r="E73" s="452">
        <f t="shared" si="9"/>
        <v>0.21729018799896987</v>
      </c>
      <c r="F73" s="123" t="str">
        <f t="shared" si="10"/>
        <v>CO2 emissions for electricity 2017 including losses&amp;WTT</v>
      </c>
      <c r="G73" s="98"/>
      <c r="H73" s="98"/>
      <c r="I73" s="98"/>
      <c r="J73" s="377">
        <v>0.1</v>
      </c>
      <c r="K73" s="129" t="str">
        <f>Translate!$A$267</f>
        <v>CO2 emissions for electricity 2017 including losses&amp;WTT</v>
      </c>
      <c r="L73" s="129" t="str">
        <f>Translate!$A$267</f>
        <v>CO2 emissions for electricity 2017 including losses&amp;WTT</v>
      </c>
      <c r="M73" s="129" t="str">
        <f>Translate!$A$267</f>
        <v>CO2 emissions for electricity 2017 including losses&amp;WTT</v>
      </c>
      <c r="N73" s="129" t="str">
        <f>Translate!$A$267</f>
        <v>CO2 emissions for electricity 2017 including losses&amp;WTT</v>
      </c>
      <c r="P73" s="715"/>
      <c r="Q73" s="715"/>
      <c r="R73" s="715"/>
      <c r="S73" s="715"/>
      <c r="T73" s="715"/>
      <c r="U73" s="715"/>
      <c r="V73" s="715"/>
      <c r="W73" s="721"/>
      <c r="X73" s="732">
        <v>0.21729018799896987</v>
      </c>
      <c r="Y73" s="228"/>
      <c r="Z73" s="717"/>
      <c r="AA73" s="665"/>
      <c r="AB73" s="228" t="s">
        <v>45</v>
      </c>
      <c r="AC73" s="228" t="s">
        <v>45</v>
      </c>
    </row>
    <row r="74" spans="1:29" ht="105" hidden="1" outlineLevel="1">
      <c r="A74" s="116">
        <f t="shared" ca="1" si="7"/>
        <v>0</v>
      </c>
      <c r="B74" s="118"/>
      <c r="C74" s="117" t="s">
        <v>2623</v>
      </c>
      <c r="D74" s="126" t="str">
        <f t="shared" si="8"/>
        <v>kWh</v>
      </c>
      <c r="E74" s="452">
        <f t="shared" si="9"/>
        <v>0.6225492370295016</v>
      </c>
      <c r="F74" s="123" t="str">
        <f t="shared" si="10"/>
        <v>CO2 emissions for electricity 2017 including losses&amp;WTT</v>
      </c>
      <c r="G74" s="98"/>
      <c r="H74" s="98"/>
      <c r="I74" s="98"/>
      <c r="J74" s="377">
        <v>0.1</v>
      </c>
      <c r="K74" s="129" t="str">
        <f>Translate!$A$267</f>
        <v>CO2 emissions for electricity 2017 including losses&amp;WTT</v>
      </c>
      <c r="L74" s="129" t="str">
        <f>Translate!$A$267</f>
        <v>CO2 emissions for electricity 2017 including losses&amp;WTT</v>
      </c>
      <c r="M74" s="129" t="str">
        <f>Translate!$A$267</f>
        <v>CO2 emissions for electricity 2017 including losses&amp;WTT</v>
      </c>
      <c r="N74" s="129" t="str">
        <f>Translate!$A$267</f>
        <v>CO2 emissions for electricity 2017 including losses&amp;WTT</v>
      </c>
      <c r="P74" s="715"/>
      <c r="Q74" s="715"/>
      <c r="R74" s="715"/>
      <c r="S74" s="715"/>
      <c r="T74" s="715"/>
      <c r="U74" s="715"/>
      <c r="V74" s="715"/>
      <c r="W74" s="721"/>
      <c r="X74" s="732">
        <v>0.6225492370295016</v>
      </c>
      <c r="Y74" s="228"/>
      <c r="Z74" s="717"/>
      <c r="AA74" s="665"/>
      <c r="AB74" s="228" t="s">
        <v>45</v>
      </c>
      <c r="AC74" s="228" t="s">
        <v>45</v>
      </c>
    </row>
    <row r="75" spans="1:29" ht="105" hidden="1" outlineLevel="1">
      <c r="A75" s="116">
        <f t="shared" ca="1" si="7"/>
        <v>0</v>
      </c>
      <c r="B75" s="118"/>
      <c r="C75" s="117" t="s">
        <v>2624</v>
      </c>
      <c r="D75" s="126" t="str">
        <f t="shared" si="8"/>
        <v>kWh</v>
      </c>
      <c r="E75" s="452">
        <f t="shared" si="9"/>
        <v>0.49229200347674923</v>
      </c>
      <c r="F75" s="123" t="str">
        <f t="shared" si="10"/>
        <v>CO2 emissions for electricity 2017 including losses&amp;WTT</v>
      </c>
      <c r="G75" s="98"/>
      <c r="H75" s="98"/>
      <c r="I75" s="98"/>
      <c r="J75" s="377">
        <v>0.1</v>
      </c>
      <c r="K75" s="129" t="str">
        <f>Translate!$A$267</f>
        <v>CO2 emissions for electricity 2017 including losses&amp;WTT</v>
      </c>
      <c r="L75" s="129" t="str">
        <f>Translate!$A$267</f>
        <v>CO2 emissions for electricity 2017 including losses&amp;WTT</v>
      </c>
      <c r="M75" s="129" t="str">
        <f>Translate!$A$267</f>
        <v>CO2 emissions for electricity 2017 including losses&amp;WTT</v>
      </c>
      <c r="N75" s="129" t="str">
        <f>Translate!$A$267</f>
        <v>CO2 emissions for electricity 2017 including losses&amp;WTT</v>
      </c>
      <c r="P75" s="715"/>
      <c r="Q75" s="715"/>
      <c r="R75" s="715"/>
      <c r="S75" s="715"/>
      <c r="T75" s="715"/>
      <c r="U75" s="715"/>
      <c r="V75" s="715"/>
      <c r="W75" s="721"/>
      <c r="X75" s="732">
        <v>0.49229200347674923</v>
      </c>
      <c r="Y75" s="228"/>
      <c r="Z75" s="717"/>
      <c r="AA75" s="665"/>
      <c r="AB75" s="228" t="s">
        <v>45</v>
      </c>
      <c r="AC75" s="228" t="s">
        <v>45</v>
      </c>
    </row>
    <row r="76" spans="1:29" ht="105" hidden="1" outlineLevel="1">
      <c r="A76" s="116">
        <f t="shared" ca="1" si="7"/>
        <v>0</v>
      </c>
      <c r="B76" s="118"/>
      <c r="C76" s="117" t="s">
        <v>2625</v>
      </c>
      <c r="D76" s="126" t="str">
        <f t="shared" si="8"/>
        <v>kWh</v>
      </c>
      <c r="E76" s="452">
        <f t="shared" si="9"/>
        <v>0.98958341647402359</v>
      </c>
      <c r="F76" s="123" t="str">
        <f t="shared" si="10"/>
        <v>CO2 emissions for electricity 2017 including losses&amp;WTT</v>
      </c>
      <c r="G76" s="98"/>
      <c r="H76" s="98"/>
      <c r="I76" s="98"/>
      <c r="J76" s="377">
        <v>0.1</v>
      </c>
      <c r="K76" s="129" t="str">
        <f>Translate!$A$267</f>
        <v>CO2 emissions for electricity 2017 including losses&amp;WTT</v>
      </c>
      <c r="L76" s="129" t="str">
        <f>Translate!$A$267</f>
        <v>CO2 emissions for electricity 2017 including losses&amp;WTT</v>
      </c>
      <c r="M76" s="129" t="str">
        <f>Translate!$A$267</f>
        <v>CO2 emissions for electricity 2017 including losses&amp;WTT</v>
      </c>
      <c r="N76" s="129" t="str">
        <f>Translate!$A$267</f>
        <v>CO2 emissions for electricity 2017 including losses&amp;WTT</v>
      </c>
      <c r="P76" s="715"/>
      <c r="Q76" s="715"/>
      <c r="R76" s="715"/>
      <c r="S76" s="715"/>
      <c r="T76" s="715"/>
      <c r="U76" s="715"/>
      <c r="V76" s="715"/>
      <c r="W76" s="721"/>
      <c r="X76" s="732">
        <v>0.98958341647402359</v>
      </c>
      <c r="Y76" s="228"/>
      <c r="Z76" s="717"/>
      <c r="AA76" s="665"/>
      <c r="AB76" s="228" t="s">
        <v>45</v>
      </c>
      <c r="AC76" s="228" t="s">
        <v>45</v>
      </c>
    </row>
    <row r="77" spans="1:29" ht="105" hidden="1" outlineLevel="1">
      <c r="A77" s="116">
        <f t="shared" ca="1" si="7"/>
        <v>0</v>
      </c>
      <c r="B77" s="118"/>
      <c r="C77" s="117" t="s">
        <v>2626</v>
      </c>
      <c r="D77" s="126" t="str">
        <f t="shared" si="8"/>
        <v>kWh</v>
      </c>
      <c r="E77" s="452">
        <f t="shared" si="9"/>
        <v>0.60815858967045511</v>
      </c>
      <c r="F77" s="123" t="str">
        <f t="shared" si="10"/>
        <v>CO2 emissions for electricity 2017 including losses&amp;WTT</v>
      </c>
      <c r="G77" s="98"/>
      <c r="H77" s="98"/>
      <c r="I77" s="98"/>
      <c r="J77" s="377">
        <v>0.1</v>
      </c>
      <c r="K77" s="129" t="str">
        <f>Translate!$A$267</f>
        <v>CO2 emissions for electricity 2017 including losses&amp;WTT</v>
      </c>
      <c r="L77" s="129" t="str">
        <f>Translate!$A$267</f>
        <v>CO2 emissions for electricity 2017 including losses&amp;WTT</v>
      </c>
      <c r="M77" s="129" t="str">
        <f>Translate!$A$267</f>
        <v>CO2 emissions for electricity 2017 including losses&amp;WTT</v>
      </c>
      <c r="N77" s="129" t="str">
        <f>Translate!$A$267</f>
        <v>CO2 emissions for electricity 2017 including losses&amp;WTT</v>
      </c>
      <c r="P77" s="715"/>
      <c r="Q77" s="715"/>
      <c r="R77" s="715"/>
      <c r="S77" s="715"/>
      <c r="T77" s="715"/>
      <c r="U77" s="715"/>
      <c r="V77" s="715"/>
      <c r="W77" s="721"/>
      <c r="X77" s="732">
        <v>0.60815858967045511</v>
      </c>
      <c r="Y77" s="228"/>
      <c r="Z77" s="717"/>
      <c r="AA77" s="665"/>
      <c r="AB77" s="228" t="s">
        <v>45</v>
      </c>
      <c r="AC77" s="228" t="s">
        <v>45</v>
      </c>
    </row>
    <row r="78" spans="1:29" ht="105" hidden="1" outlineLevel="1">
      <c r="A78" s="116">
        <f t="shared" ca="1" si="7"/>
        <v>0</v>
      </c>
      <c r="B78" s="118"/>
      <c r="C78" s="117" t="s">
        <v>2627</v>
      </c>
      <c r="D78" s="126" t="str">
        <f t="shared" si="8"/>
        <v>kWh</v>
      </c>
      <c r="E78" s="452">
        <f t="shared" si="9"/>
        <v>0.281303020694259</v>
      </c>
      <c r="F78" s="123" t="str">
        <f t="shared" si="10"/>
        <v>CO2 emissions for electricity 2017 including losses&amp;WTT</v>
      </c>
      <c r="G78" s="98"/>
      <c r="H78" s="98"/>
      <c r="I78" s="98"/>
      <c r="J78" s="377">
        <v>0.1</v>
      </c>
      <c r="K78" s="129" t="str">
        <f>Translate!$A$267</f>
        <v>CO2 emissions for electricity 2017 including losses&amp;WTT</v>
      </c>
      <c r="L78" s="129" t="str">
        <f>Translate!$A$267</f>
        <v>CO2 emissions for electricity 2017 including losses&amp;WTT</v>
      </c>
      <c r="M78" s="129" t="str">
        <f>Translate!$A$267</f>
        <v>CO2 emissions for electricity 2017 including losses&amp;WTT</v>
      </c>
      <c r="N78" s="129" t="str">
        <f>Translate!$A$267</f>
        <v>CO2 emissions for electricity 2017 including losses&amp;WTT</v>
      </c>
      <c r="P78" s="715"/>
      <c r="Q78" s="715"/>
      <c r="R78" s="715"/>
      <c r="S78" s="715"/>
      <c r="T78" s="715"/>
      <c r="U78" s="715"/>
      <c r="V78" s="715"/>
      <c r="W78" s="721"/>
      <c r="X78" s="732">
        <v>0.281303020694259</v>
      </c>
      <c r="Y78" s="228"/>
      <c r="Z78" s="717"/>
      <c r="AA78" s="665"/>
      <c r="AB78" s="228" t="s">
        <v>45</v>
      </c>
      <c r="AC78" s="228" t="s">
        <v>45</v>
      </c>
    </row>
    <row r="79" spans="1:29" ht="105" hidden="1" outlineLevel="1">
      <c r="A79" s="116">
        <f t="shared" ref="A79:A110" ca="1" si="11">IF(ISBLANK(H79),OFFSET(A79,-1,0),OFFSET(A79,-1,0)+1)</f>
        <v>0</v>
      </c>
      <c r="B79" s="118"/>
      <c r="C79" s="117" t="s">
        <v>2628</v>
      </c>
      <c r="D79" s="126" t="str">
        <f t="shared" si="8"/>
        <v>kWh</v>
      </c>
      <c r="E79" s="452">
        <f t="shared" ref="E79:E110" si="12">IF(F79=H79,G79,INDEX(P79:AD79,MATCH($F79,$P$6:$AD$6,0)))</f>
        <v>0.79666494804156673</v>
      </c>
      <c r="F79" s="123" t="str">
        <f t="shared" ref="F79:F110" si="13">IF(ISBLANK(H79),INDEX(K79:N79,$D$4),H79)</f>
        <v>CO2 emissions for electricity 2017 including losses&amp;WTT</v>
      </c>
      <c r="G79" s="98"/>
      <c r="H79" s="98"/>
      <c r="I79" s="98"/>
      <c r="J79" s="377">
        <v>0.1</v>
      </c>
      <c r="K79" s="129" t="str">
        <f>Translate!$A$267</f>
        <v>CO2 emissions for electricity 2017 including losses&amp;WTT</v>
      </c>
      <c r="L79" s="129" t="str">
        <f>Translate!$A$267</f>
        <v>CO2 emissions for electricity 2017 including losses&amp;WTT</v>
      </c>
      <c r="M79" s="129" t="str">
        <f>Translate!$A$267</f>
        <v>CO2 emissions for electricity 2017 including losses&amp;WTT</v>
      </c>
      <c r="N79" s="129" t="str">
        <f>Translate!$A$267</f>
        <v>CO2 emissions for electricity 2017 including losses&amp;WTT</v>
      </c>
      <c r="P79" s="715"/>
      <c r="Q79" s="715"/>
      <c r="R79" s="715"/>
      <c r="S79" s="715"/>
      <c r="T79" s="715"/>
      <c r="U79" s="715"/>
      <c r="V79" s="715"/>
      <c r="W79" s="721"/>
      <c r="X79" s="732">
        <v>0.79666494804156673</v>
      </c>
      <c r="Y79" s="228"/>
      <c r="Z79" s="717"/>
      <c r="AA79" s="665"/>
      <c r="AB79" s="228" t="s">
        <v>45</v>
      </c>
      <c r="AC79" s="228" t="s">
        <v>45</v>
      </c>
    </row>
    <row r="80" spans="1:29" ht="105" hidden="1" outlineLevel="1">
      <c r="A80" s="116">
        <f t="shared" ca="1" si="11"/>
        <v>0</v>
      </c>
      <c r="B80" s="118"/>
      <c r="C80" s="117" t="s">
        <v>2629</v>
      </c>
      <c r="D80" s="126" t="str">
        <f t="shared" si="8"/>
        <v>kWh</v>
      </c>
      <c r="E80" s="452">
        <f t="shared" si="12"/>
        <v>0.13312928627178908</v>
      </c>
      <c r="F80" s="123" t="str">
        <f t="shared" si="13"/>
        <v>CO2 emissions for electricity 2017 including losses&amp;WTT</v>
      </c>
      <c r="G80" s="98"/>
      <c r="H80" s="98"/>
      <c r="I80" s="98"/>
      <c r="J80" s="377">
        <v>0.1</v>
      </c>
      <c r="K80" s="129" t="str">
        <f>Translate!$A$267</f>
        <v>CO2 emissions for electricity 2017 including losses&amp;WTT</v>
      </c>
      <c r="L80" s="129" t="str">
        <f>Translate!$A$267</f>
        <v>CO2 emissions for electricity 2017 including losses&amp;WTT</v>
      </c>
      <c r="M80" s="129" t="str">
        <f>Translate!$A$267</f>
        <v>CO2 emissions for electricity 2017 including losses&amp;WTT</v>
      </c>
      <c r="N80" s="129" t="str">
        <f>Translate!$A$267</f>
        <v>CO2 emissions for electricity 2017 including losses&amp;WTT</v>
      </c>
      <c r="P80" s="715"/>
      <c r="Q80" s="715"/>
      <c r="R80" s="715"/>
      <c r="S80" s="715"/>
      <c r="T80" s="715"/>
      <c r="U80" s="715"/>
      <c r="V80" s="715"/>
      <c r="W80" s="721"/>
      <c r="X80" s="732">
        <v>0.13312928627178908</v>
      </c>
      <c r="Y80" s="228"/>
      <c r="Z80" s="717"/>
      <c r="AA80" s="665"/>
      <c r="AB80" s="228" t="s">
        <v>45</v>
      </c>
      <c r="AC80" s="228" t="s">
        <v>45</v>
      </c>
    </row>
    <row r="81" spans="1:29" ht="105" hidden="1" outlineLevel="1">
      <c r="A81" s="116">
        <f t="shared" ca="1" si="11"/>
        <v>0</v>
      </c>
      <c r="B81" s="118"/>
      <c r="C81" s="117" t="s">
        <v>2630</v>
      </c>
      <c r="D81" s="126" t="str">
        <f t="shared" si="8"/>
        <v>kWh</v>
      </c>
      <c r="E81" s="452">
        <f t="shared" si="12"/>
        <v>0.9081999999999999</v>
      </c>
      <c r="F81" s="123" t="str">
        <f t="shared" si="13"/>
        <v>CO2 emissions for electricity 2017 including losses&amp;WTT</v>
      </c>
      <c r="G81" s="98"/>
      <c r="H81" s="98"/>
      <c r="I81" s="98"/>
      <c r="J81" s="377">
        <v>0.1</v>
      </c>
      <c r="K81" s="129" t="str">
        <f>Translate!$A$267</f>
        <v>CO2 emissions for electricity 2017 including losses&amp;WTT</v>
      </c>
      <c r="L81" s="129" t="str">
        <f>Translate!$A$267</f>
        <v>CO2 emissions for electricity 2017 including losses&amp;WTT</v>
      </c>
      <c r="M81" s="129" t="str">
        <f>Translate!$A$267</f>
        <v>CO2 emissions for electricity 2017 including losses&amp;WTT</v>
      </c>
      <c r="N81" s="129" t="str">
        <f>Translate!$A$267</f>
        <v>CO2 emissions for electricity 2017 including losses&amp;WTT</v>
      </c>
      <c r="P81" s="715"/>
      <c r="Q81" s="715"/>
      <c r="R81" s="715"/>
      <c r="S81" s="715"/>
      <c r="T81" s="715"/>
      <c r="U81" s="715"/>
      <c r="V81" s="715"/>
      <c r="W81" s="721"/>
      <c r="X81" s="732">
        <v>0.9081999999999999</v>
      </c>
      <c r="Y81" s="228"/>
      <c r="Z81" s="717"/>
      <c r="AA81" s="665"/>
      <c r="AB81" s="228" t="s">
        <v>45</v>
      </c>
      <c r="AC81" s="228" t="s">
        <v>45</v>
      </c>
    </row>
    <row r="82" spans="1:29" ht="105" hidden="1" outlineLevel="1">
      <c r="A82" s="116">
        <f t="shared" ca="1" si="11"/>
        <v>0</v>
      </c>
      <c r="B82" s="118"/>
      <c r="C82" s="117" t="s">
        <v>2631</v>
      </c>
      <c r="D82" s="126" t="str">
        <f t="shared" si="8"/>
        <v>kWh</v>
      </c>
      <c r="E82" s="452">
        <f t="shared" si="12"/>
        <v>0.73843734776200454</v>
      </c>
      <c r="F82" s="123" t="str">
        <f t="shared" si="13"/>
        <v>CO2 emissions for electricity 2017 including losses&amp;WTT</v>
      </c>
      <c r="G82" s="98"/>
      <c r="H82" s="98"/>
      <c r="I82" s="98"/>
      <c r="J82" s="377">
        <v>0.1</v>
      </c>
      <c r="K82" s="129" t="str">
        <f>Translate!$A$267</f>
        <v>CO2 emissions for electricity 2017 including losses&amp;WTT</v>
      </c>
      <c r="L82" s="129" t="str">
        <f>Translate!$A$267</f>
        <v>CO2 emissions for electricity 2017 including losses&amp;WTT</v>
      </c>
      <c r="M82" s="129" t="str">
        <f>Translate!$A$267</f>
        <v>CO2 emissions for electricity 2017 including losses&amp;WTT</v>
      </c>
      <c r="N82" s="129" t="str">
        <f>Translate!$A$267</f>
        <v>CO2 emissions for electricity 2017 including losses&amp;WTT</v>
      </c>
      <c r="P82" s="715"/>
      <c r="Q82" s="715"/>
      <c r="R82" s="715"/>
      <c r="S82" s="715"/>
      <c r="T82" s="715"/>
      <c r="U82" s="715"/>
      <c r="V82" s="715"/>
      <c r="W82" s="721"/>
      <c r="X82" s="732">
        <v>0.73843734776200454</v>
      </c>
      <c r="Y82" s="228"/>
      <c r="Z82" s="717"/>
      <c r="AA82" s="665"/>
      <c r="AB82" s="228" t="s">
        <v>45</v>
      </c>
      <c r="AC82" s="228" t="s">
        <v>45</v>
      </c>
    </row>
    <row r="83" spans="1:29" ht="105" hidden="1" outlineLevel="1">
      <c r="A83" s="116">
        <f t="shared" ca="1" si="11"/>
        <v>0</v>
      </c>
      <c r="B83" s="118"/>
      <c r="C83" s="117" t="s">
        <v>2632</v>
      </c>
      <c r="D83" s="126" t="str">
        <f t="shared" si="8"/>
        <v>kWh</v>
      </c>
      <c r="E83" s="452">
        <f t="shared" si="12"/>
        <v>8.493452588151873E-2</v>
      </c>
      <c r="F83" s="123" t="str">
        <f t="shared" si="13"/>
        <v>CO2 emissions for electricity 2017 including losses&amp;WTT</v>
      </c>
      <c r="G83" s="98"/>
      <c r="H83" s="98"/>
      <c r="I83" s="98"/>
      <c r="J83" s="377">
        <v>0.1</v>
      </c>
      <c r="K83" s="129" t="str">
        <f>Translate!$A$267</f>
        <v>CO2 emissions for electricity 2017 including losses&amp;WTT</v>
      </c>
      <c r="L83" s="129" t="str">
        <f>Translate!$A$267</f>
        <v>CO2 emissions for electricity 2017 including losses&amp;WTT</v>
      </c>
      <c r="M83" s="129" t="str">
        <f>Translate!$A$267</f>
        <v>CO2 emissions for electricity 2017 including losses&amp;WTT</v>
      </c>
      <c r="N83" s="129" t="str">
        <f>Translate!$A$267</f>
        <v>CO2 emissions for electricity 2017 including losses&amp;WTT</v>
      </c>
      <c r="P83" s="715"/>
      <c r="Q83" s="715"/>
      <c r="R83" s="715"/>
      <c r="S83" s="715"/>
      <c r="T83" s="715"/>
      <c r="U83" s="715"/>
      <c r="V83" s="715"/>
      <c r="W83" s="721"/>
      <c r="X83" s="732">
        <v>8.493452588151873E-2</v>
      </c>
      <c r="Y83" s="228"/>
      <c r="Z83" s="717"/>
      <c r="AA83" s="665"/>
      <c r="AB83" s="228" t="s">
        <v>45</v>
      </c>
      <c r="AC83" s="228" t="s">
        <v>45</v>
      </c>
    </row>
    <row r="84" spans="1:29" ht="105" hidden="1" outlineLevel="1">
      <c r="A84" s="116">
        <f t="shared" ca="1" si="11"/>
        <v>0</v>
      </c>
      <c r="B84" s="118"/>
      <c r="C84" s="117" t="s">
        <v>2633</v>
      </c>
      <c r="D84" s="126" t="str">
        <f t="shared" si="8"/>
        <v>kWh</v>
      </c>
      <c r="E84" s="452">
        <f t="shared" si="12"/>
        <v>0.14554221218961624</v>
      </c>
      <c r="F84" s="123" t="str">
        <f t="shared" si="13"/>
        <v>CO2 emissions for electricity 2017 including losses&amp;WTT</v>
      </c>
      <c r="G84" s="98"/>
      <c r="H84" s="98"/>
      <c r="I84" s="98"/>
      <c r="J84" s="377">
        <v>0.1</v>
      </c>
      <c r="K84" s="129" t="str">
        <f>Translate!$A$267</f>
        <v>CO2 emissions for electricity 2017 including losses&amp;WTT</v>
      </c>
      <c r="L84" s="129" t="str">
        <f>Translate!$A$267</f>
        <v>CO2 emissions for electricity 2017 including losses&amp;WTT</v>
      </c>
      <c r="M84" s="129" t="str">
        <f>Translate!$A$267</f>
        <v>CO2 emissions for electricity 2017 including losses&amp;WTT</v>
      </c>
      <c r="N84" s="129" t="str">
        <f>Translate!$A$267</f>
        <v>CO2 emissions for electricity 2017 including losses&amp;WTT</v>
      </c>
      <c r="P84" s="715"/>
      <c r="Q84" s="715"/>
      <c r="R84" s="715"/>
      <c r="S84" s="715"/>
      <c r="T84" s="715"/>
      <c r="U84" s="715"/>
      <c r="V84" s="715"/>
      <c r="W84" s="721"/>
      <c r="X84" s="732">
        <v>0.14554221218961624</v>
      </c>
      <c r="Y84" s="228"/>
      <c r="Z84" s="717"/>
      <c r="AA84" s="665"/>
      <c r="AB84" s="228" t="s">
        <v>45</v>
      </c>
      <c r="AC84" s="228" t="s">
        <v>45</v>
      </c>
    </row>
    <row r="85" spans="1:29" ht="105" hidden="1" outlineLevel="1">
      <c r="A85" s="116">
        <f t="shared" ca="1" si="11"/>
        <v>0</v>
      </c>
      <c r="B85" s="118"/>
      <c r="C85" s="117" t="s">
        <v>2634</v>
      </c>
      <c r="D85" s="126" t="str">
        <f t="shared" si="8"/>
        <v>kWh</v>
      </c>
      <c r="E85" s="452">
        <f t="shared" si="12"/>
        <v>0.16555298363811355</v>
      </c>
      <c r="F85" s="123" t="str">
        <f t="shared" si="13"/>
        <v>CO2 emissions for electricity 2017 including losses&amp;WTT</v>
      </c>
      <c r="G85" s="98"/>
      <c r="H85" s="98"/>
      <c r="I85" s="98"/>
      <c r="J85" s="377">
        <v>0.1</v>
      </c>
      <c r="K85" s="129" t="str">
        <f>Translate!$A$267</f>
        <v>CO2 emissions for electricity 2017 including losses&amp;WTT</v>
      </c>
      <c r="L85" s="129" t="str">
        <f>Translate!$A$267</f>
        <v>CO2 emissions for electricity 2017 including losses&amp;WTT</v>
      </c>
      <c r="M85" s="129" t="str">
        <f>Translate!$A$267</f>
        <v>CO2 emissions for electricity 2017 including losses&amp;WTT</v>
      </c>
      <c r="N85" s="129" t="str">
        <f>Translate!$A$267</f>
        <v>CO2 emissions for electricity 2017 including losses&amp;WTT</v>
      </c>
      <c r="P85" s="715"/>
      <c r="Q85" s="715"/>
      <c r="R85" s="715"/>
      <c r="S85" s="715"/>
      <c r="T85" s="715"/>
      <c r="U85" s="715"/>
      <c r="V85" s="715"/>
      <c r="W85" s="721"/>
      <c r="X85" s="732">
        <v>0.16555298363811355</v>
      </c>
      <c r="Y85" s="228"/>
      <c r="Z85" s="717"/>
      <c r="AA85" s="665"/>
      <c r="AB85" s="228" t="s">
        <v>45</v>
      </c>
      <c r="AC85" s="228" t="s">
        <v>45</v>
      </c>
    </row>
    <row r="86" spans="1:29" ht="105" hidden="1" outlineLevel="1">
      <c r="A86" s="116">
        <f t="shared" ca="1" si="11"/>
        <v>0</v>
      </c>
      <c r="B86" s="118"/>
      <c r="C86" s="117" t="s">
        <v>2635</v>
      </c>
      <c r="D86" s="126" t="str">
        <f t="shared" si="8"/>
        <v>kWh</v>
      </c>
      <c r="E86" s="452">
        <f t="shared" si="12"/>
        <v>0.88333178571428572</v>
      </c>
      <c r="F86" s="123" t="str">
        <f t="shared" si="13"/>
        <v>CO2 emissions for electricity 2017 including losses&amp;WTT</v>
      </c>
      <c r="G86" s="98"/>
      <c r="H86" s="98"/>
      <c r="I86" s="98"/>
      <c r="J86" s="377">
        <v>0.1</v>
      </c>
      <c r="K86" s="129" t="str">
        <f>Translate!$A$267</f>
        <v>CO2 emissions for electricity 2017 including losses&amp;WTT</v>
      </c>
      <c r="L86" s="129" t="str">
        <f>Translate!$A$267</f>
        <v>CO2 emissions for electricity 2017 including losses&amp;WTT</v>
      </c>
      <c r="M86" s="129" t="str">
        <f>Translate!$A$267</f>
        <v>CO2 emissions for electricity 2017 including losses&amp;WTT</v>
      </c>
      <c r="N86" s="129" t="str">
        <f>Translate!$A$267</f>
        <v>CO2 emissions for electricity 2017 including losses&amp;WTT</v>
      </c>
      <c r="P86" s="715"/>
      <c r="Q86" s="715"/>
      <c r="R86" s="715"/>
      <c r="S86" s="715"/>
      <c r="T86" s="715"/>
      <c r="U86" s="715"/>
      <c r="V86" s="715"/>
      <c r="W86" s="721"/>
      <c r="X86" s="732">
        <v>0.88333178571428572</v>
      </c>
      <c r="Y86" s="228"/>
      <c r="Z86" s="717"/>
      <c r="AA86" s="665"/>
      <c r="AB86" s="228" t="s">
        <v>45</v>
      </c>
      <c r="AC86" s="228" t="s">
        <v>45</v>
      </c>
    </row>
    <row r="87" spans="1:29" ht="105" hidden="1" outlineLevel="1">
      <c r="A87" s="116">
        <f t="shared" ca="1" si="11"/>
        <v>0</v>
      </c>
      <c r="B87" s="118"/>
      <c r="C87" s="117" t="s">
        <v>2636</v>
      </c>
      <c r="D87" s="126" t="str">
        <f t="shared" si="8"/>
        <v>kWh</v>
      </c>
      <c r="E87" s="452">
        <f t="shared" si="12"/>
        <v>0.54269118541033434</v>
      </c>
      <c r="F87" s="123" t="str">
        <f t="shared" si="13"/>
        <v>CO2 emissions for electricity 2017 including losses&amp;WTT</v>
      </c>
      <c r="G87" s="98"/>
      <c r="H87" s="98"/>
      <c r="I87" s="98"/>
      <c r="J87" s="377">
        <v>0.1</v>
      </c>
      <c r="K87" s="129" t="str">
        <f>Translate!$A$267</f>
        <v>CO2 emissions for electricity 2017 including losses&amp;WTT</v>
      </c>
      <c r="L87" s="129" t="str">
        <f>Translate!$A$267</f>
        <v>CO2 emissions for electricity 2017 including losses&amp;WTT</v>
      </c>
      <c r="M87" s="129" t="str">
        <f>Translate!$A$267</f>
        <v>CO2 emissions for electricity 2017 including losses&amp;WTT</v>
      </c>
      <c r="N87" s="129" t="str">
        <f>Translate!$A$267</f>
        <v>CO2 emissions for electricity 2017 including losses&amp;WTT</v>
      </c>
      <c r="P87" s="715"/>
      <c r="Q87" s="715"/>
      <c r="R87" s="715"/>
      <c r="S87" s="715"/>
      <c r="T87" s="715"/>
      <c r="U87" s="715"/>
      <c r="V87" s="715"/>
      <c r="W87" s="721"/>
      <c r="X87" s="732">
        <v>0.54269118541033434</v>
      </c>
      <c r="Y87" s="228"/>
      <c r="Z87" s="717"/>
      <c r="AA87" s="665"/>
      <c r="AB87" s="228" t="s">
        <v>45</v>
      </c>
      <c r="AC87" s="228" t="s">
        <v>45</v>
      </c>
    </row>
    <row r="88" spans="1:29" ht="105" hidden="1" outlineLevel="1">
      <c r="A88" s="116">
        <f t="shared" ca="1" si="11"/>
        <v>0</v>
      </c>
      <c r="B88" s="118"/>
      <c r="C88" s="117" t="s">
        <v>2637</v>
      </c>
      <c r="D88" s="126" t="str">
        <f t="shared" si="8"/>
        <v>kWh</v>
      </c>
      <c r="E88" s="452">
        <f t="shared" si="12"/>
        <v>0.61504662638469287</v>
      </c>
      <c r="F88" s="123" t="str">
        <f t="shared" si="13"/>
        <v>CO2 emissions for electricity 2017 including losses&amp;WTT</v>
      </c>
      <c r="G88" s="98"/>
      <c r="H88" s="98"/>
      <c r="I88" s="98"/>
      <c r="J88" s="377">
        <v>0.1</v>
      </c>
      <c r="K88" s="129" t="str">
        <f>Translate!$A$267</f>
        <v>CO2 emissions for electricity 2017 including losses&amp;WTT</v>
      </c>
      <c r="L88" s="129" t="str">
        <f>Translate!$A$267</f>
        <v>CO2 emissions for electricity 2017 including losses&amp;WTT</v>
      </c>
      <c r="M88" s="129" t="str">
        <f>Translate!$A$267</f>
        <v>CO2 emissions for electricity 2017 including losses&amp;WTT</v>
      </c>
      <c r="N88" s="129" t="str">
        <f>Translate!$A$267</f>
        <v>CO2 emissions for electricity 2017 including losses&amp;WTT</v>
      </c>
      <c r="P88" s="715"/>
      <c r="Q88" s="715"/>
      <c r="R88" s="715"/>
      <c r="S88" s="715"/>
      <c r="T88" s="715"/>
      <c r="U88" s="715"/>
      <c r="V88" s="715"/>
      <c r="W88" s="721"/>
      <c r="X88" s="732">
        <v>0.61504662638469287</v>
      </c>
      <c r="Y88" s="228"/>
      <c r="Z88" s="717"/>
      <c r="AA88" s="665"/>
      <c r="AB88" s="228" t="s">
        <v>45</v>
      </c>
      <c r="AC88" s="228" t="s">
        <v>45</v>
      </c>
    </row>
    <row r="89" spans="1:29" ht="105" hidden="1" outlineLevel="1">
      <c r="A89" s="116">
        <f t="shared" ca="1" si="11"/>
        <v>0</v>
      </c>
      <c r="B89" s="118"/>
      <c r="C89" s="117" t="s">
        <v>2638</v>
      </c>
      <c r="D89" s="126" t="str">
        <f t="shared" si="8"/>
        <v>kWh</v>
      </c>
      <c r="E89" s="452">
        <f t="shared" si="12"/>
        <v>0.43166531354983201</v>
      </c>
      <c r="F89" s="123" t="str">
        <f t="shared" si="13"/>
        <v>CO2 emissions for electricity 2017 including losses&amp;WTT</v>
      </c>
      <c r="G89" s="98"/>
      <c r="H89" s="98"/>
      <c r="I89" s="98"/>
      <c r="J89" s="377">
        <v>0.1</v>
      </c>
      <c r="K89" s="129" t="str">
        <f>Translate!$A$267</f>
        <v>CO2 emissions for electricity 2017 including losses&amp;WTT</v>
      </c>
      <c r="L89" s="129" t="str">
        <f>Translate!$A$267</f>
        <v>CO2 emissions for electricity 2017 including losses&amp;WTT</v>
      </c>
      <c r="M89" s="129" t="str">
        <f>Translate!$A$267</f>
        <v>CO2 emissions for electricity 2017 including losses&amp;WTT</v>
      </c>
      <c r="N89" s="129" t="str">
        <f>Translate!$A$267</f>
        <v>CO2 emissions for electricity 2017 including losses&amp;WTT</v>
      </c>
      <c r="P89" s="715"/>
      <c r="Q89" s="715"/>
      <c r="R89" s="715"/>
      <c r="S89" s="715"/>
      <c r="T89" s="715"/>
      <c r="U89" s="715"/>
      <c r="V89" s="715"/>
      <c r="W89" s="721"/>
      <c r="X89" s="732">
        <v>0.43166531354983201</v>
      </c>
      <c r="Y89" s="228"/>
      <c r="Z89" s="717"/>
      <c r="AA89" s="665"/>
      <c r="AB89" s="228" t="s">
        <v>45</v>
      </c>
      <c r="AC89" s="228" t="s">
        <v>45</v>
      </c>
    </row>
    <row r="90" spans="1:29" ht="105" hidden="1" outlineLevel="1">
      <c r="A90" s="116">
        <f t="shared" ca="1" si="11"/>
        <v>0</v>
      </c>
      <c r="B90" s="118"/>
      <c r="C90" s="117" t="s">
        <v>2639</v>
      </c>
      <c r="D90" s="126" t="str">
        <f t="shared" si="8"/>
        <v>kWh</v>
      </c>
      <c r="E90" s="452">
        <f t="shared" si="12"/>
        <v>0.45012428672864296</v>
      </c>
      <c r="F90" s="123" t="str">
        <f t="shared" si="13"/>
        <v>CO2 emissions for electricity 2017 including losses&amp;WTT</v>
      </c>
      <c r="G90" s="98"/>
      <c r="H90" s="98"/>
      <c r="I90" s="98"/>
      <c r="J90" s="377">
        <v>0.1</v>
      </c>
      <c r="K90" s="129" t="str">
        <f>Translate!$A$267</f>
        <v>CO2 emissions for electricity 2017 including losses&amp;WTT</v>
      </c>
      <c r="L90" s="129" t="str">
        <f>Translate!$A$267</f>
        <v>CO2 emissions for electricity 2017 including losses&amp;WTT</v>
      </c>
      <c r="M90" s="129" t="str">
        <f>Translate!$A$267</f>
        <v>CO2 emissions for electricity 2017 including losses&amp;WTT</v>
      </c>
      <c r="N90" s="129" t="str">
        <f>Translate!$A$267</f>
        <v>CO2 emissions for electricity 2017 including losses&amp;WTT</v>
      </c>
      <c r="P90" s="715"/>
      <c r="Q90" s="715"/>
      <c r="R90" s="715"/>
      <c r="S90" s="715"/>
      <c r="T90" s="715"/>
      <c r="U90" s="715"/>
      <c r="V90" s="715"/>
      <c r="W90" s="721"/>
      <c r="X90" s="732">
        <v>0.45012428672864296</v>
      </c>
      <c r="Y90" s="228"/>
      <c r="Z90" s="717"/>
      <c r="AA90" s="665"/>
      <c r="AB90" s="228" t="s">
        <v>45</v>
      </c>
      <c r="AC90" s="228" t="s">
        <v>45</v>
      </c>
    </row>
    <row r="91" spans="1:29" ht="105" hidden="1" outlineLevel="1">
      <c r="A91" s="116">
        <f t="shared" ca="1" si="11"/>
        <v>0</v>
      </c>
      <c r="B91" s="118"/>
      <c r="C91" s="117" t="s">
        <v>2640</v>
      </c>
      <c r="D91" s="126" t="str">
        <f t="shared" si="8"/>
        <v>kWh</v>
      </c>
      <c r="E91" s="452">
        <f t="shared" si="12"/>
        <v>0.90694734845249736</v>
      </c>
      <c r="F91" s="123" t="str">
        <f t="shared" si="13"/>
        <v>CO2 emissions for electricity 2017 including losses&amp;WTT</v>
      </c>
      <c r="G91" s="98"/>
      <c r="H91" s="98"/>
      <c r="I91" s="98"/>
      <c r="J91" s="377">
        <v>0.1</v>
      </c>
      <c r="K91" s="129" t="str">
        <f>Translate!$A$267</f>
        <v>CO2 emissions for electricity 2017 including losses&amp;WTT</v>
      </c>
      <c r="L91" s="129" t="str">
        <f>Translate!$A$267</f>
        <v>CO2 emissions for electricity 2017 including losses&amp;WTT</v>
      </c>
      <c r="M91" s="129" t="str">
        <f>Translate!$A$267</f>
        <v>CO2 emissions for electricity 2017 including losses&amp;WTT</v>
      </c>
      <c r="N91" s="129" t="str">
        <f>Translate!$A$267</f>
        <v>CO2 emissions for electricity 2017 including losses&amp;WTT</v>
      </c>
      <c r="P91" s="715"/>
      <c r="Q91" s="715"/>
      <c r="R91" s="715"/>
      <c r="S91" s="715"/>
      <c r="T91" s="715"/>
      <c r="U91" s="715"/>
      <c r="V91" s="715"/>
      <c r="W91" s="721"/>
      <c r="X91" s="732">
        <v>0.90694734845249736</v>
      </c>
      <c r="Y91" s="228"/>
      <c r="Z91" s="717"/>
      <c r="AA91" s="665"/>
      <c r="AB91" s="228" t="s">
        <v>45</v>
      </c>
      <c r="AC91" s="228" t="s">
        <v>45</v>
      </c>
    </row>
    <row r="92" spans="1:29" ht="105" hidden="1" outlineLevel="1">
      <c r="A92" s="116">
        <f t="shared" ca="1" si="11"/>
        <v>0</v>
      </c>
      <c r="B92" s="118"/>
      <c r="C92" s="117" t="s">
        <v>2641</v>
      </c>
      <c r="D92" s="126" t="str">
        <f t="shared" si="8"/>
        <v>kWh</v>
      </c>
      <c r="E92" s="452">
        <f t="shared" si="12"/>
        <v>7.2782676382908251E-2</v>
      </c>
      <c r="F92" s="123" t="str">
        <f t="shared" si="13"/>
        <v>CO2 emissions for electricity 2017 including losses&amp;WTT</v>
      </c>
      <c r="G92" s="98"/>
      <c r="H92" s="98"/>
      <c r="I92" s="98"/>
      <c r="J92" s="377">
        <v>0.1</v>
      </c>
      <c r="K92" s="129" t="str">
        <f>Translate!$A$267</f>
        <v>CO2 emissions for electricity 2017 including losses&amp;WTT</v>
      </c>
      <c r="L92" s="129" t="str">
        <f>Translate!$A$267</f>
        <v>CO2 emissions for electricity 2017 including losses&amp;WTT</v>
      </c>
      <c r="M92" s="129" t="str">
        <f>Translate!$A$267</f>
        <v>CO2 emissions for electricity 2017 including losses&amp;WTT</v>
      </c>
      <c r="N92" s="129" t="str">
        <f>Translate!$A$267</f>
        <v>CO2 emissions for electricity 2017 including losses&amp;WTT</v>
      </c>
      <c r="P92" s="715"/>
      <c r="Q92" s="715"/>
      <c r="R92" s="715"/>
      <c r="S92" s="715"/>
      <c r="T92" s="715"/>
      <c r="U92" s="715"/>
      <c r="V92" s="715"/>
      <c r="W92" s="721"/>
      <c r="X92" s="732">
        <v>7.2782676382908251E-2</v>
      </c>
      <c r="Y92" s="228"/>
      <c r="Z92" s="717"/>
      <c r="AA92" s="665"/>
      <c r="AB92" s="228" t="s">
        <v>45</v>
      </c>
      <c r="AC92" s="228" t="s">
        <v>45</v>
      </c>
    </row>
    <row r="93" spans="1:29" ht="105" hidden="1" outlineLevel="1">
      <c r="A93" s="116">
        <f t="shared" ca="1" si="11"/>
        <v>0</v>
      </c>
      <c r="B93" s="118"/>
      <c r="C93" s="117" t="s">
        <v>2642</v>
      </c>
      <c r="D93" s="126" t="str">
        <f t="shared" si="8"/>
        <v>kWh</v>
      </c>
      <c r="E93" s="452">
        <f t="shared" si="12"/>
        <v>1.1052</v>
      </c>
      <c r="F93" s="123" t="str">
        <f t="shared" si="13"/>
        <v>CO2 emissions for electricity 2017 including losses&amp;WTT</v>
      </c>
      <c r="G93" s="98"/>
      <c r="H93" s="98"/>
      <c r="I93" s="98"/>
      <c r="J93" s="377">
        <v>0.1</v>
      </c>
      <c r="K93" s="129" t="str">
        <f>Translate!$A$267</f>
        <v>CO2 emissions for electricity 2017 including losses&amp;WTT</v>
      </c>
      <c r="L93" s="129" t="str">
        <f>Translate!$A$267</f>
        <v>CO2 emissions for electricity 2017 including losses&amp;WTT</v>
      </c>
      <c r="M93" s="129" t="str">
        <f>Translate!$A$267</f>
        <v>CO2 emissions for electricity 2017 including losses&amp;WTT</v>
      </c>
      <c r="N93" s="129" t="str">
        <f>Translate!$A$267</f>
        <v>CO2 emissions for electricity 2017 including losses&amp;WTT</v>
      </c>
      <c r="P93" s="715"/>
      <c r="Q93" s="715"/>
      <c r="R93" s="715"/>
      <c r="S93" s="715"/>
      <c r="T93" s="715"/>
      <c r="U93" s="715"/>
      <c r="V93" s="715"/>
      <c r="W93" s="721"/>
      <c r="X93" s="732">
        <v>1.1052</v>
      </c>
      <c r="Y93" s="228"/>
      <c r="Z93" s="717"/>
      <c r="AA93" s="665"/>
      <c r="AB93" s="228" t="s">
        <v>45</v>
      </c>
      <c r="AC93" s="228" t="s">
        <v>45</v>
      </c>
    </row>
    <row r="94" spans="1:29" ht="105" hidden="1" outlineLevel="1">
      <c r="A94" s="116">
        <f t="shared" ca="1" si="11"/>
        <v>0</v>
      </c>
      <c r="B94" s="118"/>
      <c r="C94" s="117" t="s">
        <v>2643</v>
      </c>
      <c r="D94" s="126" t="str">
        <f t="shared" si="8"/>
        <v>kWh</v>
      </c>
      <c r="E94" s="452">
        <f t="shared" si="12"/>
        <v>0.4482754498656974</v>
      </c>
      <c r="F94" s="123" t="str">
        <f t="shared" si="13"/>
        <v>CO2 emissions for electricity 2017 including losses&amp;WTT</v>
      </c>
      <c r="G94" s="98"/>
      <c r="H94" s="98"/>
      <c r="I94" s="98"/>
      <c r="J94" s="377">
        <v>0.1</v>
      </c>
      <c r="K94" s="129" t="str">
        <f>Translate!$A$267</f>
        <v>CO2 emissions for electricity 2017 including losses&amp;WTT</v>
      </c>
      <c r="L94" s="129" t="str">
        <f>Translate!$A$267</f>
        <v>CO2 emissions for electricity 2017 including losses&amp;WTT</v>
      </c>
      <c r="M94" s="129" t="str">
        <f>Translate!$A$267</f>
        <v>CO2 emissions for electricity 2017 including losses&amp;WTT</v>
      </c>
      <c r="N94" s="129" t="str">
        <f>Translate!$A$267</f>
        <v>CO2 emissions for electricity 2017 including losses&amp;WTT</v>
      </c>
      <c r="P94" s="715"/>
      <c r="Q94" s="715"/>
      <c r="R94" s="715"/>
      <c r="S94" s="715"/>
      <c r="T94" s="715"/>
      <c r="U94" s="715"/>
      <c r="V94" s="715"/>
      <c r="W94" s="721"/>
      <c r="X94" s="732">
        <v>0.4482754498656974</v>
      </c>
      <c r="Y94" s="228"/>
      <c r="Z94" s="717"/>
      <c r="AA94" s="665"/>
      <c r="AB94" s="228" t="s">
        <v>45</v>
      </c>
      <c r="AC94" s="228" t="s">
        <v>45</v>
      </c>
    </row>
    <row r="95" spans="1:29" ht="105" hidden="1" outlineLevel="1">
      <c r="A95" s="116">
        <f t="shared" ca="1" si="11"/>
        <v>0</v>
      </c>
      <c r="B95" s="118"/>
      <c r="C95" s="117" t="s">
        <v>2644</v>
      </c>
      <c r="D95" s="126" t="str">
        <f t="shared" si="8"/>
        <v>kWh</v>
      </c>
      <c r="E95" s="452">
        <f t="shared" si="12"/>
        <v>0.70535020715996632</v>
      </c>
      <c r="F95" s="123" t="str">
        <f t="shared" si="13"/>
        <v>CO2 emissions for electricity 2017 including losses&amp;WTT</v>
      </c>
      <c r="G95" s="98"/>
      <c r="H95" s="98"/>
      <c r="I95" s="98"/>
      <c r="J95" s="377">
        <v>0.1</v>
      </c>
      <c r="K95" s="129" t="str">
        <f>Translate!$A$267</f>
        <v>CO2 emissions for electricity 2017 including losses&amp;WTT</v>
      </c>
      <c r="L95" s="129" t="str">
        <f>Translate!$A$267</f>
        <v>CO2 emissions for electricity 2017 including losses&amp;WTT</v>
      </c>
      <c r="M95" s="129" t="str">
        <f>Translate!$A$267</f>
        <v>CO2 emissions for electricity 2017 including losses&amp;WTT</v>
      </c>
      <c r="N95" s="129" t="str">
        <f>Translate!$A$267</f>
        <v>CO2 emissions for electricity 2017 including losses&amp;WTT</v>
      </c>
      <c r="P95" s="715"/>
      <c r="Q95" s="715"/>
      <c r="R95" s="715"/>
      <c r="S95" s="715"/>
      <c r="T95" s="715"/>
      <c r="U95" s="715"/>
      <c r="V95" s="715"/>
      <c r="W95" s="721"/>
      <c r="X95" s="732">
        <v>0.70535020715996632</v>
      </c>
      <c r="Y95" s="228"/>
      <c r="Z95" s="717"/>
      <c r="AA95" s="665"/>
      <c r="AB95" s="228" t="s">
        <v>45</v>
      </c>
      <c r="AC95" s="228" t="s">
        <v>45</v>
      </c>
    </row>
    <row r="96" spans="1:29" ht="105" hidden="1" outlineLevel="1">
      <c r="A96" s="116">
        <f t="shared" ca="1" si="11"/>
        <v>0</v>
      </c>
      <c r="B96" s="118"/>
      <c r="C96" s="117" t="s">
        <v>2645</v>
      </c>
      <c r="D96" s="126" t="str">
        <f t="shared" si="8"/>
        <v>kWh</v>
      </c>
      <c r="E96" s="452">
        <f t="shared" si="12"/>
        <v>0.19373306813316288</v>
      </c>
      <c r="F96" s="123" t="str">
        <f t="shared" si="13"/>
        <v>CO2 emissions for electricity 2017 including losses&amp;WTT</v>
      </c>
      <c r="G96" s="98"/>
      <c r="H96" s="98"/>
      <c r="I96" s="98"/>
      <c r="J96" s="377">
        <v>0.1</v>
      </c>
      <c r="K96" s="129" t="str">
        <f>Translate!$A$267</f>
        <v>CO2 emissions for electricity 2017 including losses&amp;WTT</v>
      </c>
      <c r="L96" s="129" t="str">
        <f>Translate!$A$267</f>
        <v>CO2 emissions for electricity 2017 including losses&amp;WTT</v>
      </c>
      <c r="M96" s="129" t="str">
        <f>Translate!$A$267</f>
        <v>CO2 emissions for electricity 2017 including losses&amp;WTT</v>
      </c>
      <c r="N96" s="129" t="str">
        <f>Translate!$A$267</f>
        <v>CO2 emissions for electricity 2017 including losses&amp;WTT</v>
      </c>
      <c r="P96" s="715"/>
      <c r="Q96" s="715"/>
      <c r="R96" s="715"/>
      <c r="S96" s="715"/>
      <c r="T96" s="715"/>
      <c r="U96" s="715"/>
      <c r="V96" s="715"/>
      <c r="W96" s="721"/>
      <c r="X96" s="732">
        <v>0.19373306813316288</v>
      </c>
      <c r="Y96" s="228"/>
      <c r="Z96" s="717"/>
      <c r="AA96" s="665"/>
      <c r="AB96" s="228" t="s">
        <v>45</v>
      </c>
      <c r="AC96" s="228" t="s">
        <v>45</v>
      </c>
    </row>
    <row r="97" spans="1:29" ht="105" hidden="1" outlineLevel="1">
      <c r="A97" s="116">
        <f t="shared" ca="1" si="11"/>
        <v>0</v>
      </c>
      <c r="B97" s="118"/>
      <c r="C97" s="117" t="s">
        <v>2646</v>
      </c>
      <c r="D97" s="126" t="str">
        <f t="shared" si="8"/>
        <v>kWh</v>
      </c>
      <c r="E97" s="452">
        <f t="shared" si="12"/>
        <v>0.53818881221904635</v>
      </c>
      <c r="F97" s="123" t="str">
        <f t="shared" si="13"/>
        <v>CO2 emissions for electricity 2017 including losses&amp;WTT</v>
      </c>
      <c r="G97" s="98"/>
      <c r="H97" s="98"/>
      <c r="I97" s="98"/>
      <c r="J97" s="377">
        <v>0.1</v>
      </c>
      <c r="K97" s="129" t="str">
        <f>Translate!$A$267</f>
        <v>CO2 emissions for electricity 2017 including losses&amp;WTT</v>
      </c>
      <c r="L97" s="129" t="str">
        <f>Translate!$A$267</f>
        <v>CO2 emissions for electricity 2017 including losses&amp;WTT</v>
      </c>
      <c r="M97" s="129" t="str">
        <f>Translate!$A$267</f>
        <v>CO2 emissions for electricity 2017 including losses&amp;WTT</v>
      </c>
      <c r="N97" s="129" t="str">
        <f>Translate!$A$267</f>
        <v>CO2 emissions for electricity 2017 including losses&amp;WTT</v>
      </c>
      <c r="P97" s="715"/>
      <c r="Q97" s="715"/>
      <c r="R97" s="715"/>
      <c r="S97" s="715"/>
      <c r="T97" s="715"/>
      <c r="U97" s="715"/>
      <c r="V97" s="715"/>
      <c r="W97" s="721"/>
      <c r="X97" s="732">
        <v>0.53818881221904635</v>
      </c>
      <c r="Y97" s="228"/>
      <c r="Z97" s="717"/>
      <c r="AA97" s="665"/>
      <c r="AB97" s="228" t="s">
        <v>45</v>
      </c>
      <c r="AC97" s="228" t="s">
        <v>45</v>
      </c>
    </row>
    <row r="98" spans="1:29" ht="105" hidden="1" outlineLevel="1">
      <c r="A98" s="116">
        <f t="shared" ca="1" si="11"/>
        <v>0</v>
      </c>
      <c r="B98" s="118"/>
      <c r="C98" s="117" t="s">
        <v>2647</v>
      </c>
      <c r="D98" s="126" t="str">
        <f t="shared" si="8"/>
        <v>kWh</v>
      </c>
      <c r="E98" s="452">
        <f t="shared" si="12"/>
        <v>0.62616260657885758</v>
      </c>
      <c r="F98" s="123" t="str">
        <f t="shared" si="13"/>
        <v>CO2 emissions for electricity 2017 including losses&amp;WTT</v>
      </c>
      <c r="G98" s="98"/>
      <c r="H98" s="98"/>
      <c r="I98" s="98"/>
      <c r="J98" s="377">
        <v>0.1</v>
      </c>
      <c r="K98" s="129" t="str">
        <f>Translate!$A$267</f>
        <v>CO2 emissions for electricity 2017 including losses&amp;WTT</v>
      </c>
      <c r="L98" s="129" t="str">
        <f>Translate!$A$267</f>
        <v>CO2 emissions for electricity 2017 including losses&amp;WTT</v>
      </c>
      <c r="M98" s="129" t="str">
        <f>Translate!$A$267</f>
        <v>CO2 emissions for electricity 2017 including losses&amp;WTT</v>
      </c>
      <c r="N98" s="129" t="str">
        <f>Translate!$A$267</f>
        <v>CO2 emissions for electricity 2017 including losses&amp;WTT</v>
      </c>
      <c r="P98" s="715"/>
      <c r="Q98" s="715"/>
      <c r="R98" s="715"/>
      <c r="S98" s="715"/>
      <c r="T98" s="715"/>
      <c r="U98" s="715"/>
      <c r="V98" s="715"/>
      <c r="W98" s="721"/>
      <c r="X98" s="732">
        <v>0.62616260657885758</v>
      </c>
      <c r="Y98" s="228"/>
      <c r="Z98" s="717"/>
      <c r="AA98" s="665"/>
      <c r="AB98" s="228" t="s">
        <v>45</v>
      </c>
      <c r="AC98" s="228" t="s">
        <v>45</v>
      </c>
    </row>
    <row r="99" spans="1:29" ht="105" hidden="1" outlineLevel="1">
      <c r="A99" s="116">
        <f t="shared" ca="1" si="11"/>
        <v>0</v>
      </c>
      <c r="B99" s="118"/>
      <c r="C99" s="117" t="s">
        <v>2648</v>
      </c>
      <c r="D99" s="126" t="str">
        <f t="shared" si="8"/>
        <v>kWh</v>
      </c>
      <c r="E99" s="452">
        <f t="shared" si="12"/>
        <v>0.51451807772666402</v>
      </c>
      <c r="F99" s="123" t="str">
        <f t="shared" si="13"/>
        <v>CO2 emissions for electricity 2017 including losses&amp;WTT</v>
      </c>
      <c r="G99" s="98"/>
      <c r="H99" s="98"/>
      <c r="I99" s="98"/>
      <c r="J99" s="377">
        <v>0.1</v>
      </c>
      <c r="K99" s="129" t="str">
        <f>Translate!$A$267</f>
        <v>CO2 emissions for electricity 2017 including losses&amp;WTT</v>
      </c>
      <c r="L99" s="129" t="str">
        <f>Translate!$A$267</f>
        <v>CO2 emissions for electricity 2017 including losses&amp;WTT</v>
      </c>
      <c r="M99" s="129" t="str">
        <f>Translate!$A$267</f>
        <v>CO2 emissions for electricity 2017 including losses&amp;WTT</v>
      </c>
      <c r="N99" s="129" t="str">
        <f>Translate!$A$267</f>
        <v>CO2 emissions for electricity 2017 including losses&amp;WTT</v>
      </c>
      <c r="P99" s="715"/>
      <c r="Q99" s="715"/>
      <c r="R99" s="715"/>
      <c r="S99" s="715"/>
      <c r="T99" s="715"/>
      <c r="U99" s="715"/>
      <c r="V99" s="715"/>
      <c r="W99" s="721"/>
      <c r="X99" s="732">
        <v>0.51451807772666402</v>
      </c>
      <c r="Y99" s="228"/>
      <c r="Z99" s="717"/>
      <c r="AA99" s="665"/>
      <c r="AB99" s="228" t="s">
        <v>45</v>
      </c>
      <c r="AC99" s="228" t="s">
        <v>45</v>
      </c>
    </row>
    <row r="100" spans="1:29" ht="105" hidden="1" outlineLevel="1">
      <c r="A100" s="116">
        <f t="shared" ca="1" si="11"/>
        <v>0</v>
      </c>
      <c r="B100" s="118"/>
      <c r="C100" s="117" t="s">
        <v>2649</v>
      </c>
      <c r="D100" s="126" t="str">
        <f t="shared" si="8"/>
        <v>kWh</v>
      </c>
      <c r="E100" s="452">
        <f t="shared" si="12"/>
        <v>0.8669238595756884</v>
      </c>
      <c r="F100" s="123" t="str">
        <f t="shared" si="13"/>
        <v>CO2 emissions for electricity 2017 including losses&amp;WTT</v>
      </c>
      <c r="G100" s="98"/>
      <c r="H100" s="98"/>
      <c r="I100" s="98"/>
      <c r="J100" s="377">
        <v>0.1</v>
      </c>
      <c r="K100" s="129" t="str">
        <f>Translate!$A$267</f>
        <v>CO2 emissions for electricity 2017 including losses&amp;WTT</v>
      </c>
      <c r="L100" s="129" t="str">
        <f>Translate!$A$267</f>
        <v>CO2 emissions for electricity 2017 including losses&amp;WTT</v>
      </c>
      <c r="M100" s="129" t="str">
        <f>Translate!$A$267</f>
        <v>CO2 emissions for electricity 2017 including losses&amp;WTT</v>
      </c>
      <c r="N100" s="129" t="str">
        <f>Translate!$A$267</f>
        <v>CO2 emissions for electricity 2017 including losses&amp;WTT</v>
      </c>
      <c r="P100" s="715"/>
      <c r="Q100" s="715"/>
      <c r="R100" s="715"/>
      <c r="S100" s="715"/>
      <c r="T100" s="715"/>
      <c r="U100" s="715"/>
      <c r="V100" s="715"/>
      <c r="W100" s="721"/>
      <c r="X100" s="732">
        <v>0.8669238595756884</v>
      </c>
      <c r="Y100" s="228"/>
      <c r="Z100" s="717"/>
      <c r="AA100" s="665"/>
      <c r="AB100" s="228" t="s">
        <v>45</v>
      </c>
      <c r="AC100" s="228" t="s">
        <v>45</v>
      </c>
    </row>
    <row r="101" spans="1:29" ht="105" hidden="1" outlineLevel="1">
      <c r="A101" s="116">
        <f t="shared" ca="1" si="11"/>
        <v>0</v>
      </c>
      <c r="B101" s="118"/>
      <c r="C101" s="117" t="s">
        <v>2650</v>
      </c>
      <c r="D101" s="126" t="str">
        <f t="shared" si="8"/>
        <v>kWh</v>
      </c>
      <c r="E101" s="452">
        <f t="shared" si="12"/>
        <v>0.66289694066703253</v>
      </c>
      <c r="F101" s="123" t="str">
        <f t="shared" si="13"/>
        <v>CO2 emissions for electricity 2017 including losses&amp;WTT</v>
      </c>
      <c r="G101" s="98"/>
      <c r="H101" s="98"/>
      <c r="I101" s="98"/>
      <c r="J101" s="377">
        <v>0.1</v>
      </c>
      <c r="K101" s="129" t="str">
        <f>Translate!$A$267</f>
        <v>CO2 emissions for electricity 2017 including losses&amp;WTT</v>
      </c>
      <c r="L101" s="129" t="str">
        <f>Translate!$A$267</f>
        <v>CO2 emissions for electricity 2017 including losses&amp;WTT</v>
      </c>
      <c r="M101" s="129" t="str">
        <f>Translate!$A$267</f>
        <v>CO2 emissions for electricity 2017 including losses&amp;WTT</v>
      </c>
      <c r="N101" s="129" t="str">
        <f>Translate!$A$267</f>
        <v>CO2 emissions for electricity 2017 including losses&amp;WTT</v>
      </c>
      <c r="P101" s="715"/>
      <c r="Q101" s="715"/>
      <c r="R101" s="715"/>
      <c r="S101" s="715"/>
      <c r="T101" s="715"/>
      <c r="U101" s="715"/>
      <c r="V101" s="715"/>
      <c r="W101" s="721"/>
      <c r="X101" s="732">
        <v>0.66289694066703253</v>
      </c>
      <c r="Y101" s="228"/>
      <c r="Z101" s="717"/>
      <c r="AA101" s="665"/>
      <c r="AB101" s="228" t="s">
        <v>45</v>
      </c>
      <c r="AC101" s="228" t="s">
        <v>45</v>
      </c>
    </row>
    <row r="102" spans="1:29" ht="105" hidden="1" outlineLevel="1">
      <c r="A102" s="116">
        <f t="shared" ca="1" si="11"/>
        <v>0</v>
      </c>
      <c r="B102" s="118"/>
      <c r="C102" s="117" t="s">
        <v>2651</v>
      </c>
      <c r="D102" s="126" t="str">
        <f t="shared" si="8"/>
        <v>kWh</v>
      </c>
      <c r="E102" s="452">
        <f t="shared" si="12"/>
        <v>0.62746572943425882</v>
      </c>
      <c r="F102" s="123" t="str">
        <f t="shared" si="13"/>
        <v>CO2 emissions for electricity 2017 including losses&amp;WTT</v>
      </c>
      <c r="G102" s="98"/>
      <c r="H102" s="98"/>
      <c r="I102" s="98"/>
      <c r="J102" s="377">
        <v>0.1</v>
      </c>
      <c r="K102" s="129" t="str">
        <f>Translate!$A$267</f>
        <v>CO2 emissions for electricity 2017 including losses&amp;WTT</v>
      </c>
      <c r="L102" s="129" t="str">
        <f>Translate!$A$267</f>
        <v>CO2 emissions for electricity 2017 including losses&amp;WTT</v>
      </c>
      <c r="M102" s="129" t="str">
        <f>Translate!$A$267</f>
        <v>CO2 emissions for electricity 2017 including losses&amp;WTT</v>
      </c>
      <c r="N102" s="129" t="str">
        <f>Translate!$A$267</f>
        <v>CO2 emissions for electricity 2017 including losses&amp;WTT</v>
      </c>
      <c r="P102" s="715"/>
      <c r="Q102" s="715"/>
      <c r="R102" s="715"/>
      <c r="S102" s="715"/>
      <c r="T102" s="715"/>
      <c r="U102" s="715"/>
      <c r="V102" s="715"/>
      <c r="W102" s="721"/>
      <c r="X102" s="732">
        <v>0.62746572943425882</v>
      </c>
      <c r="Y102" s="228"/>
      <c r="Z102" s="717"/>
      <c r="AA102" s="665"/>
      <c r="AB102" s="228" t="s">
        <v>45</v>
      </c>
      <c r="AC102" s="228" t="s">
        <v>45</v>
      </c>
    </row>
    <row r="103" spans="1:29" ht="105" hidden="1" outlineLevel="1">
      <c r="A103" s="116">
        <f t="shared" ca="1" si="11"/>
        <v>0</v>
      </c>
      <c r="B103" s="118"/>
      <c r="C103" s="117" t="s">
        <v>2652</v>
      </c>
      <c r="D103" s="126" t="str">
        <f t="shared" si="8"/>
        <v>kWh</v>
      </c>
      <c r="E103" s="452">
        <f t="shared" si="12"/>
        <v>0.62679800209933312</v>
      </c>
      <c r="F103" s="123" t="str">
        <f t="shared" si="13"/>
        <v>CO2 emissions for electricity 2017 including losses&amp;WTT</v>
      </c>
      <c r="G103" s="98"/>
      <c r="H103" s="98"/>
      <c r="I103" s="98"/>
      <c r="J103" s="377">
        <v>0.1</v>
      </c>
      <c r="K103" s="129" t="str">
        <f>Translate!$A$267</f>
        <v>CO2 emissions for electricity 2017 including losses&amp;WTT</v>
      </c>
      <c r="L103" s="129" t="str">
        <f>Translate!$A$267</f>
        <v>CO2 emissions for electricity 2017 including losses&amp;WTT</v>
      </c>
      <c r="M103" s="129" t="str">
        <f>Translate!$A$267</f>
        <v>CO2 emissions for electricity 2017 including losses&amp;WTT</v>
      </c>
      <c r="N103" s="129" t="str">
        <f>Translate!$A$267</f>
        <v>CO2 emissions for electricity 2017 including losses&amp;WTT</v>
      </c>
      <c r="P103" s="715"/>
      <c r="Q103" s="715"/>
      <c r="R103" s="715"/>
      <c r="S103" s="715"/>
      <c r="T103" s="715"/>
      <c r="U103" s="715"/>
      <c r="V103" s="715"/>
      <c r="W103" s="721"/>
      <c r="X103" s="732">
        <v>0.62679800209933312</v>
      </c>
      <c r="Y103" s="228"/>
      <c r="Z103" s="717"/>
      <c r="AA103" s="665"/>
      <c r="AB103" s="228" t="s">
        <v>45</v>
      </c>
      <c r="AC103" s="228" t="s">
        <v>45</v>
      </c>
    </row>
    <row r="104" spans="1:29" ht="105" hidden="1" outlineLevel="1">
      <c r="A104" s="116">
        <f t="shared" ca="1" si="11"/>
        <v>0</v>
      </c>
      <c r="B104" s="118"/>
      <c r="C104" s="117" t="s">
        <v>2653</v>
      </c>
      <c r="D104" s="126" t="str">
        <f t="shared" si="8"/>
        <v>kWh</v>
      </c>
      <c r="E104" s="452">
        <f t="shared" si="12"/>
        <v>0.16337523775020377</v>
      </c>
      <c r="F104" s="123" t="str">
        <f t="shared" si="13"/>
        <v>CO2 emissions for electricity 2017 including losses&amp;WTT</v>
      </c>
      <c r="G104" s="98"/>
      <c r="H104" s="98"/>
      <c r="I104" s="98"/>
      <c r="J104" s="377">
        <v>0.1</v>
      </c>
      <c r="K104" s="129" t="str">
        <f>Translate!$A$267</f>
        <v>CO2 emissions for electricity 2017 including losses&amp;WTT</v>
      </c>
      <c r="L104" s="129" t="str">
        <f>Translate!$A$267</f>
        <v>CO2 emissions for electricity 2017 including losses&amp;WTT</v>
      </c>
      <c r="M104" s="129" t="str">
        <f>Translate!$A$267</f>
        <v>CO2 emissions for electricity 2017 including losses&amp;WTT</v>
      </c>
      <c r="N104" s="129" t="str">
        <f>Translate!$A$267</f>
        <v>CO2 emissions for electricity 2017 including losses&amp;WTT</v>
      </c>
      <c r="P104" s="715"/>
      <c r="Q104" s="715"/>
      <c r="R104" s="715"/>
      <c r="S104" s="715"/>
      <c r="T104" s="715"/>
      <c r="U104" s="715"/>
      <c r="V104" s="715"/>
      <c r="W104" s="721"/>
      <c r="X104" s="732">
        <v>0.16337523775020377</v>
      </c>
      <c r="Y104" s="228"/>
      <c r="Z104" s="717"/>
      <c r="AA104" s="665"/>
      <c r="AB104" s="228" t="s">
        <v>45</v>
      </c>
      <c r="AC104" s="228" t="s">
        <v>45</v>
      </c>
    </row>
    <row r="105" spans="1:29" ht="105" hidden="1" outlineLevel="1">
      <c r="A105" s="116">
        <f t="shared" ca="1" si="11"/>
        <v>0</v>
      </c>
      <c r="B105" s="118"/>
      <c r="C105" s="117" t="s">
        <v>2654</v>
      </c>
      <c r="D105" s="126" t="str">
        <f t="shared" si="8"/>
        <v>kWh</v>
      </c>
      <c r="E105" s="452">
        <f t="shared" si="12"/>
        <v>0.66230941606703586</v>
      </c>
      <c r="F105" s="123" t="str">
        <f t="shared" si="13"/>
        <v>CO2 emissions for electricity 2017 including losses&amp;WTT</v>
      </c>
      <c r="G105" s="98"/>
      <c r="H105" s="98"/>
      <c r="I105" s="98"/>
      <c r="J105" s="377">
        <v>0.1</v>
      </c>
      <c r="K105" s="129" t="str">
        <f>Translate!$A$267</f>
        <v>CO2 emissions for electricity 2017 including losses&amp;WTT</v>
      </c>
      <c r="L105" s="129" t="str">
        <f>Translate!$A$267</f>
        <v>CO2 emissions for electricity 2017 including losses&amp;WTT</v>
      </c>
      <c r="M105" s="129" t="str">
        <f>Translate!$A$267</f>
        <v>CO2 emissions for electricity 2017 including losses&amp;WTT</v>
      </c>
      <c r="N105" s="129" t="str">
        <f>Translate!$A$267</f>
        <v>CO2 emissions for electricity 2017 including losses&amp;WTT</v>
      </c>
      <c r="P105" s="715"/>
      <c r="Q105" s="715"/>
      <c r="R105" s="715"/>
      <c r="S105" s="715"/>
      <c r="T105" s="715"/>
      <c r="U105" s="715"/>
      <c r="V105" s="715"/>
      <c r="W105" s="721"/>
      <c r="X105" s="732">
        <v>0.66230941606703586</v>
      </c>
      <c r="Y105" s="228"/>
      <c r="Z105" s="717"/>
      <c r="AA105" s="665"/>
      <c r="AB105" s="228" t="s">
        <v>45</v>
      </c>
      <c r="AC105" s="228" t="s">
        <v>45</v>
      </c>
    </row>
    <row r="106" spans="1:29" ht="105" hidden="1" outlineLevel="1">
      <c r="A106" s="116">
        <f t="shared" ca="1" si="11"/>
        <v>0</v>
      </c>
      <c r="B106" s="118"/>
      <c r="C106" s="117" t="s">
        <v>2655</v>
      </c>
      <c r="D106" s="126" t="str">
        <f t="shared" si="8"/>
        <v>kWh</v>
      </c>
      <c r="E106" s="452">
        <f t="shared" si="12"/>
        <v>0.60667772180240698</v>
      </c>
      <c r="F106" s="123" t="str">
        <f t="shared" si="13"/>
        <v>CO2 emissions for electricity 2017 including losses&amp;WTT</v>
      </c>
      <c r="G106" s="98"/>
      <c r="H106" s="98"/>
      <c r="I106" s="98"/>
      <c r="J106" s="377">
        <v>0.1</v>
      </c>
      <c r="K106" s="129" t="str">
        <f>Translate!$A$267</f>
        <v>CO2 emissions for electricity 2017 including losses&amp;WTT</v>
      </c>
      <c r="L106" s="129" t="str">
        <f>Translate!$A$267</f>
        <v>CO2 emissions for electricity 2017 including losses&amp;WTT</v>
      </c>
      <c r="M106" s="129" t="str">
        <f>Translate!$A$267</f>
        <v>CO2 emissions for electricity 2017 including losses&amp;WTT</v>
      </c>
      <c r="N106" s="129" t="str">
        <f>Translate!$A$267</f>
        <v>CO2 emissions for electricity 2017 including losses&amp;WTT</v>
      </c>
      <c r="P106" s="715"/>
      <c r="Q106" s="715"/>
      <c r="R106" s="715"/>
      <c r="S106" s="715"/>
      <c r="T106" s="715"/>
      <c r="U106" s="715"/>
      <c r="V106" s="715"/>
      <c r="W106" s="721"/>
      <c r="X106" s="732">
        <v>0.60667772180240698</v>
      </c>
      <c r="Y106" s="228"/>
      <c r="Z106" s="717"/>
      <c r="AA106" s="665"/>
      <c r="AB106" s="228" t="s">
        <v>45</v>
      </c>
      <c r="AC106" s="228" t="s">
        <v>45</v>
      </c>
    </row>
    <row r="107" spans="1:29" ht="105" hidden="1" outlineLevel="1">
      <c r="A107" s="116">
        <f t="shared" ca="1" si="11"/>
        <v>0</v>
      </c>
      <c r="B107" s="118"/>
      <c r="C107" s="117" t="s">
        <v>2656</v>
      </c>
      <c r="D107" s="126" t="str">
        <f t="shared" si="8"/>
        <v>kWh</v>
      </c>
      <c r="E107" s="452">
        <f t="shared" si="12"/>
        <v>0.85004380664652557</v>
      </c>
      <c r="F107" s="123" t="str">
        <f t="shared" si="13"/>
        <v>CO2 emissions for electricity 2017 including losses&amp;WTT</v>
      </c>
      <c r="G107" s="98"/>
      <c r="H107" s="98"/>
      <c r="I107" s="98"/>
      <c r="J107" s="377">
        <v>0.1</v>
      </c>
      <c r="K107" s="129" t="str">
        <f>Translate!$A$267</f>
        <v>CO2 emissions for electricity 2017 including losses&amp;WTT</v>
      </c>
      <c r="L107" s="129" t="str">
        <f>Translate!$A$267</f>
        <v>CO2 emissions for electricity 2017 including losses&amp;WTT</v>
      </c>
      <c r="M107" s="129" t="str">
        <f>Translate!$A$267</f>
        <v>CO2 emissions for electricity 2017 including losses&amp;WTT</v>
      </c>
      <c r="N107" s="129" t="str">
        <f>Translate!$A$267</f>
        <v>CO2 emissions for electricity 2017 including losses&amp;WTT</v>
      </c>
      <c r="P107" s="715"/>
      <c r="Q107" s="715"/>
      <c r="R107" s="715"/>
      <c r="S107" s="715"/>
      <c r="T107" s="715"/>
      <c r="U107" s="715"/>
      <c r="V107" s="715"/>
      <c r="W107" s="721"/>
      <c r="X107" s="732">
        <v>0.85004380664652557</v>
      </c>
      <c r="Y107" s="228"/>
      <c r="Z107" s="717"/>
      <c r="AA107" s="665"/>
      <c r="AB107" s="228" t="s">
        <v>45</v>
      </c>
      <c r="AC107" s="228" t="s">
        <v>45</v>
      </c>
    </row>
    <row r="108" spans="1:29" ht="105" hidden="1" outlineLevel="1">
      <c r="A108" s="116">
        <f t="shared" ca="1" si="11"/>
        <v>0</v>
      </c>
      <c r="B108" s="118"/>
      <c r="C108" s="117" t="s">
        <v>2657</v>
      </c>
      <c r="D108" s="126" t="str">
        <f t="shared" si="8"/>
        <v>kWh</v>
      </c>
      <c r="E108" s="452">
        <f t="shared" si="12"/>
        <v>1.7161827266710785</v>
      </c>
      <c r="F108" s="123" t="str">
        <f t="shared" si="13"/>
        <v>CO2 emissions for electricity 2017 including losses&amp;WTT</v>
      </c>
      <c r="G108" s="98"/>
      <c r="H108" s="98"/>
      <c r="I108" s="98"/>
      <c r="J108" s="377">
        <v>0.1</v>
      </c>
      <c r="K108" s="129" t="str">
        <f>Translate!$A$267</f>
        <v>CO2 emissions for electricity 2017 including losses&amp;WTT</v>
      </c>
      <c r="L108" s="129" t="str">
        <f>Translate!$A$267</f>
        <v>CO2 emissions for electricity 2017 including losses&amp;WTT</v>
      </c>
      <c r="M108" s="129" t="str">
        <f>Translate!$A$267</f>
        <v>CO2 emissions for electricity 2017 including losses&amp;WTT</v>
      </c>
      <c r="N108" s="129" t="str">
        <f>Translate!$A$267</f>
        <v>CO2 emissions for electricity 2017 including losses&amp;WTT</v>
      </c>
      <c r="P108" s="715"/>
      <c r="Q108" s="715"/>
      <c r="R108" s="715"/>
      <c r="S108" s="715"/>
      <c r="T108" s="715"/>
      <c r="U108" s="715"/>
      <c r="V108" s="715"/>
      <c r="W108" s="721"/>
      <c r="X108" s="732">
        <v>1.7161827266710785</v>
      </c>
      <c r="Y108" s="228"/>
      <c r="Z108" s="717"/>
      <c r="AA108" s="665"/>
      <c r="AB108" s="228" t="s">
        <v>45</v>
      </c>
      <c r="AC108" s="228" t="s">
        <v>45</v>
      </c>
    </row>
    <row r="109" spans="1:29" ht="105" hidden="1" outlineLevel="1">
      <c r="A109" s="116">
        <f t="shared" ca="1" si="11"/>
        <v>0</v>
      </c>
      <c r="B109" s="118"/>
      <c r="C109" s="117" t="s">
        <v>2658</v>
      </c>
      <c r="D109" s="126" t="str">
        <f t="shared" si="8"/>
        <v>kWh</v>
      </c>
      <c r="E109" s="452">
        <f t="shared" si="12"/>
        <v>0.38957327964860911</v>
      </c>
      <c r="F109" s="123" t="str">
        <f t="shared" si="13"/>
        <v>CO2 emissions for electricity 2017 including losses&amp;WTT</v>
      </c>
      <c r="G109" s="98"/>
      <c r="H109" s="98"/>
      <c r="I109" s="98"/>
      <c r="J109" s="377">
        <v>0.1</v>
      </c>
      <c r="K109" s="129" t="str">
        <f>Translate!$A$267</f>
        <v>CO2 emissions for electricity 2017 including losses&amp;WTT</v>
      </c>
      <c r="L109" s="129" t="str">
        <f>Translate!$A$267</f>
        <v>CO2 emissions for electricity 2017 including losses&amp;WTT</v>
      </c>
      <c r="M109" s="129" t="str">
        <f>Translate!$A$267</f>
        <v>CO2 emissions for electricity 2017 including losses&amp;WTT</v>
      </c>
      <c r="N109" s="129" t="str">
        <f>Translate!$A$267</f>
        <v>CO2 emissions for electricity 2017 including losses&amp;WTT</v>
      </c>
      <c r="P109" s="715"/>
      <c r="Q109" s="715"/>
      <c r="R109" s="715"/>
      <c r="S109" s="715"/>
      <c r="T109" s="715"/>
      <c r="U109" s="715"/>
      <c r="V109" s="715"/>
      <c r="W109" s="721"/>
      <c r="X109" s="732">
        <v>0.38957327964860911</v>
      </c>
      <c r="Y109" s="228"/>
      <c r="Z109" s="717"/>
      <c r="AA109" s="665"/>
      <c r="AB109" s="228" t="s">
        <v>45</v>
      </c>
      <c r="AC109" s="228" t="s">
        <v>45</v>
      </c>
    </row>
    <row r="110" spans="1:29" ht="105" hidden="1" outlineLevel="1">
      <c r="A110" s="116">
        <f t="shared" ca="1" si="11"/>
        <v>0</v>
      </c>
      <c r="B110" s="118"/>
      <c r="C110" s="117" t="s">
        <v>2659</v>
      </c>
      <c r="D110" s="126" t="str">
        <f t="shared" si="8"/>
        <v>kWh</v>
      </c>
      <c r="E110" s="452">
        <f t="shared" si="12"/>
        <v>0.51740845350571851</v>
      </c>
      <c r="F110" s="123" t="str">
        <f t="shared" si="13"/>
        <v>CO2 emissions for electricity 2017 including losses&amp;WTT</v>
      </c>
      <c r="G110" s="98"/>
      <c r="H110" s="98"/>
      <c r="I110" s="98"/>
      <c r="J110" s="377">
        <v>0.1</v>
      </c>
      <c r="K110" s="129" t="str">
        <f>Translate!$A$267</f>
        <v>CO2 emissions for electricity 2017 including losses&amp;WTT</v>
      </c>
      <c r="L110" s="129" t="str">
        <f>Translate!$A$267</f>
        <v>CO2 emissions for electricity 2017 including losses&amp;WTT</v>
      </c>
      <c r="M110" s="129" t="str">
        <f>Translate!$A$267</f>
        <v>CO2 emissions for electricity 2017 including losses&amp;WTT</v>
      </c>
      <c r="N110" s="129" t="str">
        <f>Translate!$A$267</f>
        <v>CO2 emissions for electricity 2017 including losses&amp;WTT</v>
      </c>
      <c r="P110" s="715"/>
      <c r="Q110" s="715"/>
      <c r="R110" s="715"/>
      <c r="S110" s="715"/>
      <c r="T110" s="715"/>
      <c r="U110" s="715"/>
      <c r="V110" s="715"/>
      <c r="W110" s="721"/>
      <c r="X110" s="732">
        <v>0.51740845350571851</v>
      </c>
      <c r="Y110" s="228"/>
      <c r="Z110" s="717"/>
      <c r="AA110" s="665"/>
      <c r="AB110" s="228" t="s">
        <v>45</v>
      </c>
      <c r="AC110" s="228" t="s">
        <v>45</v>
      </c>
    </row>
    <row r="111" spans="1:29" ht="105" hidden="1" outlineLevel="1">
      <c r="A111" s="116">
        <f t="shared" ref="A111:A143" ca="1" si="14">IF(ISBLANK(H111),OFFSET(A111,-1,0),OFFSET(A111,-1,0)+1)</f>
        <v>0</v>
      </c>
      <c r="B111" s="118"/>
      <c r="C111" s="117" t="s">
        <v>2660</v>
      </c>
      <c r="D111" s="126" t="str">
        <f t="shared" ref="D111:D174" si="15">INDEX(AB111:AC111,MATCH($F$3,$AB$6:$AC$6,0))</f>
        <v>kWh</v>
      </c>
      <c r="E111" s="452">
        <f t="shared" ref="E111:E143" si="16">IF(F111=H111,G111,INDEX(P111:AD111,MATCH($F111,$P$6:$AD$6,0)))</f>
        <v>2.0432176656151411E-2</v>
      </c>
      <c r="F111" s="123" t="str">
        <f t="shared" ref="F111:F143" si="17">IF(ISBLANK(H111),INDEX(K111:N111,$D$4),H111)</f>
        <v>CO2 emissions for electricity 2017 including losses&amp;WTT</v>
      </c>
      <c r="G111" s="98"/>
      <c r="H111" s="98"/>
      <c r="I111" s="98"/>
      <c r="J111" s="377">
        <v>0.1</v>
      </c>
      <c r="K111" s="129" t="str">
        <f>Translate!$A$267</f>
        <v>CO2 emissions for electricity 2017 including losses&amp;WTT</v>
      </c>
      <c r="L111" s="129" t="str">
        <f>Translate!$A$267</f>
        <v>CO2 emissions for electricity 2017 including losses&amp;WTT</v>
      </c>
      <c r="M111" s="129" t="str">
        <f>Translate!$A$267</f>
        <v>CO2 emissions for electricity 2017 including losses&amp;WTT</v>
      </c>
      <c r="N111" s="129" t="str">
        <f>Translate!$A$267</f>
        <v>CO2 emissions for electricity 2017 including losses&amp;WTT</v>
      </c>
      <c r="P111" s="715"/>
      <c r="Q111" s="715"/>
      <c r="R111" s="715"/>
      <c r="S111" s="715"/>
      <c r="T111" s="715"/>
      <c r="U111" s="715"/>
      <c r="V111" s="715"/>
      <c r="W111" s="721"/>
      <c r="X111" s="732">
        <v>2.0432176656151411E-2</v>
      </c>
      <c r="Y111" s="228"/>
      <c r="Z111" s="717"/>
      <c r="AA111" s="665"/>
      <c r="AB111" s="228" t="s">
        <v>45</v>
      </c>
      <c r="AC111" s="228" t="s">
        <v>45</v>
      </c>
    </row>
    <row r="112" spans="1:29" ht="105" hidden="1" outlineLevel="1">
      <c r="A112" s="116">
        <f t="shared" ca="1" si="14"/>
        <v>0</v>
      </c>
      <c r="B112" s="118"/>
      <c r="C112" s="117" t="s">
        <v>2661</v>
      </c>
      <c r="D112" s="126" t="str">
        <f t="shared" si="15"/>
        <v>kWh</v>
      </c>
      <c r="E112" s="452">
        <f t="shared" si="16"/>
        <v>0.51183922371757362</v>
      </c>
      <c r="F112" s="123" t="str">
        <f t="shared" si="17"/>
        <v>CO2 emissions for electricity 2017 including losses&amp;WTT</v>
      </c>
      <c r="G112" s="98"/>
      <c r="H112" s="98"/>
      <c r="I112" s="98"/>
      <c r="J112" s="377">
        <v>0.1</v>
      </c>
      <c r="K112" s="129" t="str">
        <f>Translate!$A$267</f>
        <v>CO2 emissions for electricity 2017 including losses&amp;WTT</v>
      </c>
      <c r="L112" s="129" t="str">
        <f>Translate!$A$267</f>
        <v>CO2 emissions for electricity 2017 including losses&amp;WTT</v>
      </c>
      <c r="M112" s="129" t="str">
        <f>Translate!$A$267</f>
        <v>CO2 emissions for electricity 2017 including losses&amp;WTT</v>
      </c>
      <c r="N112" s="129" t="str">
        <f>Translate!$A$267</f>
        <v>CO2 emissions for electricity 2017 including losses&amp;WTT</v>
      </c>
      <c r="P112" s="715"/>
      <c r="Q112" s="715"/>
      <c r="R112" s="715"/>
      <c r="S112" s="715"/>
      <c r="T112" s="715"/>
      <c r="U112" s="715"/>
      <c r="V112" s="715"/>
      <c r="W112" s="721"/>
      <c r="X112" s="732">
        <v>0.51183922371757362</v>
      </c>
      <c r="Y112" s="228"/>
      <c r="Z112" s="717"/>
      <c r="AA112" s="665"/>
      <c r="AB112" s="228" t="s">
        <v>45</v>
      </c>
      <c r="AC112" s="228" t="s">
        <v>45</v>
      </c>
    </row>
    <row r="113" spans="1:29" ht="105" hidden="1" outlineLevel="1">
      <c r="A113" s="116">
        <f t="shared" ca="1" si="14"/>
        <v>0</v>
      </c>
      <c r="B113" s="118"/>
      <c r="C113" s="117" t="s">
        <v>2662</v>
      </c>
      <c r="D113" s="126" t="str">
        <f t="shared" si="15"/>
        <v>kWh</v>
      </c>
      <c r="E113" s="452">
        <f t="shared" si="16"/>
        <v>0.58352217604353795</v>
      </c>
      <c r="F113" s="123" t="str">
        <f t="shared" si="17"/>
        <v>CO2 emissions for electricity 2017 including losses&amp;WTT</v>
      </c>
      <c r="G113" s="98"/>
      <c r="H113" s="98"/>
      <c r="I113" s="98"/>
      <c r="J113" s="377">
        <v>0.1</v>
      </c>
      <c r="K113" s="129" t="str">
        <f>Translate!$A$267</f>
        <v>CO2 emissions for electricity 2017 including losses&amp;WTT</v>
      </c>
      <c r="L113" s="129" t="str">
        <f>Translate!$A$267</f>
        <v>CO2 emissions for electricity 2017 including losses&amp;WTT</v>
      </c>
      <c r="M113" s="129" t="str">
        <f>Translate!$A$267</f>
        <v>CO2 emissions for electricity 2017 including losses&amp;WTT</v>
      </c>
      <c r="N113" s="129" t="str">
        <f>Translate!$A$267</f>
        <v>CO2 emissions for electricity 2017 including losses&amp;WTT</v>
      </c>
      <c r="P113" s="715"/>
      <c r="Q113" s="715"/>
      <c r="R113" s="715"/>
      <c r="S113" s="715"/>
      <c r="T113" s="715"/>
      <c r="U113" s="715"/>
      <c r="V113" s="715"/>
      <c r="W113" s="721"/>
      <c r="X113" s="732">
        <v>0.58352217604353795</v>
      </c>
      <c r="Y113" s="228"/>
      <c r="Z113" s="717"/>
      <c r="AA113" s="665"/>
      <c r="AB113" s="228" t="s">
        <v>45</v>
      </c>
      <c r="AC113" s="228" t="s">
        <v>45</v>
      </c>
    </row>
    <row r="114" spans="1:29" ht="105" hidden="1" outlineLevel="1">
      <c r="A114" s="116">
        <f t="shared" ca="1" si="14"/>
        <v>0</v>
      </c>
      <c r="B114" s="118"/>
      <c r="C114" s="117" t="s">
        <v>2663</v>
      </c>
      <c r="D114" s="126" t="str">
        <f t="shared" si="15"/>
        <v>kWh</v>
      </c>
      <c r="E114" s="452">
        <f t="shared" si="16"/>
        <v>1.0978217494089835</v>
      </c>
      <c r="F114" s="123" t="str">
        <f t="shared" si="17"/>
        <v>CO2 emissions for electricity 2017 including losses&amp;WTT</v>
      </c>
      <c r="G114" s="98"/>
      <c r="H114" s="98"/>
      <c r="I114" s="98"/>
      <c r="J114" s="377">
        <v>0.1</v>
      </c>
      <c r="K114" s="129" t="str">
        <f>Translate!$A$267</f>
        <v>CO2 emissions for electricity 2017 including losses&amp;WTT</v>
      </c>
      <c r="L114" s="129" t="str">
        <f>Translate!$A$267</f>
        <v>CO2 emissions for electricity 2017 including losses&amp;WTT</v>
      </c>
      <c r="M114" s="129" t="str">
        <f>Translate!$A$267</f>
        <v>CO2 emissions for electricity 2017 including losses&amp;WTT</v>
      </c>
      <c r="N114" s="129" t="str">
        <f>Translate!$A$267</f>
        <v>CO2 emissions for electricity 2017 including losses&amp;WTT</v>
      </c>
      <c r="P114" s="715"/>
      <c r="Q114" s="715"/>
      <c r="R114" s="715"/>
      <c r="S114" s="715"/>
      <c r="T114" s="715"/>
      <c r="U114" s="715"/>
      <c r="V114" s="715"/>
      <c r="W114" s="721"/>
      <c r="X114" s="732">
        <v>1.0978217494089835</v>
      </c>
      <c r="Y114" s="228"/>
      <c r="Z114" s="717"/>
      <c r="AA114" s="665"/>
      <c r="AB114" s="228" t="s">
        <v>45</v>
      </c>
      <c r="AC114" s="228" t="s">
        <v>45</v>
      </c>
    </row>
    <row r="115" spans="1:29" ht="105" hidden="1" outlineLevel="1">
      <c r="A115" s="116">
        <f t="shared" ca="1" si="14"/>
        <v>0</v>
      </c>
      <c r="B115" s="118"/>
      <c r="C115" s="117" t="s">
        <v>2664</v>
      </c>
      <c r="D115" s="126" t="str">
        <f t="shared" si="15"/>
        <v>kWh</v>
      </c>
      <c r="E115" s="452">
        <f t="shared" si="16"/>
        <v>1.9429409654974535E-2</v>
      </c>
      <c r="F115" s="123" t="str">
        <f t="shared" si="17"/>
        <v>CO2 emissions for electricity 2017 including losses&amp;WTT</v>
      </c>
      <c r="G115" s="98"/>
      <c r="H115" s="98"/>
      <c r="I115" s="98"/>
      <c r="J115" s="377">
        <v>0.1</v>
      </c>
      <c r="K115" s="129" t="str">
        <f>Translate!$A$267</f>
        <v>CO2 emissions for electricity 2017 including losses&amp;WTT</v>
      </c>
      <c r="L115" s="129" t="str">
        <f>Translate!$A$267</f>
        <v>CO2 emissions for electricity 2017 including losses&amp;WTT</v>
      </c>
      <c r="M115" s="129" t="str">
        <f>Translate!$A$267</f>
        <v>CO2 emissions for electricity 2017 including losses&amp;WTT</v>
      </c>
      <c r="N115" s="129" t="str">
        <f>Translate!$A$267</f>
        <v>CO2 emissions for electricity 2017 including losses&amp;WTT</v>
      </c>
      <c r="P115" s="715"/>
      <c r="Q115" s="715"/>
      <c r="R115" s="715"/>
      <c r="S115" s="715"/>
      <c r="T115" s="715"/>
      <c r="U115" s="715"/>
      <c r="V115" s="715"/>
      <c r="W115" s="721"/>
      <c r="X115" s="732">
        <v>1.9429409654974535E-2</v>
      </c>
      <c r="Y115" s="228"/>
      <c r="Z115" s="717"/>
      <c r="AA115" s="665"/>
      <c r="AB115" s="228" t="s">
        <v>45</v>
      </c>
      <c r="AC115" s="228" t="s">
        <v>45</v>
      </c>
    </row>
    <row r="116" spans="1:29" ht="105" hidden="1" outlineLevel="1">
      <c r="A116" s="116">
        <f t="shared" ca="1" si="14"/>
        <v>0</v>
      </c>
      <c r="B116" s="118"/>
      <c r="C116" s="117" t="s">
        <v>2665</v>
      </c>
      <c r="D116" s="126" t="str">
        <f t="shared" si="15"/>
        <v>kWh</v>
      </c>
      <c r="E116" s="452">
        <f t="shared" si="16"/>
        <v>0.56154971528690312</v>
      </c>
      <c r="F116" s="123" t="str">
        <f t="shared" si="17"/>
        <v>CO2 emissions for electricity 2017 including losses&amp;WTT</v>
      </c>
      <c r="G116" s="98"/>
      <c r="H116" s="98"/>
      <c r="I116" s="98"/>
      <c r="J116" s="377">
        <v>0.1</v>
      </c>
      <c r="K116" s="129" t="str">
        <f>Translate!$A$267</f>
        <v>CO2 emissions for electricity 2017 including losses&amp;WTT</v>
      </c>
      <c r="L116" s="129" t="str">
        <f>Translate!$A$267</f>
        <v>CO2 emissions for electricity 2017 including losses&amp;WTT</v>
      </c>
      <c r="M116" s="129" t="str">
        <f>Translate!$A$267</f>
        <v>CO2 emissions for electricity 2017 including losses&amp;WTT</v>
      </c>
      <c r="N116" s="129" t="str">
        <f>Translate!$A$267</f>
        <v>CO2 emissions for electricity 2017 including losses&amp;WTT</v>
      </c>
      <c r="P116" s="715"/>
      <c r="Q116" s="715"/>
      <c r="R116" s="715"/>
      <c r="S116" s="715"/>
      <c r="T116" s="715"/>
      <c r="U116" s="715"/>
      <c r="V116" s="715"/>
      <c r="W116" s="721"/>
      <c r="X116" s="732">
        <v>0.56154971528690312</v>
      </c>
      <c r="Y116" s="228"/>
      <c r="Z116" s="717"/>
      <c r="AA116" s="665"/>
      <c r="AB116" s="228" t="s">
        <v>45</v>
      </c>
      <c r="AC116" s="228" t="s">
        <v>45</v>
      </c>
    </row>
    <row r="117" spans="1:29" ht="105" hidden="1" outlineLevel="1">
      <c r="A117" s="116">
        <f t="shared" ca="1" si="14"/>
        <v>0</v>
      </c>
      <c r="B117" s="118"/>
      <c r="C117" s="117" t="s">
        <v>2666</v>
      </c>
      <c r="D117" s="126" t="str">
        <f t="shared" si="15"/>
        <v>kWh</v>
      </c>
      <c r="E117" s="452">
        <f t="shared" si="16"/>
        <v>0.36865109468296842</v>
      </c>
      <c r="F117" s="123" t="str">
        <f t="shared" si="17"/>
        <v>CO2 emissions for electricity 2017 including losses&amp;WTT</v>
      </c>
      <c r="G117" s="98"/>
      <c r="H117" s="98"/>
      <c r="I117" s="98"/>
      <c r="J117" s="377">
        <v>0.1</v>
      </c>
      <c r="K117" s="129" t="str">
        <f>Translate!$A$267</f>
        <v>CO2 emissions for electricity 2017 including losses&amp;WTT</v>
      </c>
      <c r="L117" s="129" t="str">
        <f>Translate!$A$267</f>
        <v>CO2 emissions for electricity 2017 including losses&amp;WTT</v>
      </c>
      <c r="M117" s="129" t="str">
        <f>Translate!$A$267</f>
        <v>CO2 emissions for electricity 2017 including losses&amp;WTT</v>
      </c>
      <c r="N117" s="129" t="str">
        <f>Translate!$A$267</f>
        <v>CO2 emissions for electricity 2017 including losses&amp;WTT</v>
      </c>
      <c r="P117" s="715"/>
      <c r="Q117" s="715"/>
      <c r="R117" s="715"/>
      <c r="S117" s="715"/>
      <c r="T117" s="715"/>
      <c r="U117" s="715"/>
      <c r="V117" s="715"/>
      <c r="W117" s="721"/>
      <c r="X117" s="732">
        <v>0.36865109468296842</v>
      </c>
      <c r="Y117" s="228"/>
      <c r="Z117" s="717"/>
      <c r="AA117" s="665"/>
      <c r="AB117" s="228" t="s">
        <v>45</v>
      </c>
      <c r="AC117" s="228" t="s">
        <v>45</v>
      </c>
    </row>
    <row r="118" spans="1:29" ht="105" hidden="1" outlineLevel="1">
      <c r="A118" s="116">
        <f t="shared" ca="1" si="14"/>
        <v>0</v>
      </c>
      <c r="B118" s="118"/>
      <c r="C118" s="117" t="s">
        <v>2667</v>
      </c>
      <c r="D118" s="126" t="str">
        <f t="shared" si="15"/>
        <v>kWh</v>
      </c>
      <c r="E118" s="452">
        <f t="shared" si="16"/>
        <v>0.28040096861681518</v>
      </c>
      <c r="F118" s="123" t="str">
        <f t="shared" si="17"/>
        <v>CO2 emissions for electricity 2017 including losses&amp;WTT</v>
      </c>
      <c r="G118" s="98"/>
      <c r="H118" s="98"/>
      <c r="I118" s="98"/>
      <c r="J118" s="377">
        <v>0.1</v>
      </c>
      <c r="K118" s="129" t="str">
        <f>Translate!$A$267</f>
        <v>CO2 emissions for electricity 2017 including losses&amp;WTT</v>
      </c>
      <c r="L118" s="129" t="str">
        <f>Translate!$A$267</f>
        <v>CO2 emissions for electricity 2017 including losses&amp;WTT</v>
      </c>
      <c r="M118" s="129" t="str">
        <f>Translate!$A$267</f>
        <v>CO2 emissions for electricity 2017 including losses&amp;WTT</v>
      </c>
      <c r="N118" s="129" t="str">
        <f>Translate!$A$267</f>
        <v>CO2 emissions for electricity 2017 including losses&amp;WTT</v>
      </c>
      <c r="P118" s="715"/>
      <c r="Q118" s="715"/>
      <c r="R118" s="715"/>
      <c r="S118" s="715"/>
      <c r="T118" s="715"/>
      <c r="U118" s="715"/>
      <c r="V118" s="715"/>
      <c r="W118" s="721"/>
      <c r="X118" s="732">
        <v>0.28040096861681518</v>
      </c>
      <c r="Y118" s="228"/>
      <c r="Z118" s="717"/>
      <c r="AA118" s="665"/>
      <c r="AB118" s="228" t="s">
        <v>45</v>
      </c>
      <c r="AC118" s="228" t="s">
        <v>45</v>
      </c>
    </row>
    <row r="119" spans="1:29" ht="105" hidden="1" outlineLevel="1">
      <c r="A119" s="116">
        <f t="shared" ca="1" si="14"/>
        <v>0</v>
      </c>
      <c r="B119" s="118"/>
      <c r="C119" s="117" t="s">
        <v>2668</v>
      </c>
      <c r="D119" s="126" t="str">
        <f t="shared" si="15"/>
        <v>kWh</v>
      </c>
      <c r="E119" s="452">
        <f t="shared" si="16"/>
        <v>0.78766101856129567</v>
      </c>
      <c r="F119" s="123" t="str">
        <f t="shared" si="17"/>
        <v>CO2 emissions for electricity 2017 including losses&amp;WTT</v>
      </c>
      <c r="G119" s="98"/>
      <c r="H119" s="98"/>
      <c r="I119" s="98"/>
      <c r="J119" s="377">
        <v>0.1</v>
      </c>
      <c r="K119" s="129" t="str">
        <f>Translate!$A$267</f>
        <v>CO2 emissions for electricity 2017 including losses&amp;WTT</v>
      </c>
      <c r="L119" s="129" t="str">
        <f>Translate!$A$267</f>
        <v>CO2 emissions for electricity 2017 including losses&amp;WTT</v>
      </c>
      <c r="M119" s="129" t="str">
        <f>Translate!$A$267</f>
        <v>CO2 emissions for electricity 2017 including losses&amp;WTT</v>
      </c>
      <c r="N119" s="129" t="str">
        <f>Translate!$A$267</f>
        <v>CO2 emissions for electricity 2017 including losses&amp;WTT</v>
      </c>
      <c r="P119" s="715"/>
      <c r="Q119" s="715"/>
      <c r="R119" s="715"/>
      <c r="S119" s="715"/>
      <c r="T119" s="715"/>
      <c r="U119" s="715"/>
      <c r="V119" s="715"/>
      <c r="W119" s="721"/>
      <c r="X119" s="732">
        <v>0.78766101856129567</v>
      </c>
      <c r="Y119" s="228"/>
      <c r="Z119" s="717"/>
      <c r="AA119" s="665"/>
      <c r="AB119" s="228" t="s">
        <v>45</v>
      </c>
      <c r="AC119" s="228" t="s">
        <v>45</v>
      </c>
    </row>
    <row r="120" spans="1:29" ht="105" hidden="1" outlineLevel="1">
      <c r="A120" s="116">
        <f t="shared" ca="1" si="14"/>
        <v>0</v>
      </c>
      <c r="B120" s="118"/>
      <c r="C120" s="117" t="s">
        <v>2669</v>
      </c>
      <c r="D120" s="126" t="str">
        <f t="shared" si="15"/>
        <v>kWh</v>
      </c>
      <c r="E120" s="452">
        <f t="shared" si="16"/>
        <v>0.87467820633427407</v>
      </c>
      <c r="F120" s="123" t="str">
        <f t="shared" si="17"/>
        <v>CO2 emissions for electricity 2017 including losses&amp;WTT</v>
      </c>
      <c r="G120" s="98"/>
      <c r="H120" s="98"/>
      <c r="I120" s="98"/>
      <c r="J120" s="377">
        <v>0.1</v>
      </c>
      <c r="K120" s="129" t="str">
        <f>Translate!$A$267</f>
        <v>CO2 emissions for electricity 2017 including losses&amp;WTT</v>
      </c>
      <c r="L120" s="129" t="str">
        <f>Translate!$A$267</f>
        <v>CO2 emissions for electricity 2017 including losses&amp;WTT</v>
      </c>
      <c r="M120" s="129" t="str">
        <f>Translate!$A$267</f>
        <v>CO2 emissions for electricity 2017 including losses&amp;WTT</v>
      </c>
      <c r="N120" s="129" t="str">
        <f>Translate!$A$267</f>
        <v>CO2 emissions for electricity 2017 including losses&amp;WTT</v>
      </c>
      <c r="P120" s="715"/>
      <c r="Q120" s="715"/>
      <c r="R120" s="715"/>
      <c r="S120" s="715"/>
      <c r="T120" s="715"/>
      <c r="U120" s="715"/>
      <c r="V120" s="715"/>
      <c r="W120" s="721"/>
      <c r="X120" s="732">
        <v>0.87467820633427407</v>
      </c>
      <c r="Y120" s="228"/>
      <c r="Z120" s="717"/>
      <c r="AA120" s="665"/>
      <c r="AB120" s="228" t="s">
        <v>45</v>
      </c>
      <c r="AC120" s="228" t="s">
        <v>45</v>
      </c>
    </row>
    <row r="121" spans="1:29" ht="105" hidden="1" outlineLevel="1">
      <c r="A121" s="116">
        <f t="shared" ca="1" si="14"/>
        <v>0</v>
      </c>
      <c r="B121" s="118"/>
      <c r="C121" s="117" t="s">
        <v>2670</v>
      </c>
      <c r="D121" s="126" t="str">
        <f t="shared" si="15"/>
        <v>kWh</v>
      </c>
      <c r="E121" s="452">
        <f t="shared" si="16"/>
        <v>0.10730066497969754</v>
      </c>
      <c r="F121" s="123" t="str">
        <f t="shared" si="17"/>
        <v>CO2 emissions for electricity 2017 including losses&amp;WTT</v>
      </c>
      <c r="G121" s="98"/>
      <c r="H121" s="98"/>
      <c r="I121" s="98"/>
      <c r="J121" s="377">
        <v>0.1</v>
      </c>
      <c r="K121" s="129" t="str">
        <f>Translate!$A$267</f>
        <v>CO2 emissions for electricity 2017 including losses&amp;WTT</v>
      </c>
      <c r="L121" s="129" t="str">
        <f>Translate!$A$267</f>
        <v>CO2 emissions for electricity 2017 including losses&amp;WTT</v>
      </c>
      <c r="M121" s="129" t="str">
        <f>Translate!$A$267</f>
        <v>CO2 emissions for electricity 2017 including losses&amp;WTT</v>
      </c>
      <c r="N121" s="129" t="str">
        <f>Translate!$A$267</f>
        <v>CO2 emissions for electricity 2017 including losses&amp;WTT</v>
      </c>
      <c r="P121" s="715"/>
      <c r="Q121" s="715"/>
      <c r="R121" s="715"/>
      <c r="S121" s="715"/>
      <c r="T121" s="715"/>
      <c r="U121" s="715"/>
      <c r="V121" s="715"/>
      <c r="W121" s="721"/>
      <c r="X121" s="732">
        <v>0.10730066497969754</v>
      </c>
      <c r="Y121" s="228"/>
      <c r="Z121" s="717"/>
      <c r="AA121" s="665"/>
      <c r="AB121" s="228" t="s">
        <v>45</v>
      </c>
      <c r="AC121" s="228" t="s">
        <v>45</v>
      </c>
    </row>
    <row r="122" spans="1:29" ht="105" hidden="1" outlineLevel="1">
      <c r="A122" s="116">
        <f t="shared" ca="1" si="14"/>
        <v>0</v>
      </c>
      <c r="B122" s="118"/>
      <c r="C122" s="117" t="s">
        <v>2671</v>
      </c>
      <c r="D122" s="126" t="str">
        <f t="shared" si="15"/>
        <v>kWh</v>
      </c>
      <c r="E122" s="452">
        <f t="shared" si="16"/>
        <v>8.1505244122965656E-2</v>
      </c>
      <c r="F122" s="123" t="str">
        <f t="shared" si="17"/>
        <v>CO2 emissions for electricity 2017 including losses&amp;WTT</v>
      </c>
      <c r="G122" s="98"/>
      <c r="H122" s="98"/>
      <c r="I122" s="98"/>
      <c r="J122" s="377">
        <v>0.1</v>
      </c>
      <c r="K122" s="129" t="str">
        <f>Translate!$A$267</f>
        <v>CO2 emissions for electricity 2017 including losses&amp;WTT</v>
      </c>
      <c r="L122" s="129" t="str">
        <f>Translate!$A$267</f>
        <v>CO2 emissions for electricity 2017 including losses&amp;WTT</v>
      </c>
      <c r="M122" s="129" t="str">
        <f>Translate!$A$267</f>
        <v>CO2 emissions for electricity 2017 including losses&amp;WTT</v>
      </c>
      <c r="N122" s="129" t="str">
        <f>Translate!$A$267</f>
        <v>CO2 emissions for electricity 2017 including losses&amp;WTT</v>
      </c>
      <c r="P122" s="715"/>
      <c r="Q122" s="715"/>
      <c r="R122" s="715"/>
      <c r="S122" s="715"/>
      <c r="T122" s="715"/>
      <c r="U122" s="715"/>
      <c r="V122" s="715"/>
      <c r="W122" s="721"/>
      <c r="X122" s="732">
        <v>8.1505244122965656E-2</v>
      </c>
      <c r="Y122" s="228"/>
      <c r="Z122" s="717"/>
      <c r="AA122" s="665"/>
      <c r="AB122" s="228" t="s">
        <v>45</v>
      </c>
      <c r="AC122" s="228" t="s">
        <v>45</v>
      </c>
    </row>
    <row r="123" spans="1:29" ht="105" hidden="1" outlineLevel="1">
      <c r="A123" s="116">
        <f t="shared" ref="A123" ca="1" si="18">IF(ISBLANK(H123),OFFSET(A123,-1,0),OFFSET(A123,-1,0)+1)</f>
        <v>0</v>
      </c>
      <c r="B123" s="118"/>
      <c r="C123" s="117" t="s">
        <v>2672</v>
      </c>
      <c r="D123" s="126" t="str">
        <f>INDEX(AB123:AC123,MATCH($F$3,$AB$6:$AC$6,0))</f>
        <v>kWh</v>
      </c>
      <c r="E123" s="452">
        <f>IF(F123=H123,G123,INDEX(P123:AD123,MATCH($F123,$P$6:$AD$6,0)))</f>
        <v>1.2268891304347826</v>
      </c>
      <c r="F123" s="123" t="str">
        <f t="shared" ref="F123" si="19">IF(ISBLANK(H123),INDEX(K123:N123,$D$4),H123)</f>
        <v>CO2 emissions for electricity 2017 including losses&amp;WTT</v>
      </c>
      <c r="G123" s="98"/>
      <c r="H123" s="98"/>
      <c r="I123" s="98"/>
      <c r="J123" s="377">
        <v>0.1</v>
      </c>
      <c r="K123" s="129" t="str">
        <f>Translate!$A$267</f>
        <v>CO2 emissions for electricity 2017 including losses&amp;WTT</v>
      </c>
      <c r="L123" s="129" t="str">
        <f>Translate!$A$267</f>
        <v>CO2 emissions for electricity 2017 including losses&amp;WTT</v>
      </c>
      <c r="M123" s="129" t="str">
        <f>Translate!$A$267</f>
        <v>CO2 emissions for electricity 2017 including losses&amp;WTT</v>
      </c>
      <c r="N123" s="129" t="str">
        <f>Translate!$A$267</f>
        <v>CO2 emissions for electricity 2017 including losses&amp;WTT</v>
      </c>
      <c r="P123" s="715"/>
      <c r="Q123" s="715"/>
      <c r="R123" s="715"/>
      <c r="S123" s="715"/>
      <c r="T123" s="715"/>
      <c r="U123" s="715"/>
      <c r="V123" s="715"/>
      <c r="W123" s="721"/>
      <c r="X123" s="732">
        <v>1.2268891304347826</v>
      </c>
      <c r="Y123" s="228"/>
      <c r="Z123" s="717"/>
      <c r="AA123" s="665"/>
      <c r="AB123" s="228" t="s">
        <v>45</v>
      </c>
      <c r="AC123" s="228" t="s">
        <v>45</v>
      </c>
    </row>
    <row r="124" spans="1:29" ht="105" hidden="1" outlineLevel="1">
      <c r="A124" s="116">
        <f t="shared" ca="1" si="14"/>
        <v>0</v>
      </c>
      <c r="B124" s="118"/>
      <c r="C124" s="117" t="s">
        <v>2673</v>
      </c>
      <c r="D124" s="126" t="str">
        <f t="shared" si="15"/>
        <v>kWh</v>
      </c>
      <c r="E124" s="452">
        <f t="shared" si="16"/>
        <v>0.55807442401314766</v>
      </c>
      <c r="F124" s="123" t="str">
        <f t="shared" si="17"/>
        <v>CO2 emissions for electricity 2017 including losses&amp;WTT</v>
      </c>
      <c r="G124" s="98"/>
      <c r="H124" s="98"/>
      <c r="I124" s="98"/>
      <c r="J124" s="377">
        <v>0.1</v>
      </c>
      <c r="K124" s="129" t="str">
        <f>Translate!$A$267</f>
        <v>CO2 emissions for electricity 2017 including losses&amp;WTT</v>
      </c>
      <c r="L124" s="129" t="str">
        <f>Translate!$A$267</f>
        <v>CO2 emissions for electricity 2017 including losses&amp;WTT</v>
      </c>
      <c r="M124" s="129" t="str">
        <f>Translate!$A$267</f>
        <v>CO2 emissions for electricity 2017 including losses&amp;WTT</v>
      </c>
      <c r="N124" s="129" t="str">
        <f>Translate!$A$267</f>
        <v>CO2 emissions for electricity 2017 including losses&amp;WTT</v>
      </c>
      <c r="P124" s="715"/>
      <c r="Q124" s="715"/>
      <c r="R124" s="715"/>
      <c r="S124" s="715"/>
      <c r="T124" s="715"/>
      <c r="U124" s="715"/>
      <c r="V124" s="715"/>
      <c r="W124" s="721"/>
      <c r="X124" s="732">
        <v>0.55807442401314766</v>
      </c>
      <c r="Y124" s="228"/>
      <c r="Z124" s="717"/>
      <c r="AA124" s="665"/>
      <c r="AB124" s="228" t="s">
        <v>45</v>
      </c>
      <c r="AC124" s="228" t="s">
        <v>45</v>
      </c>
    </row>
    <row r="125" spans="1:29" ht="105" hidden="1" outlineLevel="1">
      <c r="A125" s="116">
        <f t="shared" ca="1" si="14"/>
        <v>0</v>
      </c>
      <c r="B125" s="118"/>
      <c r="C125" s="117" t="s">
        <v>2674</v>
      </c>
      <c r="D125" s="126" t="str">
        <f t="shared" si="15"/>
        <v>kWh</v>
      </c>
      <c r="E125" s="452">
        <f t="shared" si="16"/>
        <v>0.85751530979065338</v>
      </c>
      <c r="F125" s="123" t="str">
        <f t="shared" si="17"/>
        <v>CO2 emissions for electricity 2017 including losses&amp;WTT</v>
      </c>
      <c r="G125" s="98"/>
      <c r="H125" s="98"/>
      <c r="I125" s="98"/>
      <c r="J125" s="377">
        <v>0.1</v>
      </c>
      <c r="K125" s="129" t="str">
        <f>Translate!$A$267</f>
        <v>CO2 emissions for electricity 2017 including losses&amp;WTT</v>
      </c>
      <c r="L125" s="129" t="str">
        <f>Translate!$A$267</f>
        <v>CO2 emissions for electricity 2017 including losses&amp;WTT</v>
      </c>
      <c r="M125" s="129" t="str">
        <f>Translate!$A$267</f>
        <v>CO2 emissions for electricity 2017 including losses&amp;WTT</v>
      </c>
      <c r="N125" s="129" t="str">
        <f>Translate!$A$267</f>
        <v>CO2 emissions for electricity 2017 including losses&amp;WTT</v>
      </c>
      <c r="P125" s="715"/>
      <c r="Q125" s="715"/>
      <c r="R125" s="715"/>
      <c r="S125" s="715"/>
      <c r="T125" s="715"/>
      <c r="U125" s="715"/>
      <c r="V125" s="715"/>
      <c r="W125" s="721"/>
      <c r="X125" s="732">
        <v>0.85751530979065338</v>
      </c>
      <c r="Y125" s="228"/>
      <c r="Z125" s="717"/>
      <c r="AA125" s="665"/>
      <c r="AB125" s="228" t="s">
        <v>45</v>
      </c>
      <c r="AC125" s="228" t="s">
        <v>45</v>
      </c>
    </row>
    <row r="126" spans="1:29" ht="105" hidden="1" outlineLevel="1">
      <c r="A126" s="116">
        <f t="shared" ca="1" si="14"/>
        <v>0</v>
      </c>
      <c r="B126" s="118"/>
      <c r="C126" s="117" t="s">
        <v>2675</v>
      </c>
      <c r="D126" s="126" t="str">
        <f t="shared" si="15"/>
        <v>kWh</v>
      </c>
      <c r="E126" s="452">
        <f t="shared" si="16"/>
        <v>1.0579473008195726</v>
      </c>
      <c r="F126" s="123" t="str">
        <f t="shared" si="17"/>
        <v>CO2 emissions for electricity 2017 including losses&amp;WTT</v>
      </c>
      <c r="G126" s="98"/>
      <c r="H126" s="98"/>
      <c r="I126" s="98"/>
      <c r="J126" s="377">
        <v>0.1</v>
      </c>
      <c r="K126" s="129" t="str">
        <f>Translate!$A$267</f>
        <v>CO2 emissions for electricity 2017 including losses&amp;WTT</v>
      </c>
      <c r="L126" s="129" t="str">
        <f>Translate!$A$267</f>
        <v>CO2 emissions for electricity 2017 including losses&amp;WTT</v>
      </c>
      <c r="M126" s="129" t="str">
        <f>Translate!$A$267</f>
        <v>CO2 emissions for electricity 2017 including losses&amp;WTT</v>
      </c>
      <c r="N126" s="129" t="str">
        <f>Translate!$A$267</f>
        <v>CO2 emissions for electricity 2017 including losses&amp;WTT</v>
      </c>
      <c r="P126" s="715"/>
      <c r="Q126" s="715"/>
      <c r="R126" s="715"/>
      <c r="S126" s="715"/>
      <c r="T126" s="715"/>
      <c r="U126" s="715"/>
      <c r="V126" s="715"/>
      <c r="W126" s="721"/>
      <c r="X126" s="732">
        <v>1.0579473008195726</v>
      </c>
      <c r="Y126" s="228"/>
      <c r="Z126" s="717"/>
      <c r="AA126" s="665"/>
      <c r="AB126" s="228" t="s">
        <v>45</v>
      </c>
      <c r="AC126" s="228" t="s">
        <v>45</v>
      </c>
    </row>
    <row r="127" spans="1:29" ht="105" hidden="1" outlineLevel="1">
      <c r="A127" s="116">
        <f t="shared" ref="A127" ca="1" si="20">IF(ISBLANK(H127),OFFSET(A127,-1,0),OFFSET(A127,-1,0)+1)</f>
        <v>0</v>
      </c>
      <c r="B127" s="118"/>
      <c r="C127" s="117" t="s">
        <v>2676</v>
      </c>
      <c r="D127" s="126" t="str">
        <f t="shared" ref="D127" si="21">INDEX(AB127:AC127,MATCH($F$3,$AB$6:$AC$6,0))</f>
        <v>kWh</v>
      </c>
      <c r="E127" s="452">
        <f t="shared" ref="E127" si="22">IF(F127=H127,G127,INDEX(P127:AD127,MATCH($F127,$P$6:$AD$6,0)))</f>
        <v>0.46854711105391839</v>
      </c>
      <c r="F127" s="123" t="str">
        <f t="shared" ref="F127" si="23">IF(ISBLANK(H127),INDEX(K127:N127,$D$4),H127)</f>
        <v>CO2 emissions for electricity 2017 including losses&amp;WTT</v>
      </c>
      <c r="G127" s="98"/>
      <c r="H127" s="98"/>
      <c r="I127" s="98"/>
      <c r="J127" s="377">
        <v>0.1</v>
      </c>
      <c r="K127" s="129" t="str">
        <f>Translate!$A$267</f>
        <v>CO2 emissions for electricity 2017 including losses&amp;WTT</v>
      </c>
      <c r="L127" s="129" t="str">
        <f>Translate!$A$267</f>
        <v>CO2 emissions for electricity 2017 including losses&amp;WTT</v>
      </c>
      <c r="M127" s="129" t="str">
        <f>Translate!$A$267</f>
        <v>CO2 emissions for electricity 2017 including losses&amp;WTT</v>
      </c>
      <c r="N127" s="129" t="str">
        <f>Translate!$A$267</f>
        <v>CO2 emissions for electricity 2017 including losses&amp;WTT</v>
      </c>
      <c r="P127" s="715"/>
      <c r="Q127" s="715"/>
      <c r="R127" s="715"/>
      <c r="S127" s="715"/>
      <c r="T127" s="715"/>
      <c r="U127" s="715"/>
      <c r="V127" s="715"/>
      <c r="W127" s="721"/>
      <c r="X127" s="732">
        <v>0.46854711105391839</v>
      </c>
      <c r="Y127" s="228"/>
      <c r="Z127" s="717"/>
      <c r="AA127" s="665"/>
      <c r="AB127" s="228" t="s">
        <v>45</v>
      </c>
      <c r="AC127" s="228" t="s">
        <v>45</v>
      </c>
    </row>
    <row r="128" spans="1:29" ht="105" hidden="1" outlineLevel="1">
      <c r="A128" s="116">
        <f t="shared" ca="1" si="14"/>
        <v>0</v>
      </c>
      <c r="B128" s="118"/>
      <c r="C128" s="117" t="s">
        <v>2676</v>
      </c>
      <c r="D128" s="126" t="str">
        <f t="shared" si="15"/>
        <v>kWh</v>
      </c>
      <c r="E128" s="452">
        <f t="shared" si="16"/>
        <v>0.46854711105391839</v>
      </c>
      <c r="F128" s="123" t="str">
        <f t="shared" si="17"/>
        <v>CO2 emissions for electricity 2017 including losses&amp;WTT</v>
      </c>
      <c r="G128" s="98"/>
      <c r="H128" s="98"/>
      <c r="I128" s="98"/>
      <c r="J128" s="377">
        <v>0.1</v>
      </c>
      <c r="K128" s="129" t="str">
        <f>Translate!$A$267</f>
        <v>CO2 emissions for electricity 2017 including losses&amp;WTT</v>
      </c>
      <c r="L128" s="129" t="str">
        <f>Translate!$A$267</f>
        <v>CO2 emissions for electricity 2017 including losses&amp;WTT</v>
      </c>
      <c r="M128" s="129" t="str">
        <f>Translate!$A$267</f>
        <v>CO2 emissions for electricity 2017 including losses&amp;WTT</v>
      </c>
      <c r="N128" s="129" t="str">
        <f>Translate!$A$267</f>
        <v>CO2 emissions for electricity 2017 including losses&amp;WTT</v>
      </c>
      <c r="P128" s="715"/>
      <c r="Q128" s="715"/>
      <c r="R128" s="715"/>
      <c r="S128" s="715"/>
      <c r="T128" s="715"/>
      <c r="U128" s="715"/>
      <c r="V128" s="715"/>
      <c r="W128" s="721"/>
      <c r="X128" s="732">
        <v>0.46854711105391839</v>
      </c>
      <c r="Y128" s="228"/>
      <c r="Z128" s="717"/>
      <c r="AA128" s="665"/>
      <c r="AB128" s="228" t="s">
        <v>45</v>
      </c>
      <c r="AC128" s="228" t="s">
        <v>45</v>
      </c>
    </row>
    <row r="129" spans="1:29" ht="105" hidden="1" outlineLevel="1">
      <c r="A129" s="116">
        <f t="shared" ca="1" si="14"/>
        <v>0</v>
      </c>
      <c r="B129" s="118"/>
      <c r="C129" s="117" t="s">
        <v>2677</v>
      </c>
      <c r="D129" s="126" t="str">
        <f t="shared" si="15"/>
        <v>kWh</v>
      </c>
      <c r="E129" s="452">
        <f t="shared" si="16"/>
        <v>0.42290925043870642</v>
      </c>
      <c r="F129" s="123" t="str">
        <f t="shared" si="17"/>
        <v>CO2 emissions for electricity 2017 including losses&amp;WTT</v>
      </c>
      <c r="G129" s="98"/>
      <c r="H129" s="98"/>
      <c r="I129" s="98"/>
      <c r="J129" s="377">
        <v>0.1</v>
      </c>
      <c r="K129" s="129" t="str">
        <f>Translate!$A$267</f>
        <v>CO2 emissions for electricity 2017 including losses&amp;WTT</v>
      </c>
      <c r="L129" s="129" t="str">
        <f>Translate!$A$267</f>
        <v>CO2 emissions for electricity 2017 including losses&amp;WTT</v>
      </c>
      <c r="M129" s="129" t="str">
        <f>Translate!$A$267</f>
        <v>CO2 emissions for electricity 2017 including losses&amp;WTT</v>
      </c>
      <c r="N129" s="129" t="str">
        <f>Translate!$A$267</f>
        <v>CO2 emissions for electricity 2017 including losses&amp;WTT</v>
      </c>
      <c r="P129" s="715"/>
      <c r="Q129" s="715"/>
      <c r="R129" s="715"/>
      <c r="S129" s="715"/>
      <c r="T129" s="715"/>
      <c r="U129" s="715"/>
      <c r="V129" s="715"/>
      <c r="W129" s="721"/>
      <c r="X129" s="732">
        <v>0.42290925043870642</v>
      </c>
      <c r="Y129" s="228"/>
      <c r="Z129" s="717"/>
      <c r="AA129" s="665"/>
      <c r="AB129" s="228" t="s">
        <v>45</v>
      </c>
      <c r="AC129" s="228" t="s">
        <v>45</v>
      </c>
    </row>
    <row r="130" spans="1:29" ht="105" hidden="1" outlineLevel="1">
      <c r="A130" s="116">
        <f t="shared" ca="1" si="14"/>
        <v>0</v>
      </c>
      <c r="B130" s="118"/>
      <c r="C130" s="117" t="s">
        <v>2678</v>
      </c>
      <c r="D130" s="126" t="str">
        <f t="shared" si="15"/>
        <v>kWh</v>
      </c>
      <c r="E130" s="452">
        <f t="shared" si="16"/>
        <v>0.13366120689655173</v>
      </c>
      <c r="F130" s="123" t="str">
        <f t="shared" si="17"/>
        <v>CO2 emissions for electricity 2017 including losses&amp;WTT</v>
      </c>
      <c r="G130" s="98"/>
      <c r="H130" s="98"/>
      <c r="I130" s="98"/>
      <c r="J130" s="377">
        <v>0.1</v>
      </c>
      <c r="K130" s="129" t="str">
        <f>Translate!$A$267</f>
        <v>CO2 emissions for electricity 2017 including losses&amp;WTT</v>
      </c>
      <c r="L130" s="129" t="str">
        <f>Translate!$A$267</f>
        <v>CO2 emissions for electricity 2017 including losses&amp;WTT</v>
      </c>
      <c r="M130" s="129" t="str">
        <f>Translate!$A$267</f>
        <v>CO2 emissions for electricity 2017 including losses&amp;WTT</v>
      </c>
      <c r="N130" s="129" t="str">
        <f>Translate!$A$267</f>
        <v>CO2 emissions for electricity 2017 including losses&amp;WTT</v>
      </c>
      <c r="P130" s="715"/>
      <c r="Q130" s="715"/>
      <c r="R130" s="715"/>
      <c r="S130" s="715"/>
      <c r="T130" s="715"/>
      <c r="U130" s="715"/>
      <c r="V130" s="715"/>
      <c r="W130" s="721"/>
      <c r="X130" s="732">
        <v>0.13366120689655173</v>
      </c>
      <c r="Y130" s="228"/>
      <c r="Z130" s="717"/>
      <c r="AA130" s="665"/>
      <c r="AB130" s="228" t="s">
        <v>45</v>
      </c>
      <c r="AC130" s="228" t="s">
        <v>45</v>
      </c>
    </row>
    <row r="131" spans="1:29" ht="105" hidden="1" outlineLevel="1">
      <c r="A131" s="116">
        <f t="shared" ca="1" si="14"/>
        <v>0</v>
      </c>
      <c r="B131" s="118"/>
      <c r="C131" s="117" t="s">
        <v>2679</v>
      </c>
      <c r="D131" s="126" t="str">
        <f t="shared" si="15"/>
        <v>kWh</v>
      </c>
      <c r="E131" s="452">
        <f t="shared" si="16"/>
        <v>0.58705542565210989</v>
      </c>
      <c r="F131" s="123" t="str">
        <f t="shared" si="17"/>
        <v>CO2 emissions for electricity 2017 including losses&amp;WTT</v>
      </c>
      <c r="G131" s="98"/>
      <c r="H131" s="98"/>
      <c r="I131" s="98"/>
      <c r="J131" s="377">
        <v>0.1</v>
      </c>
      <c r="K131" s="129" t="str">
        <f>Translate!$A$267</f>
        <v>CO2 emissions for electricity 2017 including losses&amp;WTT</v>
      </c>
      <c r="L131" s="129" t="str">
        <f>Translate!$A$267</f>
        <v>CO2 emissions for electricity 2017 including losses&amp;WTT</v>
      </c>
      <c r="M131" s="129" t="str">
        <f>Translate!$A$267</f>
        <v>CO2 emissions for electricity 2017 including losses&amp;WTT</v>
      </c>
      <c r="N131" s="129" t="str">
        <f>Translate!$A$267</f>
        <v>CO2 emissions for electricity 2017 including losses&amp;WTT</v>
      </c>
      <c r="P131" s="715"/>
      <c r="Q131" s="715"/>
      <c r="R131" s="715"/>
      <c r="S131" s="715"/>
      <c r="T131" s="715"/>
      <c r="U131" s="715"/>
      <c r="V131" s="715"/>
      <c r="W131" s="721"/>
      <c r="X131" s="732">
        <v>0.58705542565210989</v>
      </c>
      <c r="Y131" s="228"/>
      <c r="Z131" s="717"/>
      <c r="AA131" s="665"/>
      <c r="AB131" s="228" t="s">
        <v>45</v>
      </c>
      <c r="AC131" s="228" t="s">
        <v>45</v>
      </c>
    </row>
    <row r="132" spans="1:29" ht="105" hidden="1" outlineLevel="1">
      <c r="A132" s="116">
        <f t="shared" ca="1" si="14"/>
        <v>0</v>
      </c>
      <c r="B132" s="118"/>
      <c r="C132" s="117" t="s">
        <v>2680</v>
      </c>
      <c r="D132" s="126" t="str">
        <f t="shared" si="15"/>
        <v>kWh</v>
      </c>
      <c r="E132" s="452">
        <f t="shared" si="16"/>
        <v>0.17427166020444129</v>
      </c>
      <c r="F132" s="123" t="str">
        <f t="shared" si="17"/>
        <v>CO2 emissions for electricity 2017 including losses&amp;WTT</v>
      </c>
      <c r="G132" s="98"/>
      <c r="H132" s="98"/>
      <c r="I132" s="98"/>
      <c r="J132" s="377">
        <v>0.1</v>
      </c>
      <c r="K132" s="129" t="str">
        <f>Translate!$A$267</f>
        <v>CO2 emissions for electricity 2017 including losses&amp;WTT</v>
      </c>
      <c r="L132" s="129" t="str">
        <f>Translate!$A$267</f>
        <v>CO2 emissions for electricity 2017 including losses&amp;WTT</v>
      </c>
      <c r="M132" s="129" t="str">
        <f>Translate!$A$267</f>
        <v>CO2 emissions for electricity 2017 including losses&amp;WTT</v>
      </c>
      <c r="N132" s="129" t="str">
        <f>Translate!$A$267</f>
        <v>CO2 emissions for electricity 2017 including losses&amp;WTT</v>
      </c>
      <c r="P132" s="715"/>
      <c r="Q132" s="715"/>
      <c r="R132" s="715"/>
      <c r="S132" s="715"/>
      <c r="T132" s="715"/>
      <c r="U132" s="715"/>
      <c r="V132" s="715"/>
      <c r="W132" s="721"/>
      <c r="X132" s="732">
        <v>0.17427166020444129</v>
      </c>
      <c r="Y132" s="228"/>
      <c r="Z132" s="717"/>
      <c r="AA132" s="665"/>
      <c r="AB132" s="228" t="s">
        <v>45</v>
      </c>
      <c r="AC132" s="228" t="s">
        <v>45</v>
      </c>
    </row>
    <row r="133" spans="1:29" ht="105" hidden="1" outlineLevel="1">
      <c r="A133" s="116">
        <f t="shared" ca="1" si="14"/>
        <v>0</v>
      </c>
      <c r="B133" s="118"/>
      <c r="C133" s="117" t="s">
        <v>2681</v>
      </c>
      <c r="D133" s="126" t="str">
        <f t="shared" si="15"/>
        <v>kWh</v>
      </c>
      <c r="E133" s="452">
        <f t="shared" si="16"/>
        <v>0.88231018027571573</v>
      </c>
      <c r="F133" s="123" t="str">
        <f t="shared" si="17"/>
        <v>CO2 emissions for electricity 2017 including losses&amp;WTT</v>
      </c>
      <c r="G133" s="98"/>
      <c r="H133" s="98"/>
      <c r="I133" s="98"/>
      <c r="J133" s="377">
        <v>0.1</v>
      </c>
      <c r="K133" s="129" t="str">
        <f>Translate!$A$267</f>
        <v>CO2 emissions for electricity 2017 including losses&amp;WTT</v>
      </c>
      <c r="L133" s="129" t="str">
        <f>Translate!$A$267</f>
        <v>CO2 emissions for electricity 2017 including losses&amp;WTT</v>
      </c>
      <c r="M133" s="129" t="str">
        <f>Translate!$A$267</f>
        <v>CO2 emissions for electricity 2017 including losses&amp;WTT</v>
      </c>
      <c r="N133" s="129" t="str">
        <f>Translate!$A$267</f>
        <v>CO2 emissions for electricity 2017 including losses&amp;WTT</v>
      </c>
      <c r="P133" s="715"/>
      <c r="Q133" s="715"/>
      <c r="R133" s="715"/>
      <c r="S133" s="715"/>
      <c r="T133" s="715"/>
      <c r="U133" s="715"/>
      <c r="V133" s="715"/>
      <c r="W133" s="721"/>
      <c r="X133" s="732">
        <v>0.88231018027571573</v>
      </c>
      <c r="Y133" s="228"/>
      <c r="Z133" s="717"/>
      <c r="AA133" s="665"/>
      <c r="AB133" s="228" t="s">
        <v>45</v>
      </c>
      <c r="AC133" s="228" t="s">
        <v>45</v>
      </c>
    </row>
    <row r="134" spans="1:29" ht="105" hidden="1" outlineLevel="1">
      <c r="A134" s="116">
        <f t="shared" ca="1" si="14"/>
        <v>0</v>
      </c>
      <c r="B134" s="118"/>
      <c r="C134" s="117" t="s">
        <v>2682</v>
      </c>
      <c r="D134" s="126" t="str">
        <f t="shared" si="15"/>
        <v>kWh</v>
      </c>
      <c r="E134" s="452">
        <f t="shared" si="16"/>
        <v>0.81910273738237815</v>
      </c>
      <c r="F134" s="123" t="str">
        <f t="shared" si="17"/>
        <v>CO2 emissions for electricity 2017 including losses&amp;WTT</v>
      </c>
      <c r="G134" s="98"/>
      <c r="H134" s="98"/>
      <c r="I134" s="98"/>
      <c r="J134" s="377">
        <v>0.1</v>
      </c>
      <c r="K134" s="129" t="str">
        <f>Translate!$A$267</f>
        <v>CO2 emissions for electricity 2017 including losses&amp;WTT</v>
      </c>
      <c r="L134" s="129" t="str">
        <f>Translate!$A$267</f>
        <v>CO2 emissions for electricity 2017 including losses&amp;WTT</v>
      </c>
      <c r="M134" s="129" t="str">
        <f>Translate!$A$267</f>
        <v>CO2 emissions for electricity 2017 including losses&amp;WTT</v>
      </c>
      <c r="N134" s="129" t="str">
        <f>Translate!$A$267</f>
        <v>CO2 emissions for electricity 2017 including losses&amp;WTT</v>
      </c>
      <c r="P134" s="715"/>
      <c r="Q134" s="715"/>
      <c r="R134" s="715"/>
      <c r="S134" s="715"/>
      <c r="T134" s="715"/>
      <c r="U134" s="715"/>
      <c r="V134" s="715"/>
      <c r="W134" s="721"/>
      <c r="X134" s="732">
        <v>0.81910273738237815</v>
      </c>
      <c r="Y134" s="228"/>
      <c r="Z134" s="717"/>
      <c r="AA134" s="665"/>
      <c r="AB134" s="228" t="s">
        <v>45</v>
      </c>
      <c r="AC134" s="228" t="s">
        <v>45</v>
      </c>
    </row>
    <row r="135" spans="1:29" ht="105" hidden="1" outlineLevel="1">
      <c r="A135" s="116">
        <f t="shared" ca="1" si="14"/>
        <v>0</v>
      </c>
      <c r="B135" s="118"/>
      <c r="C135" s="117" t="s">
        <v>2683</v>
      </c>
      <c r="D135" s="126" t="str">
        <f t="shared" si="15"/>
        <v>kWh</v>
      </c>
      <c r="E135" s="452">
        <f t="shared" si="16"/>
        <v>0.67787678525041561</v>
      </c>
      <c r="F135" s="123" t="str">
        <f t="shared" si="17"/>
        <v>CO2 emissions for electricity 2017 including losses&amp;WTT</v>
      </c>
      <c r="G135" s="98"/>
      <c r="H135" s="98"/>
      <c r="I135" s="98"/>
      <c r="J135" s="377">
        <v>0.1</v>
      </c>
      <c r="K135" s="129" t="str">
        <f>Translate!$A$267</f>
        <v>CO2 emissions for electricity 2017 including losses&amp;WTT</v>
      </c>
      <c r="L135" s="129" t="str">
        <f>Translate!$A$267</f>
        <v>CO2 emissions for electricity 2017 including losses&amp;WTT</v>
      </c>
      <c r="M135" s="129" t="str">
        <f>Translate!$A$267</f>
        <v>CO2 emissions for electricity 2017 including losses&amp;WTT</v>
      </c>
      <c r="N135" s="129" t="str">
        <f>Translate!$A$267</f>
        <v>CO2 emissions for electricity 2017 including losses&amp;WTT</v>
      </c>
      <c r="P135" s="715"/>
      <c r="Q135" s="715"/>
      <c r="R135" s="715"/>
      <c r="S135" s="715"/>
      <c r="T135" s="715"/>
      <c r="U135" s="715"/>
      <c r="V135" s="715"/>
      <c r="W135" s="721"/>
      <c r="X135" s="732">
        <v>0.67787678525041561</v>
      </c>
      <c r="Y135" s="228"/>
      <c r="Z135" s="717"/>
      <c r="AA135" s="665"/>
      <c r="AB135" s="228" t="s">
        <v>45</v>
      </c>
      <c r="AC135" s="228" t="s">
        <v>45</v>
      </c>
    </row>
    <row r="136" spans="1:29" ht="105" hidden="1" outlineLevel="1">
      <c r="A136" s="116">
        <f t="shared" ca="1" si="14"/>
        <v>0</v>
      </c>
      <c r="B136" s="118"/>
      <c r="C136" s="117" t="s">
        <v>2684</v>
      </c>
      <c r="D136" s="126" t="str">
        <f t="shared" si="15"/>
        <v>kWh</v>
      </c>
      <c r="E136" s="452">
        <f t="shared" si="16"/>
        <v>1.5127505574250855</v>
      </c>
      <c r="F136" s="123" t="str">
        <f t="shared" si="17"/>
        <v>CO2 emissions for electricity 2017 including losses&amp;WTT</v>
      </c>
      <c r="G136" s="98"/>
      <c r="H136" s="98"/>
      <c r="I136" s="98"/>
      <c r="J136" s="377">
        <v>0.1</v>
      </c>
      <c r="K136" s="129" t="str">
        <f>Translate!$A$267</f>
        <v>CO2 emissions for electricity 2017 including losses&amp;WTT</v>
      </c>
      <c r="L136" s="129" t="str">
        <f>Translate!$A$267</f>
        <v>CO2 emissions for electricity 2017 including losses&amp;WTT</v>
      </c>
      <c r="M136" s="129" t="str">
        <f>Translate!$A$267</f>
        <v>CO2 emissions for electricity 2017 including losses&amp;WTT</v>
      </c>
      <c r="N136" s="129" t="str">
        <f>Translate!$A$267</f>
        <v>CO2 emissions for electricity 2017 including losses&amp;WTT</v>
      </c>
      <c r="P136" s="715"/>
      <c r="Q136" s="715"/>
      <c r="R136" s="715"/>
      <c r="S136" s="715"/>
      <c r="T136" s="715"/>
      <c r="U136" s="715"/>
      <c r="V136" s="715"/>
      <c r="W136" s="721"/>
      <c r="X136" s="732">
        <v>1.5127505574250855</v>
      </c>
      <c r="Y136" s="228"/>
      <c r="Z136" s="717"/>
      <c r="AA136" s="665"/>
      <c r="AB136" s="228" t="s">
        <v>45</v>
      </c>
      <c r="AC136" s="228" t="s">
        <v>45</v>
      </c>
    </row>
    <row r="137" spans="1:29" ht="105" hidden="1" outlineLevel="1">
      <c r="A137" s="116">
        <f t="shared" ca="1" si="14"/>
        <v>0</v>
      </c>
      <c r="B137" s="118"/>
      <c r="C137" s="117" t="s">
        <v>2685</v>
      </c>
      <c r="D137" s="126" t="str">
        <f t="shared" si="15"/>
        <v>kWh</v>
      </c>
      <c r="E137" s="452">
        <f t="shared" si="16"/>
        <v>0.63755419075144504</v>
      </c>
      <c r="F137" s="123" t="str">
        <f t="shared" si="17"/>
        <v>CO2 emissions for electricity 2017 including losses&amp;WTT</v>
      </c>
      <c r="G137" s="98"/>
      <c r="H137" s="98"/>
      <c r="I137" s="98"/>
      <c r="J137" s="377">
        <v>0.1</v>
      </c>
      <c r="K137" s="129" t="str">
        <f>Translate!$A$267</f>
        <v>CO2 emissions for electricity 2017 including losses&amp;WTT</v>
      </c>
      <c r="L137" s="129" t="str">
        <f>Translate!$A$267</f>
        <v>CO2 emissions for electricity 2017 including losses&amp;WTT</v>
      </c>
      <c r="M137" s="129" t="str">
        <f>Translate!$A$267</f>
        <v>CO2 emissions for electricity 2017 including losses&amp;WTT</v>
      </c>
      <c r="N137" s="129" t="str">
        <f>Translate!$A$267</f>
        <v>CO2 emissions for electricity 2017 including losses&amp;WTT</v>
      </c>
      <c r="P137" s="715"/>
      <c r="Q137" s="715"/>
      <c r="R137" s="715"/>
      <c r="S137" s="715"/>
      <c r="T137" s="715"/>
      <c r="U137" s="715"/>
      <c r="V137" s="715"/>
      <c r="W137" s="721"/>
      <c r="X137" s="732">
        <v>0.63755419075144504</v>
      </c>
      <c r="Y137" s="228"/>
      <c r="Z137" s="717"/>
      <c r="AA137" s="665"/>
      <c r="AB137" s="228" t="s">
        <v>45</v>
      </c>
      <c r="AC137" s="228" t="s">
        <v>45</v>
      </c>
    </row>
    <row r="138" spans="1:29" ht="105" hidden="1" outlineLevel="1">
      <c r="A138" s="116">
        <f t="shared" ca="1" si="14"/>
        <v>0</v>
      </c>
      <c r="B138" s="118"/>
      <c r="C138" s="117" t="s">
        <v>2686</v>
      </c>
      <c r="D138" s="126" t="str">
        <f t="shared" si="15"/>
        <v>kWh</v>
      </c>
      <c r="E138" s="452">
        <f t="shared" si="16"/>
        <v>0.78204828268395887</v>
      </c>
      <c r="F138" s="123" t="str">
        <f t="shared" si="17"/>
        <v>CO2 emissions for electricity 2017 including losses&amp;WTT</v>
      </c>
      <c r="G138" s="98"/>
      <c r="H138" s="98"/>
      <c r="I138" s="98"/>
      <c r="J138" s="377">
        <v>0.1</v>
      </c>
      <c r="K138" s="129" t="str">
        <f>Translate!$A$267</f>
        <v>CO2 emissions for electricity 2017 including losses&amp;WTT</v>
      </c>
      <c r="L138" s="129" t="str">
        <f>Translate!$A$267</f>
        <v>CO2 emissions for electricity 2017 including losses&amp;WTT</v>
      </c>
      <c r="M138" s="129" t="str">
        <f>Translate!$A$267</f>
        <v>CO2 emissions for electricity 2017 including losses&amp;WTT</v>
      </c>
      <c r="N138" s="129" t="str">
        <f>Translate!$A$267</f>
        <v>CO2 emissions for electricity 2017 including losses&amp;WTT</v>
      </c>
      <c r="P138" s="715"/>
      <c r="Q138" s="715"/>
      <c r="R138" s="715"/>
      <c r="S138" s="715"/>
      <c r="T138" s="715"/>
      <c r="U138" s="715"/>
      <c r="V138" s="715"/>
      <c r="W138" s="721"/>
      <c r="X138" s="732">
        <v>0.78204828268395887</v>
      </c>
      <c r="Y138" s="228"/>
      <c r="Z138" s="717"/>
      <c r="AA138" s="665"/>
      <c r="AB138" s="228" t="s">
        <v>45</v>
      </c>
      <c r="AC138" s="228" t="s">
        <v>45</v>
      </c>
    </row>
    <row r="139" spans="1:29" ht="105" hidden="1" outlineLevel="1">
      <c r="A139" s="116">
        <f t="shared" ca="1" si="14"/>
        <v>0</v>
      </c>
      <c r="B139" s="118"/>
      <c r="C139" s="117" t="s">
        <v>2687</v>
      </c>
      <c r="D139" s="126" t="str">
        <f t="shared" si="15"/>
        <v>kWh</v>
      </c>
      <c r="E139" s="452">
        <f t="shared" si="16"/>
        <v>0.98130982658959542</v>
      </c>
      <c r="F139" s="123" t="str">
        <f t="shared" si="17"/>
        <v>CO2 emissions for electricity 2017 including losses&amp;WTT</v>
      </c>
      <c r="G139" s="98"/>
      <c r="H139" s="98"/>
      <c r="I139" s="98"/>
      <c r="J139" s="377">
        <v>0.1</v>
      </c>
      <c r="K139" s="129" t="str">
        <f>Translate!$A$267</f>
        <v>CO2 emissions for electricity 2017 including losses&amp;WTT</v>
      </c>
      <c r="L139" s="129" t="str">
        <f>Translate!$A$267</f>
        <v>CO2 emissions for electricity 2017 including losses&amp;WTT</v>
      </c>
      <c r="M139" s="129" t="str">
        <f>Translate!$A$267</f>
        <v>CO2 emissions for electricity 2017 including losses&amp;WTT</v>
      </c>
      <c r="N139" s="129" t="str">
        <f>Translate!$A$267</f>
        <v>CO2 emissions for electricity 2017 including losses&amp;WTT</v>
      </c>
      <c r="P139" s="715"/>
      <c r="Q139" s="715"/>
      <c r="R139" s="715"/>
      <c r="S139" s="715"/>
      <c r="T139" s="715"/>
      <c r="U139" s="715"/>
      <c r="V139" s="715"/>
      <c r="W139" s="721"/>
      <c r="X139" s="732">
        <v>0.98130982658959542</v>
      </c>
      <c r="Y139" s="228"/>
      <c r="Z139" s="717"/>
      <c r="AA139" s="665"/>
      <c r="AB139" s="228" t="s">
        <v>45</v>
      </c>
      <c r="AC139" s="228" t="s">
        <v>45</v>
      </c>
    </row>
    <row r="140" spans="1:29" ht="105" hidden="1" outlineLevel="1">
      <c r="A140" s="116">
        <f t="shared" ca="1" si="14"/>
        <v>0</v>
      </c>
      <c r="B140" s="118"/>
      <c r="C140" s="117" t="s">
        <v>2688</v>
      </c>
      <c r="D140" s="126" t="str">
        <f t="shared" si="15"/>
        <v>kWh</v>
      </c>
      <c r="E140" s="452">
        <f t="shared" si="16"/>
        <v>0.58794931074572332</v>
      </c>
      <c r="F140" s="123" t="str">
        <f t="shared" si="17"/>
        <v>CO2 emissions for electricity 2017 including losses&amp;WTT</v>
      </c>
      <c r="G140" s="98"/>
      <c r="H140" s="98"/>
      <c r="I140" s="98"/>
      <c r="J140" s="377">
        <v>0.1</v>
      </c>
      <c r="K140" s="129" t="str">
        <f>Translate!$A$267</f>
        <v>CO2 emissions for electricity 2017 including losses&amp;WTT</v>
      </c>
      <c r="L140" s="129" t="str">
        <f>Translate!$A$267</f>
        <v>CO2 emissions for electricity 2017 including losses&amp;WTT</v>
      </c>
      <c r="M140" s="129" t="str">
        <f>Translate!$A$267</f>
        <v>CO2 emissions for electricity 2017 including losses&amp;WTT</v>
      </c>
      <c r="N140" s="129" t="str">
        <f>Translate!$A$267</f>
        <v>CO2 emissions for electricity 2017 including losses&amp;WTT</v>
      </c>
      <c r="P140" s="715"/>
      <c r="Q140" s="715"/>
      <c r="R140" s="715"/>
      <c r="S140" s="715"/>
      <c r="T140" s="715"/>
      <c r="U140" s="715"/>
      <c r="V140" s="715"/>
      <c r="W140" s="721"/>
      <c r="X140" s="732">
        <v>0.58794931074572332</v>
      </c>
      <c r="Y140" s="228"/>
      <c r="Z140" s="717"/>
      <c r="AA140" s="665"/>
      <c r="AB140" s="228" t="s">
        <v>45</v>
      </c>
      <c r="AC140" s="228" t="s">
        <v>45</v>
      </c>
    </row>
    <row r="141" spans="1:29" ht="105" hidden="1" outlineLevel="1">
      <c r="A141" s="116">
        <f t="shared" ca="1" si="14"/>
        <v>0</v>
      </c>
      <c r="B141" s="118"/>
      <c r="C141" s="117" t="s">
        <v>2689</v>
      </c>
      <c r="D141" s="126" t="str">
        <f t="shared" si="15"/>
        <v>kWh</v>
      </c>
      <c r="E141" s="452">
        <f t="shared" si="16"/>
        <v>0.60509999999999986</v>
      </c>
      <c r="F141" s="123" t="str">
        <f t="shared" si="17"/>
        <v>CO2 emissions for electricity 2017 including losses&amp;WTT</v>
      </c>
      <c r="G141" s="98"/>
      <c r="H141" s="98"/>
      <c r="I141" s="98"/>
      <c r="J141" s="377">
        <v>0.1</v>
      </c>
      <c r="K141" s="129" t="str">
        <f>Translate!$A$267</f>
        <v>CO2 emissions for electricity 2017 including losses&amp;WTT</v>
      </c>
      <c r="L141" s="129" t="str">
        <f>Translate!$A$267</f>
        <v>CO2 emissions for electricity 2017 including losses&amp;WTT</v>
      </c>
      <c r="M141" s="129" t="str">
        <f>Translate!$A$267</f>
        <v>CO2 emissions for electricity 2017 including losses&amp;WTT</v>
      </c>
      <c r="N141" s="129" t="str">
        <f>Translate!$A$267</f>
        <v>CO2 emissions for electricity 2017 including losses&amp;WTT</v>
      </c>
      <c r="P141" s="715"/>
      <c r="Q141" s="715"/>
      <c r="R141" s="715"/>
      <c r="S141" s="715"/>
      <c r="T141" s="715"/>
      <c r="U141" s="715"/>
      <c r="V141" s="715"/>
      <c r="W141" s="721"/>
      <c r="X141" s="732">
        <v>0.60509999999999986</v>
      </c>
      <c r="Y141" s="228"/>
      <c r="Z141" s="717"/>
      <c r="AA141" s="665"/>
      <c r="AB141" s="228" t="s">
        <v>45</v>
      </c>
      <c r="AC141" s="228" t="s">
        <v>45</v>
      </c>
    </row>
    <row r="142" spans="1:29" ht="105" hidden="1" outlineLevel="1">
      <c r="A142" s="116">
        <f t="shared" ca="1" si="14"/>
        <v>0</v>
      </c>
      <c r="B142" s="118"/>
      <c r="C142" s="117" t="s">
        <v>2690</v>
      </c>
      <c r="D142" s="126" t="str">
        <f t="shared" si="15"/>
        <v>kWh</v>
      </c>
      <c r="E142" s="452">
        <f t="shared" si="16"/>
        <v>0.8792550396577844</v>
      </c>
      <c r="F142" s="123" t="str">
        <f t="shared" si="17"/>
        <v>CO2 emissions for electricity 2017 including losses&amp;WTT</v>
      </c>
      <c r="G142" s="98"/>
      <c r="H142" s="98"/>
      <c r="I142" s="98"/>
      <c r="J142" s="377">
        <v>0.1</v>
      </c>
      <c r="K142" s="129" t="str">
        <f>Translate!$A$267</f>
        <v>CO2 emissions for electricity 2017 including losses&amp;WTT</v>
      </c>
      <c r="L142" s="129" t="str">
        <f>Translate!$A$267</f>
        <v>CO2 emissions for electricity 2017 including losses&amp;WTT</v>
      </c>
      <c r="M142" s="129" t="str">
        <f>Translate!$A$267</f>
        <v>CO2 emissions for electricity 2017 including losses&amp;WTT</v>
      </c>
      <c r="N142" s="129" t="str">
        <f>Translate!$A$267</f>
        <v>CO2 emissions for electricity 2017 including losses&amp;WTT</v>
      </c>
      <c r="P142" s="715"/>
      <c r="Q142" s="715"/>
      <c r="R142" s="715"/>
      <c r="S142" s="715"/>
      <c r="T142" s="715"/>
      <c r="U142" s="715"/>
      <c r="V142" s="715"/>
      <c r="W142" s="721"/>
      <c r="X142" s="732">
        <v>0.8792550396577844</v>
      </c>
      <c r="Y142" s="228"/>
      <c r="Z142" s="717"/>
      <c r="AA142" s="665"/>
      <c r="AB142" s="228" t="s">
        <v>45</v>
      </c>
      <c r="AC142" s="228" t="s">
        <v>45</v>
      </c>
    </row>
    <row r="143" spans="1:29" ht="105" hidden="1" outlineLevel="1">
      <c r="A143" s="116">
        <f t="shared" ca="1" si="14"/>
        <v>0</v>
      </c>
      <c r="B143" s="118"/>
      <c r="C143" s="117" t="s">
        <v>2691</v>
      </c>
      <c r="D143" s="126" t="str">
        <f t="shared" si="15"/>
        <v>kWh</v>
      </c>
      <c r="E143" s="452">
        <f t="shared" si="16"/>
        <v>0.84685503965778453</v>
      </c>
      <c r="F143" s="123" t="str">
        <f t="shared" si="17"/>
        <v>CO2 emissions for electricity 2017 including losses&amp;WTT</v>
      </c>
      <c r="G143" s="98"/>
      <c r="H143" s="98"/>
      <c r="I143" s="98"/>
      <c r="J143" s="377">
        <v>0.1</v>
      </c>
      <c r="K143" s="129" t="str">
        <f>Translate!$A$267</f>
        <v>CO2 emissions for electricity 2017 including losses&amp;WTT</v>
      </c>
      <c r="L143" s="129" t="str">
        <f>Translate!$A$267</f>
        <v>CO2 emissions for electricity 2017 including losses&amp;WTT</v>
      </c>
      <c r="M143" s="129" t="str">
        <f>Translate!$A$267</f>
        <v>CO2 emissions for electricity 2017 including losses&amp;WTT</v>
      </c>
      <c r="N143" s="129" t="str">
        <f>Translate!$A$267</f>
        <v>CO2 emissions for electricity 2017 including losses&amp;WTT</v>
      </c>
      <c r="P143" s="715"/>
      <c r="Q143" s="715"/>
      <c r="R143" s="715"/>
      <c r="S143" s="715"/>
      <c r="T143" s="715"/>
      <c r="U143" s="715"/>
      <c r="V143" s="715"/>
      <c r="W143" s="721"/>
      <c r="X143" s="732">
        <v>0.84685503965778453</v>
      </c>
      <c r="Y143" s="228"/>
      <c r="Z143" s="717"/>
      <c r="AA143" s="665"/>
      <c r="AB143" s="228" t="s">
        <v>45</v>
      </c>
      <c r="AC143" s="228" t="s">
        <v>45</v>
      </c>
    </row>
    <row r="144" spans="1:29" ht="105" hidden="1" outlineLevel="1">
      <c r="A144" s="116">
        <f t="shared" ref="A144:A174" ca="1" si="24">IF(ISBLANK(H144),OFFSET(A144,-1,0),OFFSET(A144,-1,0)+1)</f>
        <v>0</v>
      </c>
      <c r="B144" s="118"/>
      <c r="C144" s="117" t="s">
        <v>2692</v>
      </c>
      <c r="D144" s="126" t="str">
        <f t="shared" si="15"/>
        <v>kWh</v>
      </c>
      <c r="E144" s="452">
        <f t="shared" ref="E144:E174" si="25">IF(F144=H144,G144,INDEX(P144:AD144,MATCH($F144,$P$6:$AD$6,0)))</f>
        <v>0.8069193931016031</v>
      </c>
      <c r="F144" s="123" t="str">
        <f t="shared" ref="F144:F174" si="26">IF(ISBLANK(H144),INDEX(K144:N144,$D$4),H144)</f>
        <v>CO2 emissions for electricity 2017 including losses&amp;WTT</v>
      </c>
      <c r="G144" s="98"/>
      <c r="H144" s="98"/>
      <c r="I144" s="98"/>
      <c r="J144" s="377">
        <v>0.1</v>
      </c>
      <c r="K144" s="129" t="str">
        <f>Translate!$A$267</f>
        <v>CO2 emissions for electricity 2017 including losses&amp;WTT</v>
      </c>
      <c r="L144" s="129" t="str">
        <f>Translate!$A$267</f>
        <v>CO2 emissions for electricity 2017 including losses&amp;WTT</v>
      </c>
      <c r="M144" s="129" t="str">
        <f>Translate!$A$267</f>
        <v>CO2 emissions for electricity 2017 including losses&amp;WTT</v>
      </c>
      <c r="N144" s="129" t="str">
        <f>Translate!$A$267</f>
        <v>CO2 emissions for electricity 2017 including losses&amp;WTT</v>
      </c>
      <c r="P144" s="715"/>
      <c r="Q144" s="715"/>
      <c r="R144" s="715"/>
      <c r="S144" s="715"/>
      <c r="T144" s="715"/>
      <c r="U144" s="715"/>
      <c r="V144" s="715"/>
      <c r="W144" s="721"/>
      <c r="X144" s="732">
        <v>0.8069193931016031</v>
      </c>
      <c r="Y144" s="228"/>
      <c r="Z144" s="717"/>
      <c r="AA144" s="665"/>
      <c r="AB144" s="228" t="s">
        <v>45</v>
      </c>
      <c r="AC144" s="228" t="s">
        <v>45</v>
      </c>
    </row>
    <row r="145" spans="1:29" ht="105" hidden="1" outlineLevel="1">
      <c r="A145" s="116">
        <f t="shared" ca="1" si="24"/>
        <v>0</v>
      </c>
      <c r="B145" s="118"/>
      <c r="C145" s="117" t="s">
        <v>2693</v>
      </c>
      <c r="D145" s="126" t="str">
        <f t="shared" si="15"/>
        <v>kWh</v>
      </c>
      <c r="E145" s="452">
        <f t="shared" si="25"/>
        <v>0.89454793077501882</v>
      </c>
      <c r="F145" s="123" t="str">
        <f t="shared" si="26"/>
        <v>CO2 emissions for electricity 2017 including losses&amp;WTT</v>
      </c>
      <c r="G145" s="98"/>
      <c r="H145" s="98"/>
      <c r="I145" s="98"/>
      <c r="J145" s="377">
        <v>0.1</v>
      </c>
      <c r="K145" s="129" t="str">
        <f>Translate!$A$267</f>
        <v>CO2 emissions for electricity 2017 including losses&amp;WTT</v>
      </c>
      <c r="L145" s="129" t="str">
        <f>Translate!$A$267</f>
        <v>CO2 emissions for electricity 2017 including losses&amp;WTT</v>
      </c>
      <c r="M145" s="129" t="str">
        <f>Translate!$A$267</f>
        <v>CO2 emissions for electricity 2017 including losses&amp;WTT</v>
      </c>
      <c r="N145" s="129" t="str">
        <f>Translate!$A$267</f>
        <v>CO2 emissions for electricity 2017 including losses&amp;WTT</v>
      </c>
      <c r="P145" s="715"/>
      <c r="Q145" s="715"/>
      <c r="R145" s="715"/>
      <c r="S145" s="715"/>
      <c r="T145" s="715"/>
      <c r="U145" s="715"/>
      <c r="V145" s="715"/>
      <c r="W145" s="721"/>
      <c r="X145" s="732">
        <v>0.89454793077501882</v>
      </c>
      <c r="Y145" s="228"/>
      <c r="Z145" s="717"/>
      <c r="AA145" s="665"/>
      <c r="AB145" s="228" t="s">
        <v>45</v>
      </c>
      <c r="AC145" s="228" t="s">
        <v>45</v>
      </c>
    </row>
    <row r="146" spans="1:29" ht="105" hidden="1" outlineLevel="1">
      <c r="A146" s="116">
        <f t="shared" ca="1" si="24"/>
        <v>0</v>
      </c>
      <c r="B146" s="118"/>
      <c r="C146" s="117" t="s">
        <v>2694</v>
      </c>
      <c r="D146" s="126" t="str">
        <f t="shared" si="15"/>
        <v>kWh</v>
      </c>
      <c r="E146" s="452">
        <f t="shared" si="25"/>
        <v>0.47564293345417591</v>
      </c>
      <c r="F146" s="123" t="str">
        <f t="shared" si="26"/>
        <v>CO2 emissions for electricity 2017 including losses&amp;WTT</v>
      </c>
      <c r="G146" s="98"/>
      <c r="H146" s="98"/>
      <c r="I146" s="98"/>
      <c r="J146" s="377">
        <v>0.1</v>
      </c>
      <c r="K146" s="129" t="str">
        <f>Translate!$A$267</f>
        <v>CO2 emissions for electricity 2017 including losses&amp;WTT</v>
      </c>
      <c r="L146" s="129" t="str">
        <f>Translate!$A$267</f>
        <v>CO2 emissions for electricity 2017 including losses&amp;WTT</v>
      </c>
      <c r="M146" s="129" t="str">
        <f>Translate!$A$267</f>
        <v>CO2 emissions for electricity 2017 including losses&amp;WTT</v>
      </c>
      <c r="N146" s="129" t="str">
        <f>Translate!$A$267</f>
        <v>CO2 emissions for electricity 2017 including losses&amp;WTT</v>
      </c>
      <c r="P146" s="715"/>
      <c r="Q146" s="715"/>
      <c r="R146" s="715"/>
      <c r="S146" s="715"/>
      <c r="T146" s="715"/>
      <c r="U146" s="715"/>
      <c r="V146" s="715"/>
      <c r="W146" s="721"/>
      <c r="X146" s="732">
        <v>0.47564293345417591</v>
      </c>
      <c r="Y146" s="228"/>
      <c r="Z146" s="717"/>
      <c r="AA146" s="665"/>
      <c r="AB146" s="228" t="s">
        <v>45</v>
      </c>
      <c r="AC146" s="228" t="s">
        <v>45</v>
      </c>
    </row>
    <row r="147" spans="1:29" ht="105" hidden="1" outlineLevel="1">
      <c r="A147" s="116">
        <f t="shared" ca="1" si="24"/>
        <v>0</v>
      </c>
      <c r="B147" s="118"/>
      <c r="C147" s="117" t="s">
        <v>2695</v>
      </c>
      <c r="D147" s="126" t="str">
        <f t="shared" si="15"/>
        <v>kWh</v>
      </c>
      <c r="E147" s="452">
        <f t="shared" si="25"/>
        <v>0.56312107587314331</v>
      </c>
      <c r="F147" s="123" t="str">
        <f t="shared" si="26"/>
        <v>CO2 emissions for electricity 2017 including losses&amp;WTT</v>
      </c>
      <c r="G147" s="98"/>
      <c r="H147" s="98"/>
      <c r="I147" s="98"/>
      <c r="J147" s="377">
        <v>0.1</v>
      </c>
      <c r="K147" s="129" t="str">
        <f>Translate!$A$267</f>
        <v>CO2 emissions for electricity 2017 including losses&amp;WTT</v>
      </c>
      <c r="L147" s="129" t="str">
        <f>Translate!$A$267</f>
        <v>CO2 emissions for electricity 2017 including losses&amp;WTT</v>
      </c>
      <c r="M147" s="129" t="str">
        <f>Translate!$A$267</f>
        <v>CO2 emissions for electricity 2017 including losses&amp;WTT</v>
      </c>
      <c r="N147" s="129" t="str">
        <f>Translate!$A$267</f>
        <v>CO2 emissions for electricity 2017 including losses&amp;WTT</v>
      </c>
      <c r="P147" s="715"/>
      <c r="Q147" s="715"/>
      <c r="R147" s="715"/>
      <c r="S147" s="715"/>
      <c r="T147" s="715"/>
      <c r="U147" s="715"/>
      <c r="V147" s="715"/>
      <c r="W147" s="721"/>
      <c r="X147" s="732">
        <v>0.56312107587314331</v>
      </c>
      <c r="Y147" s="228"/>
      <c r="Z147" s="717"/>
      <c r="AA147" s="665"/>
      <c r="AB147" s="228" t="s">
        <v>45</v>
      </c>
      <c r="AC147" s="228" t="s">
        <v>45</v>
      </c>
    </row>
    <row r="148" spans="1:29" ht="105" hidden="1" outlineLevel="1">
      <c r="A148" s="116">
        <f t="shared" ca="1" si="24"/>
        <v>0</v>
      </c>
      <c r="B148" s="118"/>
      <c r="C148" s="117" t="s">
        <v>2696</v>
      </c>
      <c r="D148" s="126" t="str">
        <f t="shared" si="15"/>
        <v>kWh</v>
      </c>
      <c r="E148" s="452">
        <f t="shared" si="25"/>
        <v>0.19053970646164711</v>
      </c>
      <c r="F148" s="123" t="str">
        <f t="shared" si="26"/>
        <v>CO2 emissions for electricity 2017 including losses&amp;WTT</v>
      </c>
      <c r="G148" s="98"/>
      <c r="H148" s="98"/>
      <c r="I148" s="98"/>
      <c r="J148" s="377">
        <v>0.1</v>
      </c>
      <c r="K148" s="129" t="str">
        <f>Translate!$A$267</f>
        <v>CO2 emissions for electricity 2017 including losses&amp;WTT</v>
      </c>
      <c r="L148" s="129" t="str">
        <f>Translate!$A$267</f>
        <v>CO2 emissions for electricity 2017 including losses&amp;WTT</v>
      </c>
      <c r="M148" s="129" t="str">
        <f>Translate!$A$267</f>
        <v>CO2 emissions for electricity 2017 including losses&amp;WTT</v>
      </c>
      <c r="N148" s="129" t="str">
        <f>Translate!$A$267</f>
        <v>CO2 emissions for electricity 2017 including losses&amp;WTT</v>
      </c>
      <c r="P148" s="715"/>
      <c r="Q148" s="715"/>
      <c r="R148" s="715"/>
      <c r="S148" s="715"/>
      <c r="T148" s="715"/>
      <c r="U148" s="715"/>
      <c r="V148" s="715"/>
      <c r="W148" s="721"/>
      <c r="X148" s="732">
        <v>0.19053970646164711</v>
      </c>
      <c r="Y148" s="228"/>
      <c r="Z148" s="717"/>
      <c r="AA148" s="665"/>
      <c r="AB148" s="228" t="s">
        <v>45</v>
      </c>
      <c r="AC148" s="228" t="s">
        <v>45</v>
      </c>
    </row>
    <row r="149" spans="1:29" ht="105" hidden="1" outlineLevel="1">
      <c r="A149" s="116">
        <f t="shared" ca="1" si="24"/>
        <v>0</v>
      </c>
      <c r="B149" s="118"/>
      <c r="C149" s="117" t="s">
        <v>2697</v>
      </c>
      <c r="D149" s="126" t="str">
        <f t="shared" si="15"/>
        <v>kWh</v>
      </c>
      <c r="E149" s="452">
        <f t="shared" si="25"/>
        <v>0.18256205411976245</v>
      </c>
      <c r="F149" s="123" t="str">
        <f t="shared" si="26"/>
        <v>CO2 emissions for electricity 2017 including losses&amp;WTT</v>
      </c>
      <c r="G149" s="98"/>
      <c r="H149" s="98"/>
      <c r="I149" s="98"/>
      <c r="J149" s="377">
        <v>0.1</v>
      </c>
      <c r="K149" s="129" t="str">
        <f>Translate!$A$267</f>
        <v>CO2 emissions for electricity 2017 including losses&amp;WTT</v>
      </c>
      <c r="L149" s="129" t="str">
        <f>Translate!$A$267</f>
        <v>CO2 emissions for electricity 2017 including losses&amp;WTT</v>
      </c>
      <c r="M149" s="129" t="str">
        <f>Translate!$A$267</f>
        <v>CO2 emissions for electricity 2017 including losses&amp;WTT</v>
      </c>
      <c r="N149" s="129" t="str">
        <f>Translate!$A$267</f>
        <v>CO2 emissions for electricity 2017 including losses&amp;WTT</v>
      </c>
      <c r="P149" s="715"/>
      <c r="Q149" s="715"/>
      <c r="R149" s="715"/>
      <c r="S149" s="715"/>
      <c r="T149" s="715"/>
      <c r="U149" s="715"/>
      <c r="V149" s="715"/>
      <c r="W149" s="721"/>
      <c r="X149" s="732">
        <v>0.18256205411976245</v>
      </c>
      <c r="Y149" s="228"/>
      <c r="Z149" s="717"/>
      <c r="AA149" s="665"/>
      <c r="AB149" s="228" t="s">
        <v>45</v>
      </c>
      <c r="AC149" s="228" t="s">
        <v>45</v>
      </c>
    </row>
    <row r="150" spans="1:29" ht="105" hidden="1" outlineLevel="1">
      <c r="A150" s="116">
        <f t="shared" ca="1" si="24"/>
        <v>0</v>
      </c>
      <c r="B150" s="118"/>
      <c r="C150" s="117" t="s">
        <v>2698</v>
      </c>
      <c r="D150" s="126" t="str">
        <f t="shared" si="15"/>
        <v>kWh</v>
      </c>
      <c r="E150" s="452">
        <f t="shared" si="25"/>
        <v>2.8351260058360594E-2</v>
      </c>
      <c r="F150" s="123" t="str">
        <f t="shared" si="26"/>
        <v>CO2 emissions for electricity 2017 including losses&amp;WTT</v>
      </c>
      <c r="G150" s="98"/>
      <c r="H150" s="98"/>
      <c r="I150" s="98"/>
      <c r="J150" s="377">
        <v>0.1</v>
      </c>
      <c r="K150" s="129" t="str">
        <f>Translate!$A$267</f>
        <v>CO2 emissions for electricity 2017 including losses&amp;WTT</v>
      </c>
      <c r="L150" s="129" t="str">
        <f>Translate!$A$267</f>
        <v>CO2 emissions for electricity 2017 including losses&amp;WTT</v>
      </c>
      <c r="M150" s="129" t="str">
        <f>Translate!$A$267</f>
        <v>CO2 emissions for electricity 2017 including losses&amp;WTT</v>
      </c>
      <c r="N150" s="129" t="str">
        <f>Translate!$A$267</f>
        <v>CO2 emissions for electricity 2017 including losses&amp;WTT</v>
      </c>
      <c r="P150" s="715"/>
      <c r="Q150" s="715"/>
      <c r="R150" s="715"/>
      <c r="S150" s="715"/>
      <c r="T150" s="715"/>
      <c r="U150" s="715"/>
      <c r="V150" s="715"/>
      <c r="W150" s="721"/>
      <c r="X150" s="732">
        <v>2.8351260058360594E-2</v>
      </c>
      <c r="Y150" s="228"/>
      <c r="Z150" s="717"/>
      <c r="AA150" s="665"/>
      <c r="AB150" s="228" t="s">
        <v>45</v>
      </c>
      <c r="AC150" s="228" t="s">
        <v>45</v>
      </c>
    </row>
    <row r="151" spans="1:29" ht="105" hidden="1" outlineLevel="1">
      <c r="A151" s="116">
        <f t="shared" ca="1" si="24"/>
        <v>0</v>
      </c>
      <c r="B151" s="118"/>
      <c r="C151" s="117" t="s">
        <v>2699</v>
      </c>
      <c r="D151" s="126" t="str">
        <f t="shared" si="15"/>
        <v>kWh</v>
      </c>
      <c r="E151" s="452">
        <f t="shared" si="25"/>
        <v>0.7222580114797158</v>
      </c>
      <c r="F151" s="123" t="str">
        <f t="shared" si="26"/>
        <v>CO2 emissions for electricity 2017 including losses&amp;WTT</v>
      </c>
      <c r="G151" s="98"/>
      <c r="H151" s="98"/>
      <c r="I151" s="98"/>
      <c r="J151" s="377">
        <v>0.1</v>
      </c>
      <c r="K151" s="129" t="str">
        <f>Translate!$A$267</f>
        <v>CO2 emissions for electricity 2017 including losses&amp;WTT</v>
      </c>
      <c r="L151" s="129" t="str">
        <f>Translate!$A$267</f>
        <v>CO2 emissions for electricity 2017 including losses&amp;WTT</v>
      </c>
      <c r="M151" s="129" t="str">
        <f>Translate!$A$267</f>
        <v>CO2 emissions for electricity 2017 including losses&amp;WTT</v>
      </c>
      <c r="N151" s="129" t="str">
        <f>Translate!$A$267</f>
        <v>CO2 emissions for electricity 2017 including losses&amp;WTT</v>
      </c>
      <c r="P151" s="715"/>
      <c r="Q151" s="715"/>
      <c r="R151" s="715"/>
      <c r="S151" s="715"/>
      <c r="T151" s="715"/>
      <c r="U151" s="715"/>
      <c r="V151" s="715"/>
      <c r="W151" s="721"/>
      <c r="X151" s="732">
        <v>0.7222580114797158</v>
      </c>
      <c r="Y151" s="228"/>
      <c r="Z151" s="717"/>
      <c r="AA151" s="665"/>
      <c r="AB151" s="228" t="s">
        <v>45</v>
      </c>
      <c r="AC151" s="228" t="s">
        <v>45</v>
      </c>
    </row>
    <row r="152" spans="1:29" ht="105" hidden="1" outlineLevel="1">
      <c r="A152" s="116">
        <f t="shared" ca="1" si="24"/>
        <v>0</v>
      </c>
      <c r="B152" s="118"/>
      <c r="C152" s="117" t="s">
        <v>2700</v>
      </c>
      <c r="D152" s="126" t="str">
        <f t="shared" si="15"/>
        <v>kWh</v>
      </c>
      <c r="E152" s="452">
        <f t="shared" si="25"/>
        <v>0.68791061091558536</v>
      </c>
      <c r="F152" s="123" t="str">
        <f t="shared" si="26"/>
        <v>CO2 emissions for electricity 2017 including losses&amp;WTT</v>
      </c>
      <c r="G152" s="98"/>
      <c r="H152" s="98"/>
      <c r="I152" s="98"/>
      <c r="J152" s="377">
        <v>0.1</v>
      </c>
      <c r="K152" s="129" t="str">
        <f>Translate!$A$267</f>
        <v>CO2 emissions for electricity 2017 including losses&amp;WTT</v>
      </c>
      <c r="L152" s="129" t="str">
        <f>Translate!$A$267</f>
        <v>CO2 emissions for electricity 2017 including losses&amp;WTT</v>
      </c>
      <c r="M152" s="129" t="str">
        <f>Translate!$A$267</f>
        <v>CO2 emissions for electricity 2017 including losses&amp;WTT</v>
      </c>
      <c r="N152" s="129" t="str">
        <f>Translate!$A$267</f>
        <v>CO2 emissions for electricity 2017 including losses&amp;WTT</v>
      </c>
      <c r="P152" s="715"/>
      <c r="Q152" s="715"/>
      <c r="R152" s="715"/>
      <c r="S152" s="715"/>
      <c r="T152" s="715"/>
      <c r="U152" s="715"/>
      <c r="V152" s="715"/>
      <c r="W152" s="721"/>
      <c r="X152" s="732">
        <v>0.68791061091558536</v>
      </c>
      <c r="Y152" s="228"/>
      <c r="Z152" s="717"/>
      <c r="AA152" s="665"/>
      <c r="AB152" s="228" t="s">
        <v>45</v>
      </c>
      <c r="AC152" s="228" t="s">
        <v>45</v>
      </c>
    </row>
    <row r="153" spans="1:29" ht="105" hidden="1" outlineLevel="1">
      <c r="A153" s="116">
        <f t="shared" ca="1" si="24"/>
        <v>0</v>
      </c>
      <c r="B153" s="118"/>
      <c r="C153" s="117" t="s">
        <v>2701</v>
      </c>
      <c r="D153" s="126" t="str">
        <f t="shared" si="15"/>
        <v>kWh</v>
      </c>
      <c r="E153" s="452">
        <f t="shared" si="25"/>
        <v>0.25192201193520891</v>
      </c>
      <c r="F153" s="123" t="str">
        <f t="shared" si="26"/>
        <v>CO2 emissions for electricity 2017 including losses&amp;WTT</v>
      </c>
      <c r="G153" s="98"/>
      <c r="H153" s="98"/>
      <c r="I153" s="98"/>
      <c r="J153" s="377">
        <v>0.1</v>
      </c>
      <c r="K153" s="129" t="str">
        <f>Translate!$A$267</f>
        <v>CO2 emissions for electricity 2017 including losses&amp;WTT</v>
      </c>
      <c r="L153" s="129" t="str">
        <f>Translate!$A$267</f>
        <v>CO2 emissions for electricity 2017 including losses&amp;WTT</v>
      </c>
      <c r="M153" s="129" t="str">
        <f>Translate!$A$267</f>
        <v>CO2 emissions for electricity 2017 including losses&amp;WTT</v>
      </c>
      <c r="N153" s="129" t="str">
        <f>Translate!$A$267</f>
        <v>CO2 emissions for electricity 2017 including losses&amp;WTT</v>
      </c>
      <c r="P153" s="715"/>
      <c r="Q153" s="715"/>
      <c r="R153" s="715"/>
      <c r="S153" s="715"/>
      <c r="T153" s="715"/>
      <c r="U153" s="715"/>
      <c r="V153" s="715"/>
      <c r="W153" s="721"/>
      <c r="X153" s="732">
        <v>0.25192201193520891</v>
      </c>
      <c r="Y153" s="228"/>
      <c r="Z153" s="717"/>
      <c r="AA153" s="665"/>
      <c r="AB153" s="228" t="s">
        <v>45</v>
      </c>
      <c r="AC153" s="228" t="s">
        <v>45</v>
      </c>
    </row>
    <row r="154" spans="1:29" ht="105" hidden="1" outlineLevel="1">
      <c r="A154" s="116">
        <f t="shared" ca="1" si="24"/>
        <v>0</v>
      </c>
      <c r="B154" s="118"/>
      <c r="C154" s="117" t="s">
        <v>2702</v>
      </c>
      <c r="D154" s="126" t="str">
        <f t="shared" si="15"/>
        <v>kWh</v>
      </c>
      <c r="E154" s="452">
        <f t="shared" si="25"/>
        <v>0.27104220921726407</v>
      </c>
      <c r="F154" s="123" t="str">
        <f t="shared" si="26"/>
        <v>CO2 emissions for electricity 2017 including losses&amp;WTT</v>
      </c>
      <c r="G154" s="98"/>
      <c r="H154" s="98"/>
      <c r="I154" s="98"/>
      <c r="J154" s="377">
        <v>0.1</v>
      </c>
      <c r="K154" s="129" t="str">
        <f>Translate!$A$267</f>
        <v>CO2 emissions for electricity 2017 including losses&amp;WTT</v>
      </c>
      <c r="L154" s="129" t="str">
        <f>Translate!$A$267</f>
        <v>CO2 emissions for electricity 2017 including losses&amp;WTT</v>
      </c>
      <c r="M154" s="129" t="str">
        <f>Translate!$A$267</f>
        <v>CO2 emissions for electricity 2017 including losses&amp;WTT</v>
      </c>
      <c r="N154" s="129" t="str">
        <f>Translate!$A$267</f>
        <v>CO2 emissions for electricity 2017 including losses&amp;WTT</v>
      </c>
      <c r="P154" s="715"/>
      <c r="Q154" s="715"/>
      <c r="R154" s="715"/>
      <c r="S154" s="715"/>
      <c r="T154" s="715"/>
      <c r="U154" s="715"/>
      <c r="V154" s="715"/>
      <c r="W154" s="721"/>
      <c r="X154" s="732">
        <v>0.27104220921726407</v>
      </c>
      <c r="Y154" s="228"/>
      <c r="Z154" s="717"/>
      <c r="AA154" s="665"/>
      <c r="AB154" s="228" t="s">
        <v>45</v>
      </c>
      <c r="AC154" s="228" t="s">
        <v>45</v>
      </c>
    </row>
    <row r="155" spans="1:29" ht="105" hidden="1" outlineLevel="1">
      <c r="A155" s="116">
        <f t="shared" ca="1" si="24"/>
        <v>0</v>
      </c>
      <c r="B155" s="118"/>
      <c r="C155" s="117" t="s">
        <v>2703</v>
      </c>
      <c r="D155" s="126" t="str">
        <f t="shared" si="15"/>
        <v>kWh</v>
      </c>
      <c r="E155" s="452">
        <f t="shared" si="25"/>
        <v>0.43448256172839506</v>
      </c>
      <c r="F155" s="123" t="str">
        <f t="shared" si="26"/>
        <v>CO2 emissions for electricity 2017 including losses&amp;WTT</v>
      </c>
      <c r="G155" s="98"/>
      <c r="H155" s="98"/>
      <c r="I155" s="98"/>
      <c r="J155" s="377">
        <v>0.1</v>
      </c>
      <c r="K155" s="129" t="str">
        <f>Translate!$A$267</f>
        <v>CO2 emissions for electricity 2017 including losses&amp;WTT</v>
      </c>
      <c r="L155" s="129" t="str">
        <f>Translate!$A$267</f>
        <v>CO2 emissions for electricity 2017 including losses&amp;WTT</v>
      </c>
      <c r="M155" s="129" t="str">
        <f>Translate!$A$267</f>
        <v>CO2 emissions for electricity 2017 including losses&amp;WTT</v>
      </c>
      <c r="N155" s="129" t="str">
        <f>Translate!$A$267</f>
        <v>CO2 emissions for electricity 2017 including losses&amp;WTT</v>
      </c>
      <c r="P155" s="715"/>
      <c r="Q155" s="715"/>
      <c r="R155" s="715"/>
      <c r="S155" s="715"/>
      <c r="T155" s="715"/>
      <c r="U155" s="715"/>
      <c r="V155" s="715"/>
      <c r="W155" s="721"/>
      <c r="X155" s="732">
        <v>0.43448256172839506</v>
      </c>
      <c r="Y155" s="228"/>
      <c r="Z155" s="717"/>
      <c r="AA155" s="665"/>
      <c r="AB155" s="228" t="s">
        <v>45</v>
      </c>
      <c r="AC155" s="228" t="s">
        <v>45</v>
      </c>
    </row>
    <row r="156" spans="1:29" ht="105" hidden="1" outlineLevel="1">
      <c r="A156" s="116">
        <f t="shared" ca="1" si="24"/>
        <v>0</v>
      </c>
      <c r="B156" s="118"/>
      <c r="C156" s="117" t="s">
        <v>2704</v>
      </c>
      <c r="D156" s="126" t="str">
        <f t="shared" si="15"/>
        <v>kWh</v>
      </c>
      <c r="E156" s="452">
        <f t="shared" si="25"/>
        <v>1.5859153409090909</v>
      </c>
      <c r="F156" s="123" t="str">
        <f t="shared" si="26"/>
        <v>CO2 emissions for electricity 2017 including losses&amp;WTT</v>
      </c>
      <c r="G156" s="98"/>
      <c r="H156" s="98"/>
      <c r="I156" s="98"/>
      <c r="J156" s="377">
        <v>0.1</v>
      </c>
      <c r="K156" s="129" t="str">
        <f>Translate!$A$267</f>
        <v>CO2 emissions for electricity 2017 including losses&amp;WTT</v>
      </c>
      <c r="L156" s="129" t="str">
        <f>Translate!$A$267</f>
        <v>CO2 emissions for electricity 2017 including losses&amp;WTT</v>
      </c>
      <c r="M156" s="129" t="str">
        <f>Translate!$A$267</f>
        <v>CO2 emissions for electricity 2017 including losses&amp;WTT</v>
      </c>
      <c r="N156" s="129" t="str">
        <f>Translate!$A$267</f>
        <v>CO2 emissions for electricity 2017 including losses&amp;WTT</v>
      </c>
      <c r="P156" s="715"/>
      <c r="Q156" s="715"/>
      <c r="R156" s="715"/>
      <c r="S156" s="715"/>
      <c r="T156" s="715"/>
      <c r="U156" s="715"/>
      <c r="V156" s="715"/>
      <c r="W156" s="721"/>
      <c r="X156" s="732">
        <v>1.5859153409090909</v>
      </c>
      <c r="Y156" s="228"/>
      <c r="Z156" s="717"/>
      <c r="AA156" s="665"/>
      <c r="AB156" s="228" t="s">
        <v>45</v>
      </c>
      <c r="AC156" s="228" t="s">
        <v>45</v>
      </c>
    </row>
    <row r="157" spans="1:29" ht="105" hidden="1" outlineLevel="1">
      <c r="A157" s="116">
        <f t="shared" ca="1" si="24"/>
        <v>0</v>
      </c>
      <c r="B157" s="118"/>
      <c r="C157" s="117" t="s">
        <v>2705</v>
      </c>
      <c r="D157" s="126" t="str">
        <f t="shared" si="15"/>
        <v>kWh</v>
      </c>
      <c r="E157" s="452">
        <f t="shared" si="25"/>
        <v>0.44665377207062601</v>
      </c>
      <c r="F157" s="123" t="str">
        <f t="shared" si="26"/>
        <v>CO2 emissions for electricity 2017 including losses&amp;WTT</v>
      </c>
      <c r="G157" s="98"/>
      <c r="H157" s="98"/>
      <c r="I157" s="98"/>
      <c r="J157" s="377">
        <v>0.1</v>
      </c>
      <c r="K157" s="129" t="str">
        <f>Translate!$A$267</f>
        <v>CO2 emissions for electricity 2017 including losses&amp;WTT</v>
      </c>
      <c r="L157" s="129" t="str">
        <f>Translate!$A$267</f>
        <v>CO2 emissions for electricity 2017 including losses&amp;WTT</v>
      </c>
      <c r="M157" s="129" t="str">
        <f>Translate!$A$267</f>
        <v>CO2 emissions for electricity 2017 including losses&amp;WTT</v>
      </c>
      <c r="N157" s="129" t="str">
        <f>Translate!$A$267</f>
        <v>CO2 emissions for electricity 2017 including losses&amp;WTT</v>
      </c>
      <c r="P157" s="715"/>
      <c r="Q157" s="715"/>
      <c r="R157" s="715"/>
      <c r="S157" s="715"/>
      <c r="T157" s="715"/>
      <c r="U157" s="715"/>
      <c r="V157" s="715"/>
      <c r="W157" s="721"/>
      <c r="X157" s="732">
        <v>0.44665377207062601</v>
      </c>
      <c r="Y157" s="228"/>
      <c r="Z157" s="717"/>
      <c r="AA157" s="665"/>
      <c r="AB157" s="228" t="s">
        <v>45</v>
      </c>
      <c r="AC157" s="228" t="s">
        <v>45</v>
      </c>
    </row>
    <row r="158" spans="1:29" ht="105" hidden="1" outlineLevel="1">
      <c r="A158" s="116">
        <f t="shared" ca="1" si="24"/>
        <v>0</v>
      </c>
      <c r="B158" s="118"/>
      <c r="C158" s="117" t="s">
        <v>2706</v>
      </c>
      <c r="D158" s="126" t="str">
        <f t="shared" si="15"/>
        <v>kWh</v>
      </c>
      <c r="E158" s="452">
        <f t="shared" si="25"/>
        <v>0.86261968485955698</v>
      </c>
      <c r="F158" s="123" t="str">
        <f t="shared" si="26"/>
        <v>CO2 emissions for electricity 2017 including losses&amp;WTT</v>
      </c>
      <c r="G158" s="98"/>
      <c r="H158" s="98"/>
      <c r="I158" s="98"/>
      <c r="J158" s="377">
        <v>0.1</v>
      </c>
      <c r="K158" s="129" t="str">
        <f>Translate!$A$267</f>
        <v>CO2 emissions for electricity 2017 including losses&amp;WTT</v>
      </c>
      <c r="L158" s="129" t="str">
        <f>Translate!$A$267</f>
        <v>CO2 emissions for electricity 2017 including losses&amp;WTT</v>
      </c>
      <c r="M158" s="129" t="str">
        <f>Translate!$A$267</f>
        <v>CO2 emissions for electricity 2017 including losses&amp;WTT</v>
      </c>
      <c r="N158" s="129" t="str">
        <f>Translate!$A$267</f>
        <v>CO2 emissions for electricity 2017 including losses&amp;WTT</v>
      </c>
      <c r="P158" s="715"/>
      <c r="Q158" s="715"/>
      <c r="R158" s="715"/>
      <c r="S158" s="715"/>
      <c r="T158" s="715"/>
      <c r="U158" s="715"/>
      <c r="V158" s="715"/>
      <c r="W158" s="721"/>
      <c r="X158" s="732">
        <v>0.86261968485955698</v>
      </c>
      <c r="Y158" s="228"/>
      <c r="Z158" s="717"/>
      <c r="AA158" s="665"/>
      <c r="AB158" s="228" t="s">
        <v>45</v>
      </c>
      <c r="AC158" s="228" t="s">
        <v>45</v>
      </c>
    </row>
    <row r="159" spans="1:29" ht="105" hidden="1" outlineLevel="1">
      <c r="A159" s="116">
        <f t="shared" ca="1" si="24"/>
        <v>0</v>
      </c>
      <c r="B159" s="118"/>
      <c r="C159" s="117" t="s">
        <v>2707</v>
      </c>
      <c r="D159" s="126" t="str">
        <f t="shared" si="15"/>
        <v>kWh</v>
      </c>
      <c r="E159" s="452">
        <f t="shared" si="25"/>
        <v>0.48922227132125495</v>
      </c>
      <c r="F159" s="123" t="str">
        <f t="shared" si="26"/>
        <v>CO2 emissions for electricity 2017 including losses&amp;WTT</v>
      </c>
      <c r="G159" s="98"/>
      <c r="H159" s="98"/>
      <c r="I159" s="98"/>
      <c r="J159" s="377">
        <v>0.1</v>
      </c>
      <c r="K159" s="129" t="str">
        <f>Translate!$A$267</f>
        <v>CO2 emissions for electricity 2017 including losses&amp;WTT</v>
      </c>
      <c r="L159" s="129" t="str">
        <f>Translate!$A$267</f>
        <v>CO2 emissions for electricity 2017 including losses&amp;WTT</v>
      </c>
      <c r="M159" s="129" t="str">
        <f>Translate!$A$267</f>
        <v>CO2 emissions for electricity 2017 including losses&amp;WTT</v>
      </c>
      <c r="N159" s="129" t="str">
        <f>Translate!$A$267</f>
        <v>CO2 emissions for electricity 2017 including losses&amp;WTT</v>
      </c>
      <c r="P159" s="715"/>
      <c r="Q159" s="715"/>
      <c r="R159" s="715"/>
      <c r="S159" s="715"/>
      <c r="T159" s="715"/>
      <c r="U159" s="715"/>
      <c r="V159" s="715"/>
      <c r="W159" s="721"/>
      <c r="X159" s="732">
        <v>0.48922227132125495</v>
      </c>
      <c r="Y159" s="228"/>
      <c r="Z159" s="717"/>
      <c r="AA159" s="665"/>
      <c r="AB159" s="228" t="s">
        <v>45</v>
      </c>
      <c r="AC159" s="228" t="s">
        <v>45</v>
      </c>
    </row>
    <row r="160" spans="1:29" ht="105" hidden="1" outlineLevel="1">
      <c r="A160" s="116">
        <f t="shared" ca="1" si="24"/>
        <v>0</v>
      </c>
      <c r="B160" s="118"/>
      <c r="C160" s="117" t="s">
        <v>2708</v>
      </c>
      <c r="D160" s="126" t="str">
        <f t="shared" si="15"/>
        <v>kWh</v>
      </c>
      <c r="E160" s="452">
        <f t="shared" si="25"/>
        <v>0.26140695864627633</v>
      </c>
      <c r="F160" s="123" t="str">
        <f t="shared" si="26"/>
        <v>CO2 emissions for electricity 2017 including losses&amp;WTT</v>
      </c>
      <c r="G160" s="98"/>
      <c r="H160" s="98"/>
      <c r="I160" s="98"/>
      <c r="J160" s="377">
        <v>0.1</v>
      </c>
      <c r="K160" s="129" t="str">
        <f>Translate!$A$267</f>
        <v>CO2 emissions for electricity 2017 including losses&amp;WTT</v>
      </c>
      <c r="L160" s="129" t="str">
        <f>Translate!$A$267</f>
        <v>CO2 emissions for electricity 2017 including losses&amp;WTT</v>
      </c>
      <c r="M160" s="129" t="str">
        <f>Translate!$A$267</f>
        <v>CO2 emissions for electricity 2017 including losses&amp;WTT</v>
      </c>
      <c r="N160" s="129" t="str">
        <f>Translate!$A$267</f>
        <v>CO2 emissions for electricity 2017 including losses&amp;WTT</v>
      </c>
      <c r="P160" s="715"/>
      <c r="Q160" s="715"/>
      <c r="R160" s="715"/>
      <c r="S160" s="715"/>
      <c r="T160" s="715"/>
      <c r="U160" s="715"/>
      <c r="V160" s="715"/>
      <c r="W160" s="721"/>
      <c r="X160" s="732">
        <v>0.26140695864627633</v>
      </c>
      <c r="Y160" s="228"/>
      <c r="Z160" s="717"/>
      <c r="AA160" s="665"/>
      <c r="AB160" s="228" t="s">
        <v>45</v>
      </c>
      <c r="AC160" s="228" t="s">
        <v>45</v>
      </c>
    </row>
    <row r="161" spans="1:29" ht="105" hidden="1" outlineLevel="1">
      <c r="A161" s="116">
        <f t="shared" ref="A161" ca="1" si="27">IF(ISBLANK(H161),OFFSET(A161,-1,0),OFFSET(A161,-1,0)+1)</f>
        <v>0</v>
      </c>
      <c r="B161" s="118"/>
      <c r="C161" s="117" t="s">
        <v>2709</v>
      </c>
      <c r="D161" s="126" t="str">
        <f t="shared" ref="D161" si="28">INDEX(AB161:AC161,MATCH($F$3,$AB$6:$AC$6,0))</f>
        <v>kWh</v>
      </c>
      <c r="E161" s="452">
        <f t="shared" ref="E161" si="29">IF(F161=H161,G161,INDEX(P161:AD161,MATCH($F161,$P$6:$AD$6,0)))</f>
        <v>1.9003652447810208E-2</v>
      </c>
      <c r="F161" s="123" t="str">
        <f t="shared" ref="F161" si="30">IF(ISBLANK(H161),INDEX(K161:N161,$D$4),H161)</f>
        <v>CO2 emissions for electricity 2017 including losses&amp;WTT</v>
      </c>
      <c r="G161" s="98"/>
      <c r="H161" s="98"/>
      <c r="I161" s="98"/>
      <c r="J161" s="377">
        <v>0.1</v>
      </c>
      <c r="K161" s="129" t="str">
        <f>Translate!$A$267</f>
        <v>CO2 emissions for electricity 2017 including losses&amp;WTT</v>
      </c>
      <c r="L161" s="129" t="str">
        <f>Translate!$A$267</f>
        <v>CO2 emissions for electricity 2017 including losses&amp;WTT</v>
      </c>
      <c r="M161" s="129" t="str">
        <f>Translate!$A$267</f>
        <v>CO2 emissions for electricity 2017 including losses&amp;WTT</v>
      </c>
      <c r="N161" s="129" t="str">
        <f>Translate!$A$267</f>
        <v>CO2 emissions for electricity 2017 including losses&amp;WTT</v>
      </c>
      <c r="P161" s="715"/>
      <c r="Q161" s="715"/>
      <c r="R161" s="715"/>
      <c r="S161" s="715"/>
      <c r="T161" s="715"/>
      <c r="U161" s="715"/>
      <c r="V161" s="715"/>
      <c r="W161" s="721"/>
      <c r="X161" s="732">
        <v>1.9003652447810208E-2</v>
      </c>
      <c r="Y161" s="228"/>
      <c r="Z161" s="717"/>
      <c r="AA161" s="665"/>
      <c r="AB161" s="228" t="s">
        <v>45</v>
      </c>
      <c r="AC161" s="228" t="s">
        <v>45</v>
      </c>
    </row>
    <row r="162" spans="1:29" ht="105" hidden="1" outlineLevel="1">
      <c r="A162" s="116">
        <f t="shared" ca="1" si="24"/>
        <v>0</v>
      </c>
      <c r="B162" s="118"/>
      <c r="C162" s="117" t="s">
        <v>2710</v>
      </c>
      <c r="D162" s="126" t="str">
        <f t="shared" si="15"/>
        <v>kWh</v>
      </c>
      <c r="E162" s="452">
        <f t="shared" si="25"/>
        <v>0.29808781133073814</v>
      </c>
      <c r="F162" s="123" t="str">
        <f t="shared" si="26"/>
        <v>CO2 emissions for electricity 2017 including losses&amp;WTT</v>
      </c>
      <c r="G162" s="98"/>
      <c r="H162" s="98"/>
      <c r="I162" s="98"/>
      <c r="J162" s="377">
        <v>0.1</v>
      </c>
      <c r="K162" s="129" t="str">
        <f>Translate!$A$267</f>
        <v>CO2 emissions for electricity 2017 including losses&amp;WTT</v>
      </c>
      <c r="L162" s="129" t="str">
        <f>Translate!$A$267</f>
        <v>CO2 emissions for electricity 2017 including losses&amp;WTT</v>
      </c>
      <c r="M162" s="129" t="str">
        <f>Translate!$A$267</f>
        <v>CO2 emissions for electricity 2017 including losses&amp;WTT</v>
      </c>
      <c r="N162" s="129" t="str">
        <f>Translate!$A$267</f>
        <v>CO2 emissions for electricity 2017 including losses&amp;WTT</v>
      </c>
      <c r="P162" s="715"/>
      <c r="Q162" s="715"/>
      <c r="R162" s="715"/>
      <c r="S162" s="715"/>
      <c r="T162" s="715"/>
      <c r="U162" s="715"/>
      <c r="V162" s="715"/>
      <c r="W162" s="721"/>
      <c r="X162" s="732">
        <v>0.29808781133073814</v>
      </c>
      <c r="Y162" s="228"/>
      <c r="Z162" s="717"/>
      <c r="AA162" s="665"/>
      <c r="AB162" s="228" t="s">
        <v>45</v>
      </c>
      <c r="AC162" s="228" t="s">
        <v>45</v>
      </c>
    </row>
    <row r="163" spans="1:29" ht="105" hidden="1" outlineLevel="1">
      <c r="A163" s="116">
        <f t="shared" ca="1" si="24"/>
        <v>0</v>
      </c>
      <c r="B163" s="118"/>
      <c r="C163" s="117" t="s">
        <v>2711</v>
      </c>
      <c r="D163" s="126" t="str">
        <f t="shared" si="15"/>
        <v>kWh</v>
      </c>
      <c r="E163" s="452">
        <f t="shared" si="25"/>
        <v>0.56450513912807032</v>
      </c>
      <c r="F163" s="123" t="str">
        <f t="shared" si="26"/>
        <v>CO2 emissions for electricity 2017 including losses&amp;WTT</v>
      </c>
      <c r="G163" s="98"/>
      <c r="H163" s="98"/>
      <c r="I163" s="98"/>
      <c r="J163" s="377">
        <v>0.1</v>
      </c>
      <c r="K163" s="129" t="str">
        <f>Translate!$A$267</f>
        <v>CO2 emissions for electricity 2017 including losses&amp;WTT</v>
      </c>
      <c r="L163" s="129" t="str">
        <f>Translate!$A$267</f>
        <v>CO2 emissions for electricity 2017 including losses&amp;WTT</v>
      </c>
      <c r="M163" s="129" t="str">
        <f>Translate!$A$267</f>
        <v>CO2 emissions for electricity 2017 including losses&amp;WTT</v>
      </c>
      <c r="N163" s="129" t="str">
        <f>Translate!$A$267</f>
        <v>CO2 emissions for electricity 2017 including losses&amp;WTT</v>
      </c>
      <c r="P163" s="715"/>
      <c r="Q163" s="715"/>
      <c r="R163" s="715"/>
      <c r="S163" s="715"/>
      <c r="T163" s="715"/>
      <c r="U163" s="715"/>
      <c r="V163" s="715"/>
      <c r="W163" s="721"/>
      <c r="X163" s="732">
        <v>0.56450513912807032</v>
      </c>
      <c r="Y163" s="228"/>
      <c r="Z163" s="717"/>
      <c r="AA163" s="665"/>
      <c r="AB163" s="228" t="s">
        <v>45</v>
      </c>
      <c r="AC163" s="228" t="s">
        <v>45</v>
      </c>
    </row>
    <row r="164" spans="1:29" ht="105" hidden="1" outlineLevel="1">
      <c r="A164" s="116">
        <f t="shared" ca="1" si="24"/>
        <v>0</v>
      </c>
      <c r="B164" s="118"/>
      <c r="C164" s="117" t="s">
        <v>2712</v>
      </c>
      <c r="D164" s="126" t="str">
        <f t="shared" si="15"/>
        <v>kWh</v>
      </c>
      <c r="E164" s="452">
        <f t="shared" si="25"/>
        <v>7.0817418408507526E-2</v>
      </c>
      <c r="F164" s="123" t="str">
        <f t="shared" si="26"/>
        <v>CO2 emissions for electricity 2017 including losses&amp;WTT</v>
      </c>
      <c r="G164" s="98"/>
      <c r="H164" s="98"/>
      <c r="I164" s="98"/>
      <c r="J164" s="377">
        <v>0.1</v>
      </c>
      <c r="K164" s="129" t="str">
        <f>Translate!$A$267</f>
        <v>CO2 emissions for electricity 2017 including losses&amp;WTT</v>
      </c>
      <c r="L164" s="129" t="str">
        <f>Translate!$A$267</f>
        <v>CO2 emissions for electricity 2017 including losses&amp;WTT</v>
      </c>
      <c r="M164" s="129" t="str">
        <f>Translate!$A$267</f>
        <v>CO2 emissions for electricity 2017 including losses&amp;WTT</v>
      </c>
      <c r="N164" s="129" t="str">
        <f>Translate!$A$267</f>
        <v>CO2 emissions for electricity 2017 including losses&amp;WTT</v>
      </c>
      <c r="P164" s="715"/>
      <c r="Q164" s="715"/>
      <c r="R164" s="715"/>
      <c r="S164" s="715"/>
      <c r="T164" s="715"/>
      <c r="U164" s="715"/>
      <c r="V164" s="715"/>
      <c r="W164" s="721"/>
      <c r="X164" s="732">
        <v>7.0817418408507526E-2</v>
      </c>
      <c r="Y164" s="228"/>
      <c r="Z164" s="717"/>
      <c r="AA164" s="665"/>
      <c r="AB164" s="228" t="s">
        <v>45</v>
      </c>
      <c r="AC164" s="228" t="s">
        <v>45</v>
      </c>
    </row>
    <row r="165" spans="1:29" ht="105" hidden="1" outlineLevel="1">
      <c r="A165" s="116">
        <f t="shared" ca="1" si="24"/>
        <v>0</v>
      </c>
      <c r="B165" s="118"/>
      <c r="C165" s="117" t="s">
        <v>2713</v>
      </c>
      <c r="D165" s="126" t="str">
        <f t="shared" si="15"/>
        <v>kWh</v>
      </c>
      <c r="E165" s="452">
        <f t="shared" si="25"/>
        <v>0.42926913741720307</v>
      </c>
      <c r="F165" s="123" t="str">
        <f t="shared" si="26"/>
        <v>CO2 emissions for electricity 2017 including losses&amp;WTT</v>
      </c>
      <c r="G165" s="98"/>
      <c r="H165" s="98"/>
      <c r="I165" s="98"/>
      <c r="J165" s="377">
        <v>0.1</v>
      </c>
      <c r="K165" s="129" t="str">
        <f>Translate!$A$267</f>
        <v>CO2 emissions for electricity 2017 including losses&amp;WTT</v>
      </c>
      <c r="L165" s="129" t="str">
        <f>Translate!$A$267</f>
        <v>CO2 emissions for electricity 2017 including losses&amp;WTT</v>
      </c>
      <c r="M165" s="129" t="str">
        <f>Translate!$A$267</f>
        <v>CO2 emissions for electricity 2017 including losses&amp;WTT</v>
      </c>
      <c r="N165" s="129" t="str">
        <f>Translate!$A$267</f>
        <v>CO2 emissions for electricity 2017 including losses&amp;WTT</v>
      </c>
      <c r="P165" s="715"/>
      <c r="Q165" s="715"/>
      <c r="R165" s="715"/>
      <c r="S165" s="715"/>
      <c r="T165" s="715"/>
      <c r="U165" s="715"/>
      <c r="V165" s="715"/>
      <c r="W165" s="721"/>
      <c r="X165" s="732">
        <v>0.42926913741720307</v>
      </c>
      <c r="Y165" s="228"/>
      <c r="Z165" s="717"/>
      <c r="AA165" s="665"/>
      <c r="AB165" s="228" t="s">
        <v>45</v>
      </c>
      <c r="AC165" s="228" t="s">
        <v>45</v>
      </c>
    </row>
    <row r="166" spans="1:29" ht="105" hidden="1" outlineLevel="1">
      <c r="A166" s="116">
        <f t="shared" ca="1" si="24"/>
        <v>0</v>
      </c>
      <c r="B166" s="118"/>
      <c r="C166" s="117" t="s">
        <v>2714</v>
      </c>
      <c r="D166" s="126" t="str">
        <f t="shared" si="15"/>
        <v>kWh</v>
      </c>
      <c r="E166" s="452">
        <f t="shared" si="25"/>
        <v>0.6499917356953443</v>
      </c>
      <c r="F166" s="123" t="str">
        <f t="shared" si="26"/>
        <v>CO2 emissions for electricity 2017 including losses&amp;WTT</v>
      </c>
      <c r="G166" s="98"/>
      <c r="H166" s="98"/>
      <c r="I166" s="98"/>
      <c r="J166" s="377">
        <v>0.1</v>
      </c>
      <c r="K166" s="129" t="str">
        <f>Translate!$A$267</f>
        <v>CO2 emissions for electricity 2017 including losses&amp;WTT</v>
      </c>
      <c r="L166" s="129" t="str">
        <f>Translate!$A$267</f>
        <v>CO2 emissions for electricity 2017 including losses&amp;WTT</v>
      </c>
      <c r="M166" s="129" t="str">
        <f>Translate!$A$267</f>
        <v>CO2 emissions for electricity 2017 including losses&amp;WTT</v>
      </c>
      <c r="N166" s="129" t="str">
        <f>Translate!$A$267</f>
        <v>CO2 emissions for electricity 2017 including losses&amp;WTT</v>
      </c>
      <c r="P166" s="715"/>
      <c r="Q166" s="715"/>
      <c r="R166" s="715"/>
      <c r="S166" s="715"/>
      <c r="T166" s="715"/>
      <c r="U166" s="715"/>
      <c r="V166" s="715"/>
      <c r="W166" s="721"/>
      <c r="X166" s="732">
        <v>0.6499917356953443</v>
      </c>
      <c r="Y166" s="228"/>
      <c r="Z166" s="717"/>
      <c r="AA166" s="665"/>
      <c r="AB166" s="228" t="s">
        <v>45</v>
      </c>
      <c r="AC166" s="228" t="s">
        <v>45</v>
      </c>
    </row>
    <row r="167" spans="1:29" ht="105" hidden="1" outlineLevel="1">
      <c r="A167" s="116">
        <f t="shared" ca="1" si="24"/>
        <v>0</v>
      </c>
      <c r="B167" s="118"/>
      <c r="C167" s="117" t="s">
        <v>2715</v>
      </c>
      <c r="D167" s="126" t="str">
        <f t="shared" si="15"/>
        <v>kWh</v>
      </c>
      <c r="E167" s="452">
        <f t="shared" si="25"/>
        <v>0.80081375992302151</v>
      </c>
      <c r="F167" s="123" t="str">
        <f t="shared" si="26"/>
        <v>CO2 emissions for electricity 2017 including losses&amp;WTT</v>
      </c>
      <c r="G167" s="98"/>
      <c r="H167" s="98"/>
      <c r="I167" s="98"/>
      <c r="J167" s="377">
        <v>0.1</v>
      </c>
      <c r="K167" s="129" t="str">
        <f>Translate!$A$267</f>
        <v>CO2 emissions for electricity 2017 including losses&amp;WTT</v>
      </c>
      <c r="L167" s="129" t="str">
        <f>Translate!$A$267</f>
        <v>CO2 emissions for electricity 2017 including losses&amp;WTT</v>
      </c>
      <c r="M167" s="129" t="str">
        <f>Translate!$A$267</f>
        <v>CO2 emissions for electricity 2017 including losses&amp;WTT</v>
      </c>
      <c r="N167" s="129" t="str">
        <f>Translate!$A$267</f>
        <v>CO2 emissions for electricity 2017 including losses&amp;WTT</v>
      </c>
      <c r="P167" s="715"/>
      <c r="Q167" s="715"/>
      <c r="R167" s="715"/>
      <c r="S167" s="715"/>
      <c r="T167" s="715"/>
      <c r="U167" s="715"/>
      <c r="V167" s="715"/>
      <c r="W167" s="721"/>
      <c r="X167" s="732">
        <v>0.80081375992302151</v>
      </c>
      <c r="Y167" s="228"/>
      <c r="Z167" s="717"/>
      <c r="AA167" s="665"/>
      <c r="AB167" s="228" t="s">
        <v>45</v>
      </c>
      <c r="AC167" s="228" t="s">
        <v>45</v>
      </c>
    </row>
    <row r="168" spans="1:29" ht="105" hidden="1" outlineLevel="1">
      <c r="A168" s="116">
        <f t="shared" ca="1" si="24"/>
        <v>0</v>
      </c>
      <c r="B168" s="118"/>
      <c r="C168" s="117" t="s">
        <v>2716</v>
      </c>
      <c r="D168" s="126" t="str">
        <f t="shared" si="15"/>
        <v>kWh</v>
      </c>
      <c r="E168" s="452">
        <f t="shared" si="25"/>
        <v>0.75218959702772215</v>
      </c>
      <c r="F168" s="123" t="str">
        <f t="shared" si="26"/>
        <v>CO2 emissions for electricity 2017 including losses&amp;WTT</v>
      </c>
      <c r="G168" s="98"/>
      <c r="H168" s="98"/>
      <c r="I168" s="98"/>
      <c r="J168" s="377">
        <v>0.1</v>
      </c>
      <c r="K168" s="129" t="str">
        <f>Translate!$A$267</f>
        <v>CO2 emissions for electricity 2017 including losses&amp;WTT</v>
      </c>
      <c r="L168" s="129" t="str">
        <f>Translate!$A$267</f>
        <v>CO2 emissions for electricity 2017 including losses&amp;WTT</v>
      </c>
      <c r="M168" s="129" t="str">
        <f>Translate!$A$267</f>
        <v>CO2 emissions for electricity 2017 including losses&amp;WTT</v>
      </c>
      <c r="N168" s="129" t="str">
        <f>Translate!$A$267</f>
        <v>CO2 emissions for electricity 2017 including losses&amp;WTT</v>
      </c>
      <c r="P168" s="715"/>
      <c r="Q168" s="715"/>
      <c r="R168" s="715"/>
      <c r="S168" s="715"/>
      <c r="T168" s="715"/>
      <c r="U168" s="715"/>
      <c r="V168" s="715"/>
      <c r="W168" s="721"/>
      <c r="X168" s="732">
        <v>0.75218959702772215</v>
      </c>
      <c r="Y168" s="228"/>
      <c r="Z168" s="717"/>
      <c r="AA168" s="665"/>
      <c r="AB168" s="228" t="s">
        <v>45</v>
      </c>
      <c r="AC168" s="228" t="s">
        <v>45</v>
      </c>
    </row>
    <row r="169" spans="1:29" ht="105" hidden="1" outlineLevel="1">
      <c r="A169" s="116">
        <f t="shared" ca="1" si="24"/>
        <v>0</v>
      </c>
      <c r="B169" s="118"/>
      <c r="C169" s="117" t="s">
        <v>2717</v>
      </c>
      <c r="D169" s="126" t="str">
        <f t="shared" si="15"/>
        <v>kWh</v>
      </c>
      <c r="E169" s="452">
        <f t="shared" si="25"/>
        <v>0.72614364104302387</v>
      </c>
      <c r="F169" s="123" t="str">
        <f t="shared" si="26"/>
        <v>CO2 emissions for electricity 2017 including losses&amp;WTT</v>
      </c>
      <c r="G169" s="98"/>
      <c r="H169" s="98"/>
      <c r="I169" s="98"/>
      <c r="J169" s="377">
        <v>0.1</v>
      </c>
      <c r="K169" s="129" t="str">
        <f>Translate!$A$267</f>
        <v>CO2 emissions for electricity 2017 including losses&amp;WTT</v>
      </c>
      <c r="L169" s="129" t="str">
        <f>Translate!$A$267</f>
        <v>CO2 emissions for electricity 2017 including losses&amp;WTT</v>
      </c>
      <c r="M169" s="129" t="str">
        <f>Translate!$A$267</f>
        <v>CO2 emissions for electricity 2017 including losses&amp;WTT</v>
      </c>
      <c r="N169" s="129" t="str">
        <f>Translate!$A$267</f>
        <v>CO2 emissions for electricity 2017 including losses&amp;WTT</v>
      </c>
      <c r="P169" s="715"/>
      <c r="Q169" s="715"/>
      <c r="R169" s="715"/>
      <c r="S169" s="715"/>
      <c r="T169" s="715"/>
      <c r="U169" s="715"/>
      <c r="V169" s="715"/>
      <c r="W169" s="721"/>
      <c r="X169" s="732">
        <v>0.72614364104302387</v>
      </c>
      <c r="Y169" s="228"/>
      <c r="Z169" s="717"/>
      <c r="AA169" s="665"/>
      <c r="AB169" s="228" t="s">
        <v>45</v>
      </c>
      <c r="AC169" s="228" t="s">
        <v>45</v>
      </c>
    </row>
    <row r="170" spans="1:29" ht="105" hidden="1" outlineLevel="1">
      <c r="A170" s="116">
        <f t="shared" ca="1" si="24"/>
        <v>0</v>
      </c>
      <c r="B170" s="118"/>
      <c r="C170" s="117" t="s">
        <v>2718</v>
      </c>
      <c r="D170" s="126" t="str">
        <f t="shared" si="15"/>
        <v>kWh</v>
      </c>
      <c r="E170" s="452">
        <f t="shared" si="25"/>
        <v>0.73204467065780665</v>
      </c>
      <c r="F170" s="123" t="str">
        <f t="shared" si="26"/>
        <v>CO2 emissions for electricity 2017 including losses&amp;WTT</v>
      </c>
      <c r="G170" s="98"/>
      <c r="H170" s="98"/>
      <c r="I170" s="98"/>
      <c r="J170" s="377">
        <v>0.1</v>
      </c>
      <c r="K170" s="129" t="str">
        <f>Translate!$A$267</f>
        <v>CO2 emissions for electricity 2017 including losses&amp;WTT</v>
      </c>
      <c r="L170" s="129" t="str">
        <f>Translate!$A$267</f>
        <v>CO2 emissions for electricity 2017 including losses&amp;WTT</v>
      </c>
      <c r="M170" s="129" t="str">
        <f>Translate!$A$267</f>
        <v>CO2 emissions for electricity 2017 including losses&amp;WTT</v>
      </c>
      <c r="N170" s="129" t="str">
        <f>Translate!$A$267</f>
        <v>CO2 emissions for electricity 2017 including losses&amp;WTT</v>
      </c>
      <c r="P170" s="715"/>
      <c r="Q170" s="715"/>
      <c r="R170" s="715"/>
      <c r="S170" s="715"/>
      <c r="T170" s="715"/>
      <c r="U170" s="715"/>
      <c r="V170" s="715"/>
      <c r="W170" s="721"/>
      <c r="X170" s="732">
        <v>0.73204467065780665</v>
      </c>
      <c r="Y170" s="228"/>
      <c r="Z170" s="717"/>
      <c r="AA170" s="665"/>
      <c r="AB170" s="228" t="s">
        <v>45</v>
      </c>
      <c r="AC170" s="228" t="s">
        <v>45</v>
      </c>
    </row>
    <row r="171" spans="1:29" ht="105" hidden="1" outlineLevel="1">
      <c r="A171" s="116">
        <f t="shared" ca="1" si="24"/>
        <v>0</v>
      </c>
      <c r="B171" s="118"/>
      <c r="C171" s="117" t="s">
        <v>2719</v>
      </c>
      <c r="D171" s="126" t="str">
        <f t="shared" si="15"/>
        <v>kWh</v>
      </c>
      <c r="E171" s="452">
        <f t="shared" si="25"/>
        <v>0.9316782033547335</v>
      </c>
      <c r="F171" s="123" t="str">
        <f t="shared" si="26"/>
        <v>CO2 emissions for electricity 2017 including losses&amp;WTT</v>
      </c>
      <c r="G171" s="98"/>
      <c r="H171" s="98"/>
      <c r="I171" s="98"/>
      <c r="J171" s="377">
        <v>0.1</v>
      </c>
      <c r="K171" s="129" t="str">
        <f>Translate!$A$267</f>
        <v>CO2 emissions for electricity 2017 including losses&amp;WTT</v>
      </c>
      <c r="L171" s="129" t="str">
        <f>Translate!$A$267</f>
        <v>CO2 emissions for electricity 2017 including losses&amp;WTT</v>
      </c>
      <c r="M171" s="129" t="str">
        <f>Translate!$A$267</f>
        <v>CO2 emissions for electricity 2017 including losses&amp;WTT</v>
      </c>
      <c r="N171" s="129" t="str">
        <f>Translate!$A$267</f>
        <v>CO2 emissions for electricity 2017 including losses&amp;WTT</v>
      </c>
      <c r="P171" s="715"/>
      <c r="Q171" s="715"/>
      <c r="R171" s="715"/>
      <c r="S171" s="715"/>
      <c r="T171" s="715"/>
      <c r="U171" s="715"/>
      <c r="V171" s="715"/>
      <c r="W171" s="721"/>
      <c r="X171" s="732">
        <v>0.9316782033547335</v>
      </c>
      <c r="Y171" s="228"/>
      <c r="Z171" s="717"/>
      <c r="AA171" s="665"/>
      <c r="AB171" s="228" t="s">
        <v>45</v>
      </c>
      <c r="AC171" s="228" t="s">
        <v>45</v>
      </c>
    </row>
    <row r="172" spans="1:29" ht="105" hidden="1" outlineLevel="1">
      <c r="A172" s="116">
        <f t="shared" ca="1" si="24"/>
        <v>0</v>
      </c>
      <c r="B172" s="118"/>
      <c r="C172" s="117" t="s">
        <v>2720</v>
      </c>
      <c r="D172" s="126" t="str">
        <f t="shared" si="15"/>
        <v>kWh</v>
      </c>
      <c r="E172" s="452">
        <f t="shared" si="25"/>
        <v>0.92016572943425878</v>
      </c>
      <c r="F172" s="123" t="str">
        <f t="shared" si="26"/>
        <v>CO2 emissions for electricity 2017 including losses&amp;WTT</v>
      </c>
      <c r="G172" s="98"/>
      <c r="H172" s="98"/>
      <c r="I172" s="98"/>
      <c r="J172" s="377">
        <v>0.1</v>
      </c>
      <c r="K172" s="129" t="str">
        <f>Translate!$A$267</f>
        <v>CO2 emissions for electricity 2017 including losses&amp;WTT</v>
      </c>
      <c r="L172" s="129" t="str">
        <f>Translate!$A$267</f>
        <v>CO2 emissions for electricity 2017 including losses&amp;WTT</v>
      </c>
      <c r="M172" s="129" t="str">
        <f>Translate!$A$267</f>
        <v>CO2 emissions for electricity 2017 including losses&amp;WTT</v>
      </c>
      <c r="N172" s="129" t="str">
        <f>Translate!$A$267</f>
        <v>CO2 emissions for electricity 2017 including losses&amp;WTT</v>
      </c>
      <c r="P172" s="715"/>
      <c r="Q172" s="715"/>
      <c r="R172" s="715"/>
      <c r="S172" s="715"/>
      <c r="T172" s="715"/>
      <c r="U172" s="715"/>
      <c r="V172" s="715"/>
      <c r="W172" s="721"/>
      <c r="X172" s="732">
        <v>0.92016572943425878</v>
      </c>
      <c r="Y172" s="228"/>
      <c r="Z172" s="717"/>
      <c r="AA172" s="665"/>
      <c r="AB172" s="228" t="s">
        <v>45</v>
      </c>
      <c r="AC172" s="228" t="s">
        <v>45</v>
      </c>
    </row>
    <row r="173" spans="1:29" ht="105" hidden="1" outlineLevel="1">
      <c r="A173" s="116">
        <f t="shared" ca="1" si="24"/>
        <v>0</v>
      </c>
      <c r="B173" s="118"/>
      <c r="C173" s="117" t="s">
        <v>2721</v>
      </c>
      <c r="D173" s="126" t="str">
        <f t="shared" si="15"/>
        <v>kWh</v>
      </c>
      <c r="E173" s="452">
        <f t="shared" si="25"/>
        <v>0.28794503726175558</v>
      </c>
      <c r="F173" s="123" t="str">
        <f t="shared" si="26"/>
        <v>CO2 emissions for electricity 2017 including losses&amp;WTT</v>
      </c>
      <c r="G173" s="98"/>
      <c r="H173" s="98"/>
      <c r="I173" s="98"/>
      <c r="J173" s="377">
        <v>0.1</v>
      </c>
      <c r="K173" s="129" t="str">
        <f>Translate!$A$267</f>
        <v>CO2 emissions for electricity 2017 including losses&amp;WTT</v>
      </c>
      <c r="L173" s="129" t="str">
        <f>Translate!$A$267</f>
        <v>CO2 emissions for electricity 2017 including losses&amp;WTT</v>
      </c>
      <c r="M173" s="129" t="str">
        <f>Translate!$A$267</f>
        <v>CO2 emissions for electricity 2017 including losses&amp;WTT</v>
      </c>
      <c r="N173" s="129" t="str">
        <f>Translate!$A$267</f>
        <v>CO2 emissions for electricity 2017 including losses&amp;WTT</v>
      </c>
      <c r="P173" s="715"/>
      <c r="Q173" s="715"/>
      <c r="R173" s="715"/>
      <c r="S173" s="715"/>
      <c r="T173" s="715"/>
      <c r="U173" s="715"/>
      <c r="V173" s="715"/>
      <c r="W173" s="721"/>
      <c r="X173" s="732">
        <v>0.28794503726175558</v>
      </c>
      <c r="Y173" s="228"/>
      <c r="Z173" s="717"/>
      <c r="AA173" s="665"/>
      <c r="AB173" s="228" t="s">
        <v>45</v>
      </c>
      <c r="AC173" s="228" t="s">
        <v>45</v>
      </c>
    </row>
    <row r="174" spans="1:29" ht="105" hidden="1" outlineLevel="1">
      <c r="A174" s="116">
        <f t="shared" ca="1" si="24"/>
        <v>0</v>
      </c>
      <c r="B174" s="118"/>
      <c r="C174" s="117" t="s">
        <v>2722</v>
      </c>
      <c r="D174" s="126" t="str">
        <f t="shared" si="15"/>
        <v>kWh</v>
      </c>
      <c r="E174" s="452">
        <f t="shared" si="25"/>
        <v>0.77408610906791975</v>
      </c>
      <c r="F174" s="123" t="str">
        <f t="shared" si="26"/>
        <v>CO2 emissions for electricity 2017 including losses&amp;WTT</v>
      </c>
      <c r="G174" s="98"/>
      <c r="H174" s="98"/>
      <c r="I174" s="98"/>
      <c r="J174" s="377">
        <v>0.1</v>
      </c>
      <c r="K174" s="129" t="str">
        <f>Translate!$A$267</f>
        <v>CO2 emissions for electricity 2017 including losses&amp;WTT</v>
      </c>
      <c r="L174" s="129" t="str">
        <f>Translate!$A$267</f>
        <v>CO2 emissions for electricity 2017 including losses&amp;WTT</v>
      </c>
      <c r="M174" s="129" t="str">
        <f>Translate!$A$267</f>
        <v>CO2 emissions for electricity 2017 including losses&amp;WTT</v>
      </c>
      <c r="N174" s="129" t="str">
        <f>Translate!$A$267</f>
        <v>CO2 emissions for electricity 2017 including losses&amp;WTT</v>
      </c>
      <c r="P174" s="715"/>
      <c r="Q174" s="715"/>
      <c r="R174" s="715"/>
      <c r="S174" s="715"/>
      <c r="T174" s="715"/>
      <c r="U174" s="715"/>
      <c r="V174" s="715"/>
      <c r="W174" s="721"/>
      <c r="X174" s="732">
        <v>0.77408610906791975</v>
      </c>
      <c r="Y174" s="228"/>
      <c r="Z174" s="717"/>
      <c r="AA174" s="665"/>
      <c r="AB174" s="228" t="s">
        <v>45</v>
      </c>
      <c r="AC174" s="228" t="s">
        <v>45</v>
      </c>
    </row>
    <row r="175" spans="1:29" ht="105" hidden="1" outlineLevel="1">
      <c r="A175" s="116">
        <f t="shared" ref="A175:A197" ca="1" si="31">IF(ISBLANK(H175),OFFSET(A175,-1,0),OFFSET(A175,-1,0)+1)</f>
        <v>0</v>
      </c>
      <c r="B175" s="118"/>
      <c r="C175" s="117" t="s">
        <v>2723</v>
      </c>
      <c r="D175" s="126" t="str">
        <f t="shared" ref="D175:D210" si="32">INDEX(AB175:AC175,MATCH($F$3,$AB$6:$AC$6,0))</f>
        <v>kWh</v>
      </c>
      <c r="E175" s="452">
        <f t="shared" ref="E175:E205" si="33">IF(F175=H175,G175,INDEX(P175:AD175,MATCH($F175,$P$6:$AD$6,0)))</f>
        <v>1.4942541217448997</v>
      </c>
      <c r="F175" s="123" t="str">
        <f t="shared" ref="F175:F210" si="34">IF(ISBLANK(H175),INDEX(K175:N175,$D$4),H175)</f>
        <v>CO2 emissions for electricity 2017 including losses&amp;WTT</v>
      </c>
      <c r="G175" s="98"/>
      <c r="H175" s="98"/>
      <c r="I175" s="98"/>
      <c r="J175" s="377">
        <v>0.1</v>
      </c>
      <c r="K175" s="129" t="str">
        <f>Translate!$A$267</f>
        <v>CO2 emissions for electricity 2017 including losses&amp;WTT</v>
      </c>
      <c r="L175" s="129" t="str">
        <f>Translate!$A$267</f>
        <v>CO2 emissions for electricity 2017 including losses&amp;WTT</v>
      </c>
      <c r="M175" s="129" t="str">
        <f>Translate!$A$267</f>
        <v>CO2 emissions for electricity 2017 including losses&amp;WTT</v>
      </c>
      <c r="N175" s="129" t="str">
        <f>Translate!$A$267</f>
        <v>CO2 emissions for electricity 2017 including losses&amp;WTT</v>
      </c>
      <c r="P175" s="715"/>
      <c r="Q175" s="715"/>
      <c r="R175" s="715"/>
      <c r="S175" s="715"/>
      <c r="T175" s="715"/>
      <c r="U175" s="715"/>
      <c r="V175" s="715"/>
      <c r="W175" s="721"/>
      <c r="X175" s="732">
        <v>1.4942541217448997</v>
      </c>
      <c r="Y175" s="228"/>
      <c r="Z175" s="717"/>
      <c r="AA175" s="665"/>
      <c r="AB175" s="228" t="s">
        <v>45</v>
      </c>
      <c r="AC175" s="228" t="s">
        <v>45</v>
      </c>
    </row>
    <row r="176" spans="1:29" ht="105" hidden="1" outlineLevel="1">
      <c r="A176" s="116">
        <f t="shared" ca="1" si="31"/>
        <v>0</v>
      </c>
      <c r="B176" s="118"/>
      <c r="C176" s="117" t="s">
        <v>2724</v>
      </c>
      <c r="D176" s="126" t="str">
        <f t="shared" si="32"/>
        <v>kWh</v>
      </c>
      <c r="E176" s="452">
        <f t="shared" si="33"/>
        <v>0.45611874944251179</v>
      </c>
      <c r="F176" s="123" t="str">
        <f t="shared" si="34"/>
        <v>CO2 emissions for electricity 2017 including losses&amp;WTT</v>
      </c>
      <c r="G176" s="98"/>
      <c r="H176" s="98"/>
      <c r="I176" s="98"/>
      <c r="J176" s="377">
        <v>0.1</v>
      </c>
      <c r="K176" s="129" t="str">
        <f>Translate!$A$267</f>
        <v>CO2 emissions for electricity 2017 including losses&amp;WTT</v>
      </c>
      <c r="L176" s="129" t="str">
        <f>Translate!$A$267</f>
        <v>CO2 emissions for electricity 2017 including losses&amp;WTT</v>
      </c>
      <c r="M176" s="129" t="str">
        <f>Translate!$A$267</f>
        <v>CO2 emissions for electricity 2017 including losses&amp;WTT</v>
      </c>
      <c r="N176" s="129" t="str">
        <f>Translate!$A$267</f>
        <v>CO2 emissions for electricity 2017 including losses&amp;WTT</v>
      </c>
      <c r="P176" s="715"/>
      <c r="Q176" s="715"/>
      <c r="R176" s="715"/>
      <c r="S176" s="715"/>
      <c r="T176" s="715"/>
      <c r="U176" s="715"/>
      <c r="V176" s="715"/>
      <c r="W176" s="721"/>
      <c r="X176" s="732">
        <v>0.45611874944251179</v>
      </c>
      <c r="Y176" s="228"/>
      <c r="Z176" s="717"/>
      <c r="AA176" s="665"/>
      <c r="AB176" s="228" t="s">
        <v>45</v>
      </c>
      <c r="AC176" s="228" t="s">
        <v>45</v>
      </c>
    </row>
    <row r="177" spans="1:29" ht="105" hidden="1" outlineLevel="1">
      <c r="A177" s="116">
        <f t="shared" ca="1" si="31"/>
        <v>0</v>
      </c>
      <c r="B177" s="118"/>
      <c r="C177" s="117" t="s">
        <v>2725</v>
      </c>
      <c r="D177" s="126" t="str">
        <f t="shared" si="32"/>
        <v>kWh</v>
      </c>
      <c r="E177" s="452">
        <f t="shared" si="33"/>
        <v>1.900107781849536E-2</v>
      </c>
      <c r="F177" s="123" t="str">
        <f t="shared" si="34"/>
        <v>CO2 emissions for electricity 2017 including losses&amp;WTT</v>
      </c>
      <c r="G177" s="98"/>
      <c r="H177" s="98"/>
      <c r="I177" s="98"/>
      <c r="J177" s="377">
        <v>0.1</v>
      </c>
      <c r="K177" s="129" t="str">
        <f>Translate!$A$267</f>
        <v>CO2 emissions for electricity 2017 including losses&amp;WTT</v>
      </c>
      <c r="L177" s="129" t="str">
        <f>Translate!$A$267</f>
        <v>CO2 emissions for electricity 2017 including losses&amp;WTT</v>
      </c>
      <c r="M177" s="129" t="str">
        <f>Translate!$A$267</f>
        <v>CO2 emissions for electricity 2017 including losses&amp;WTT</v>
      </c>
      <c r="N177" s="129" t="str">
        <f>Translate!$A$267</f>
        <v>CO2 emissions for electricity 2017 including losses&amp;WTT</v>
      </c>
      <c r="P177" s="715"/>
      <c r="Q177" s="715"/>
      <c r="R177" s="715"/>
      <c r="S177" s="715"/>
      <c r="T177" s="715"/>
      <c r="U177" s="715"/>
      <c r="V177" s="715"/>
      <c r="W177" s="721"/>
      <c r="X177" s="732">
        <v>1.900107781849536E-2</v>
      </c>
      <c r="Y177" s="228"/>
      <c r="Z177" s="717"/>
      <c r="AA177" s="665"/>
      <c r="AB177" s="228" t="s">
        <v>45</v>
      </c>
      <c r="AC177" s="228" t="s">
        <v>45</v>
      </c>
    </row>
    <row r="178" spans="1:29" ht="105" hidden="1" outlineLevel="1">
      <c r="A178" s="116">
        <f t="shared" ca="1" si="31"/>
        <v>0</v>
      </c>
      <c r="B178" s="118"/>
      <c r="C178" s="117" t="s">
        <v>2726</v>
      </c>
      <c r="D178" s="126" t="str">
        <f t="shared" si="32"/>
        <v>kWh</v>
      </c>
      <c r="E178" s="452">
        <f t="shared" si="33"/>
        <v>0.5610026965881304</v>
      </c>
      <c r="F178" s="123" t="str">
        <f t="shared" si="34"/>
        <v>CO2 emissions for electricity 2017 including losses&amp;WTT</v>
      </c>
      <c r="G178" s="98"/>
      <c r="H178" s="98"/>
      <c r="I178" s="98"/>
      <c r="J178" s="377">
        <v>0.1</v>
      </c>
      <c r="K178" s="129" t="str">
        <f>Translate!$A$267</f>
        <v>CO2 emissions for electricity 2017 including losses&amp;WTT</v>
      </c>
      <c r="L178" s="129" t="str">
        <f>Translate!$A$267</f>
        <v>CO2 emissions for electricity 2017 including losses&amp;WTT</v>
      </c>
      <c r="M178" s="129" t="str">
        <f>Translate!$A$267</f>
        <v>CO2 emissions for electricity 2017 including losses&amp;WTT</v>
      </c>
      <c r="N178" s="129" t="str">
        <f>Translate!$A$267</f>
        <v>CO2 emissions for electricity 2017 including losses&amp;WTT</v>
      </c>
      <c r="P178" s="715"/>
      <c r="Q178" s="715"/>
      <c r="R178" s="715"/>
      <c r="S178" s="715"/>
      <c r="T178" s="715"/>
      <c r="U178" s="715"/>
      <c r="V178" s="715"/>
      <c r="W178" s="721"/>
      <c r="X178" s="732">
        <v>0.5610026965881304</v>
      </c>
      <c r="Y178" s="228"/>
      <c r="Z178" s="717"/>
      <c r="AA178" s="665"/>
      <c r="AB178" s="228" t="s">
        <v>45</v>
      </c>
      <c r="AC178" s="228" t="s">
        <v>45</v>
      </c>
    </row>
    <row r="179" spans="1:29" ht="105" hidden="1" outlineLevel="1">
      <c r="A179" s="116">
        <f t="shared" ca="1" si="31"/>
        <v>0</v>
      </c>
      <c r="B179" s="118"/>
      <c r="C179" s="117" t="s">
        <v>2727</v>
      </c>
      <c r="D179" s="126" t="str">
        <f t="shared" si="32"/>
        <v>kWh</v>
      </c>
      <c r="E179" s="452">
        <f t="shared" si="33"/>
        <v>0.81117393883539368</v>
      </c>
      <c r="F179" s="123" t="str">
        <f t="shared" si="34"/>
        <v>CO2 emissions for electricity 2017 including losses&amp;WTT</v>
      </c>
      <c r="G179" s="98"/>
      <c r="H179" s="98"/>
      <c r="I179" s="98"/>
      <c r="J179" s="377">
        <v>0.1</v>
      </c>
      <c r="K179" s="129" t="str">
        <f>Translate!$A$267</f>
        <v>CO2 emissions for electricity 2017 including losses&amp;WTT</v>
      </c>
      <c r="L179" s="129" t="str">
        <f>Translate!$A$267</f>
        <v>CO2 emissions for electricity 2017 including losses&amp;WTT</v>
      </c>
      <c r="M179" s="129" t="str">
        <f>Translate!$A$267</f>
        <v>CO2 emissions for electricity 2017 including losses&amp;WTT</v>
      </c>
      <c r="N179" s="129" t="str">
        <f>Translate!$A$267</f>
        <v>CO2 emissions for electricity 2017 including losses&amp;WTT</v>
      </c>
      <c r="P179" s="715"/>
      <c r="Q179" s="715"/>
      <c r="R179" s="715"/>
      <c r="S179" s="715"/>
      <c r="T179" s="715"/>
      <c r="U179" s="715"/>
      <c r="V179" s="715"/>
      <c r="W179" s="721"/>
      <c r="X179" s="732">
        <v>0.81117393883539368</v>
      </c>
      <c r="Y179" s="228"/>
      <c r="Z179" s="717"/>
      <c r="AA179" s="665"/>
      <c r="AB179" s="228" t="s">
        <v>45</v>
      </c>
      <c r="AC179" s="228" t="s">
        <v>45</v>
      </c>
    </row>
    <row r="180" spans="1:29" ht="105" hidden="1" outlineLevel="1">
      <c r="A180" s="116">
        <f t="shared" ca="1" si="31"/>
        <v>0</v>
      </c>
      <c r="B180" s="118"/>
      <c r="C180" s="117" t="s">
        <v>2728</v>
      </c>
      <c r="D180" s="126" t="str">
        <f t="shared" si="32"/>
        <v>kWh</v>
      </c>
      <c r="E180" s="452">
        <f t="shared" si="33"/>
        <v>0.49984257991920455</v>
      </c>
      <c r="F180" s="123" t="str">
        <f t="shared" si="34"/>
        <v>CO2 emissions for electricity 2017 including losses&amp;WTT</v>
      </c>
      <c r="G180" s="98"/>
      <c r="H180" s="98"/>
      <c r="I180" s="98"/>
      <c r="J180" s="377">
        <v>0.1</v>
      </c>
      <c r="K180" s="129" t="str">
        <f>Translate!$A$267</f>
        <v>CO2 emissions for electricity 2017 including losses&amp;WTT</v>
      </c>
      <c r="L180" s="129" t="str">
        <f>Translate!$A$267</f>
        <v>CO2 emissions for electricity 2017 including losses&amp;WTT</v>
      </c>
      <c r="M180" s="129" t="str">
        <f>Translate!$A$267</f>
        <v>CO2 emissions for electricity 2017 including losses&amp;WTT</v>
      </c>
      <c r="N180" s="129" t="str">
        <f>Translate!$A$267</f>
        <v>CO2 emissions for electricity 2017 including losses&amp;WTT</v>
      </c>
      <c r="P180" s="715"/>
      <c r="Q180" s="715"/>
      <c r="R180" s="715"/>
      <c r="S180" s="715"/>
      <c r="T180" s="715"/>
      <c r="U180" s="715"/>
      <c r="V180" s="715"/>
      <c r="W180" s="721"/>
      <c r="X180" s="732">
        <v>0.49984257991920455</v>
      </c>
      <c r="Y180" s="228"/>
      <c r="Z180" s="717"/>
      <c r="AA180" s="665"/>
      <c r="AB180" s="228" t="s">
        <v>45</v>
      </c>
      <c r="AC180" s="228" t="s">
        <v>45</v>
      </c>
    </row>
    <row r="181" spans="1:29" ht="105" hidden="1" outlineLevel="1">
      <c r="A181" s="116">
        <f t="shared" ca="1" si="31"/>
        <v>0</v>
      </c>
      <c r="B181" s="118"/>
      <c r="C181" s="117" t="s">
        <v>2729</v>
      </c>
      <c r="D181" s="126" t="str">
        <f t="shared" si="32"/>
        <v>kWh</v>
      </c>
      <c r="E181" s="452">
        <f t="shared" si="33"/>
        <v>0.73504946848899022</v>
      </c>
      <c r="F181" s="123" t="str">
        <f t="shared" si="34"/>
        <v>CO2 emissions for electricity 2017 including losses&amp;WTT</v>
      </c>
      <c r="G181" s="98"/>
      <c r="H181" s="98"/>
      <c r="I181" s="98"/>
      <c r="J181" s="377">
        <v>0.1</v>
      </c>
      <c r="K181" s="129" t="str">
        <f>Translate!$A$267</f>
        <v>CO2 emissions for electricity 2017 including losses&amp;WTT</v>
      </c>
      <c r="L181" s="129" t="str">
        <f>Translate!$A$267</f>
        <v>CO2 emissions for electricity 2017 including losses&amp;WTT</v>
      </c>
      <c r="M181" s="129" t="str">
        <f>Translate!$A$267</f>
        <v>CO2 emissions for electricity 2017 including losses&amp;WTT</v>
      </c>
      <c r="N181" s="129" t="str">
        <f>Translate!$A$267</f>
        <v>CO2 emissions for electricity 2017 including losses&amp;WTT</v>
      </c>
      <c r="P181" s="715"/>
      <c r="Q181" s="715"/>
      <c r="R181" s="715"/>
      <c r="S181" s="715"/>
      <c r="T181" s="715"/>
      <c r="U181" s="715"/>
      <c r="V181" s="715"/>
      <c r="W181" s="721"/>
      <c r="X181" s="732">
        <v>0.73504946848899022</v>
      </c>
      <c r="Y181" s="228"/>
      <c r="Z181" s="717"/>
      <c r="AA181" s="665"/>
      <c r="AB181" s="228" t="s">
        <v>45</v>
      </c>
      <c r="AC181" s="228" t="s">
        <v>45</v>
      </c>
    </row>
    <row r="182" spans="1:29" ht="105" hidden="1" outlineLevel="1">
      <c r="A182" s="116">
        <f t="shared" ca="1" si="31"/>
        <v>0</v>
      </c>
      <c r="B182" s="118"/>
      <c r="C182" s="117" t="s">
        <v>2730</v>
      </c>
      <c r="D182" s="126" t="str">
        <f t="shared" si="32"/>
        <v>kWh</v>
      </c>
      <c r="E182" s="452">
        <f t="shared" si="33"/>
        <v>0.59865608851937369</v>
      </c>
      <c r="F182" s="123" t="str">
        <f t="shared" si="34"/>
        <v>CO2 emissions for electricity 2017 including losses&amp;WTT</v>
      </c>
      <c r="G182" s="98"/>
      <c r="H182" s="98"/>
      <c r="I182" s="98"/>
      <c r="J182" s="377">
        <v>0.1</v>
      </c>
      <c r="K182" s="129" t="str">
        <f>Translate!$A$267</f>
        <v>CO2 emissions for electricity 2017 including losses&amp;WTT</v>
      </c>
      <c r="L182" s="129" t="str">
        <f>Translate!$A$267</f>
        <v>CO2 emissions for electricity 2017 including losses&amp;WTT</v>
      </c>
      <c r="M182" s="129" t="str">
        <f>Translate!$A$267</f>
        <v>CO2 emissions for electricity 2017 including losses&amp;WTT</v>
      </c>
      <c r="N182" s="129" t="str">
        <f>Translate!$A$267</f>
        <v>CO2 emissions for electricity 2017 including losses&amp;WTT</v>
      </c>
      <c r="P182" s="715"/>
      <c r="Q182" s="715"/>
      <c r="R182" s="715"/>
      <c r="S182" s="715"/>
      <c r="T182" s="715"/>
      <c r="U182" s="715"/>
      <c r="V182" s="715"/>
      <c r="W182" s="721"/>
      <c r="X182" s="732">
        <v>0.59865608851937369</v>
      </c>
      <c r="Y182" s="228"/>
      <c r="Z182" s="717"/>
      <c r="AA182" s="665"/>
      <c r="AB182" s="228" t="s">
        <v>45</v>
      </c>
      <c r="AC182" s="228" t="s">
        <v>45</v>
      </c>
    </row>
    <row r="183" spans="1:29" ht="105" hidden="1" outlineLevel="1">
      <c r="A183" s="116">
        <f t="shared" ca="1" si="31"/>
        <v>0</v>
      </c>
      <c r="B183" s="118"/>
      <c r="C183" s="117" t="s">
        <v>2731</v>
      </c>
      <c r="D183" s="126" t="str">
        <f t="shared" si="32"/>
        <v>kWh</v>
      </c>
      <c r="E183" s="452">
        <f t="shared" si="33"/>
        <v>0.4428496217135896</v>
      </c>
      <c r="F183" s="123" t="str">
        <f t="shared" si="34"/>
        <v>CO2 emissions for electricity 2017 including losses&amp;WTT</v>
      </c>
      <c r="G183" s="98"/>
      <c r="H183" s="98"/>
      <c r="I183" s="98"/>
      <c r="J183" s="377">
        <v>0.1</v>
      </c>
      <c r="K183" s="129" t="str">
        <f>Translate!$A$267</f>
        <v>CO2 emissions for electricity 2017 including losses&amp;WTT</v>
      </c>
      <c r="L183" s="129" t="str">
        <f>Translate!$A$267</f>
        <v>CO2 emissions for electricity 2017 including losses&amp;WTT</v>
      </c>
      <c r="M183" s="129" t="str">
        <f>Translate!$A$267</f>
        <v>CO2 emissions for electricity 2017 including losses&amp;WTT</v>
      </c>
      <c r="N183" s="129" t="str">
        <f>Translate!$A$267</f>
        <v>CO2 emissions for electricity 2017 including losses&amp;WTT</v>
      </c>
      <c r="P183" s="715"/>
      <c r="Q183" s="715"/>
      <c r="R183" s="715"/>
      <c r="S183" s="715"/>
      <c r="T183" s="715"/>
      <c r="U183" s="715"/>
      <c r="V183" s="715"/>
      <c r="W183" s="721"/>
      <c r="X183" s="732">
        <v>0.4428496217135896</v>
      </c>
      <c r="Y183" s="228"/>
      <c r="Z183" s="717"/>
      <c r="AA183" s="665"/>
      <c r="AB183" s="228" t="s">
        <v>45</v>
      </c>
      <c r="AC183" s="228" t="s">
        <v>45</v>
      </c>
    </row>
    <row r="184" spans="1:29" hidden="1" outlineLevel="1">
      <c r="A184" s="116">
        <f t="shared" ca="1" si="31"/>
        <v>0</v>
      </c>
      <c r="B184" s="118"/>
      <c r="C184" s="117" t="str">
        <f>$C$45&amp;" - "&amp;Lists!B61</f>
        <v>Electricity - AKGD (ASCC Alaska Grid)</v>
      </c>
      <c r="D184" s="126" t="str">
        <f t="shared" si="32"/>
        <v>kWh</v>
      </c>
      <c r="E184" s="452">
        <f t="shared" si="33"/>
        <v>0.47399230019999999</v>
      </c>
      <c r="F184" s="123" t="str">
        <f t="shared" si="34"/>
        <v>EPA</v>
      </c>
      <c r="G184" s="98"/>
      <c r="H184" s="98"/>
      <c r="I184" s="98"/>
      <c r="J184" s="377">
        <v>0.1</v>
      </c>
      <c r="K184" s="129" t="s">
        <v>2154</v>
      </c>
      <c r="L184" s="129" t="s">
        <v>2154</v>
      </c>
      <c r="M184" s="129" t="s">
        <v>2154</v>
      </c>
      <c r="N184" s="129" t="s">
        <v>2154</v>
      </c>
      <c r="P184" s="715"/>
      <c r="Q184" s="715"/>
      <c r="R184" s="715"/>
      <c r="S184" s="715"/>
      <c r="T184" s="715"/>
      <c r="U184" s="715"/>
      <c r="V184" s="715"/>
      <c r="W184" s="721"/>
      <c r="X184" s="717"/>
      <c r="Y184" s="452">
        <v>0.47399230019999999</v>
      </c>
      <c r="Z184" s="716"/>
      <c r="AA184" s="713"/>
      <c r="AB184" s="228" t="s">
        <v>45</v>
      </c>
      <c r="AC184" s="228" t="s">
        <v>45</v>
      </c>
    </row>
    <row r="185" spans="1:29" hidden="1" outlineLevel="1">
      <c r="A185" s="116">
        <f t="shared" ca="1" si="31"/>
        <v>0</v>
      </c>
      <c r="B185" s="118"/>
      <c r="C185" s="117" t="str">
        <f>$C$45&amp;" - "&amp;Lists!B62</f>
        <v>Electricity - AKMS (ASCC Miscellaneous)</v>
      </c>
      <c r="D185" s="126" t="str">
        <f t="shared" si="32"/>
        <v>kWh</v>
      </c>
      <c r="E185" s="452">
        <f t="shared" si="33"/>
        <v>0.23898855296000002</v>
      </c>
      <c r="F185" s="123" t="str">
        <f t="shared" si="34"/>
        <v>EPA</v>
      </c>
      <c r="G185" s="98"/>
      <c r="H185" s="98"/>
      <c r="I185" s="98"/>
      <c r="J185" s="377">
        <v>0.1</v>
      </c>
      <c r="K185" s="129" t="s">
        <v>2154</v>
      </c>
      <c r="L185" s="129" t="s">
        <v>2154</v>
      </c>
      <c r="M185" s="129" t="s">
        <v>2154</v>
      </c>
      <c r="N185" s="129" t="s">
        <v>2154</v>
      </c>
      <c r="P185" s="715"/>
      <c r="Q185" s="715"/>
      <c r="R185" s="715"/>
      <c r="S185" s="715"/>
      <c r="T185" s="715"/>
      <c r="U185" s="715"/>
      <c r="V185" s="715"/>
      <c r="W185" s="721"/>
      <c r="X185" s="717"/>
      <c r="Y185" s="452">
        <v>0.23898855296000002</v>
      </c>
      <c r="Z185" s="716"/>
      <c r="AA185" s="713"/>
      <c r="AB185" s="228" t="s">
        <v>45</v>
      </c>
      <c r="AC185" s="228" t="s">
        <v>45</v>
      </c>
    </row>
    <row r="186" spans="1:29" hidden="1" outlineLevel="1">
      <c r="A186" s="116">
        <f t="shared" ca="1" si="31"/>
        <v>0</v>
      </c>
      <c r="B186" s="118"/>
      <c r="C186" s="117" t="str">
        <f>$C$45&amp;" - "&amp;Lists!B63</f>
        <v>Electricity - AZNM (WECC Southwest)</v>
      </c>
      <c r="D186" s="126" t="str">
        <f t="shared" si="32"/>
        <v>kWh</v>
      </c>
      <c r="E186" s="452">
        <f t="shared" si="33"/>
        <v>0.46612247899999998</v>
      </c>
      <c r="F186" s="123" t="str">
        <f t="shared" si="34"/>
        <v>EPA</v>
      </c>
      <c r="G186" s="98"/>
      <c r="H186" s="98"/>
      <c r="I186" s="98"/>
      <c r="J186" s="377">
        <v>0.1</v>
      </c>
      <c r="K186" s="129" t="s">
        <v>2154</v>
      </c>
      <c r="L186" s="129" t="s">
        <v>2154</v>
      </c>
      <c r="M186" s="129" t="s">
        <v>2154</v>
      </c>
      <c r="N186" s="129" t="s">
        <v>2154</v>
      </c>
      <c r="P186" s="715"/>
      <c r="Q186" s="715"/>
      <c r="R186" s="715"/>
      <c r="S186" s="715"/>
      <c r="T186" s="715"/>
      <c r="U186" s="715"/>
      <c r="V186" s="715"/>
      <c r="W186" s="721"/>
      <c r="X186" s="717"/>
      <c r="Y186" s="452">
        <v>0.46612247899999998</v>
      </c>
      <c r="Z186" s="716"/>
      <c r="AA186" s="713"/>
      <c r="AB186" s="228" t="s">
        <v>45</v>
      </c>
      <c r="AC186" s="228" t="s">
        <v>45</v>
      </c>
    </row>
    <row r="187" spans="1:29" hidden="1" outlineLevel="1">
      <c r="A187" s="116">
        <f t="shared" ca="1" si="31"/>
        <v>0</v>
      </c>
      <c r="B187" s="118"/>
      <c r="C187" s="117" t="str">
        <f>$C$45&amp;" - "&amp;Lists!B64</f>
        <v>Electricity - CAMX (WECC California)</v>
      </c>
      <c r="D187" s="126" t="str">
        <f t="shared" si="32"/>
        <v>kWh</v>
      </c>
      <c r="E187" s="452">
        <f t="shared" si="33"/>
        <v>0.22615189935999999</v>
      </c>
      <c r="F187" s="123" t="str">
        <f t="shared" si="34"/>
        <v>EPA</v>
      </c>
      <c r="G187" s="98"/>
      <c r="H187" s="98"/>
      <c r="I187" s="98"/>
      <c r="J187" s="377">
        <v>0.1</v>
      </c>
      <c r="K187" s="129" t="s">
        <v>2154</v>
      </c>
      <c r="L187" s="129" t="s">
        <v>2154</v>
      </c>
      <c r="M187" s="129" t="s">
        <v>2154</v>
      </c>
      <c r="N187" s="129" t="s">
        <v>2154</v>
      </c>
      <c r="P187" s="715"/>
      <c r="Q187" s="715"/>
      <c r="R187" s="715"/>
      <c r="S187" s="715"/>
      <c r="T187" s="715"/>
      <c r="U187" s="715"/>
      <c r="V187" s="715"/>
      <c r="W187" s="721"/>
      <c r="X187" s="717"/>
      <c r="Y187" s="452">
        <v>0.22615189935999999</v>
      </c>
      <c r="Z187" s="716"/>
      <c r="AA187" s="713"/>
      <c r="AB187" s="228" t="s">
        <v>45</v>
      </c>
      <c r="AC187" s="228" t="s">
        <v>45</v>
      </c>
    </row>
    <row r="188" spans="1:29" hidden="1" outlineLevel="1">
      <c r="A188" s="116">
        <f t="shared" ca="1" si="31"/>
        <v>0</v>
      </c>
      <c r="B188" s="118"/>
      <c r="C188" s="117" t="str">
        <f>$C$45&amp;" - "&amp;Lists!B65</f>
        <v>Electricity - ERCT (ERCOT All)</v>
      </c>
      <c r="D188" s="126" t="str">
        <f t="shared" si="32"/>
        <v>kWh</v>
      </c>
      <c r="E188" s="452">
        <f t="shared" si="33"/>
        <v>0.42459159548000003</v>
      </c>
      <c r="F188" s="123" t="str">
        <f t="shared" si="34"/>
        <v>EPA</v>
      </c>
      <c r="G188" s="98"/>
      <c r="H188" s="98"/>
      <c r="I188" s="98"/>
      <c r="J188" s="377">
        <v>0.1</v>
      </c>
      <c r="K188" s="129" t="s">
        <v>2154</v>
      </c>
      <c r="L188" s="129" t="s">
        <v>2154</v>
      </c>
      <c r="M188" s="129" t="s">
        <v>2154</v>
      </c>
      <c r="N188" s="129" t="s">
        <v>2154</v>
      </c>
      <c r="P188" s="715"/>
      <c r="Q188" s="715"/>
      <c r="R188" s="715"/>
      <c r="S188" s="715"/>
      <c r="T188" s="715"/>
      <c r="U188" s="715"/>
      <c r="V188" s="715"/>
      <c r="W188" s="721"/>
      <c r="X188" s="717"/>
      <c r="Y188" s="452">
        <v>0.42459159548000003</v>
      </c>
      <c r="Z188" s="716"/>
      <c r="AA188" s="713"/>
      <c r="AB188" s="228" t="s">
        <v>45</v>
      </c>
      <c r="AC188" s="228" t="s">
        <v>45</v>
      </c>
    </row>
    <row r="189" spans="1:29" hidden="1" outlineLevel="1">
      <c r="A189" s="116">
        <f t="shared" ca="1" si="31"/>
        <v>0</v>
      </c>
      <c r="B189" s="118"/>
      <c r="C189" s="117" t="str">
        <f>$C$45&amp;" - "&amp;Lists!B66</f>
        <v>Electricity - FRCC (FRCC All)</v>
      </c>
      <c r="D189" s="126" t="str">
        <f t="shared" si="32"/>
        <v>kWh</v>
      </c>
      <c r="E189" s="452">
        <f t="shared" si="33"/>
        <v>0.42463695467999996</v>
      </c>
      <c r="F189" s="123" t="str">
        <f t="shared" si="34"/>
        <v>EPA</v>
      </c>
      <c r="G189" s="98"/>
      <c r="H189" s="98"/>
      <c r="I189" s="98"/>
      <c r="J189" s="377">
        <v>0.1</v>
      </c>
      <c r="K189" s="129" t="s">
        <v>2154</v>
      </c>
      <c r="L189" s="129" t="s">
        <v>2154</v>
      </c>
      <c r="M189" s="129" t="s">
        <v>2154</v>
      </c>
      <c r="N189" s="129" t="s">
        <v>2154</v>
      </c>
      <c r="P189" s="715"/>
      <c r="Q189" s="715"/>
      <c r="R189" s="715"/>
      <c r="S189" s="715"/>
      <c r="T189" s="715"/>
      <c r="U189" s="715"/>
      <c r="V189" s="715"/>
      <c r="W189" s="721"/>
      <c r="X189" s="717"/>
      <c r="Y189" s="452">
        <v>0.42463695467999996</v>
      </c>
      <c r="Z189" s="716"/>
      <c r="AA189" s="713"/>
      <c r="AB189" s="228" t="s">
        <v>45</v>
      </c>
      <c r="AC189" s="228" t="s">
        <v>45</v>
      </c>
    </row>
    <row r="190" spans="1:29" hidden="1" outlineLevel="1">
      <c r="A190" s="116">
        <f t="shared" ca="1" si="31"/>
        <v>0</v>
      </c>
      <c r="B190" s="118"/>
      <c r="C190" s="117" t="str">
        <f>$C$45&amp;" - "&amp;Lists!B67</f>
        <v>Electricity - HIMS (HICC Miscellaneous)</v>
      </c>
      <c r="D190" s="126" t="str">
        <f t="shared" si="32"/>
        <v>kWh</v>
      </c>
      <c r="E190" s="452">
        <f t="shared" si="33"/>
        <v>0.50757398391999997</v>
      </c>
      <c r="F190" s="123" t="str">
        <f t="shared" si="34"/>
        <v>EPA</v>
      </c>
      <c r="G190" s="98"/>
      <c r="H190" s="98"/>
      <c r="I190" s="98"/>
      <c r="J190" s="377">
        <v>0.1</v>
      </c>
      <c r="K190" s="129" t="s">
        <v>2154</v>
      </c>
      <c r="L190" s="129" t="s">
        <v>2154</v>
      </c>
      <c r="M190" s="129" t="s">
        <v>2154</v>
      </c>
      <c r="N190" s="129" t="s">
        <v>2154</v>
      </c>
      <c r="P190" s="715"/>
      <c r="Q190" s="715"/>
      <c r="R190" s="715"/>
      <c r="S190" s="715"/>
      <c r="T190" s="715"/>
      <c r="U190" s="715"/>
      <c r="V190" s="715"/>
      <c r="W190" s="721"/>
      <c r="X190" s="717"/>
      <c r="Y190" s="452">
        <v>0.50757398391999997</v>
      </c>
      <c r="Z190" s="716"/>
      <c r="AA190" s="713"/>
      <c r="AB190" s="228" t="s">
        <v>45</v>
      </c>
      <c r="AC190" s="228" t="s">
        <v>45</v>
      </c>
    </row>
    <row r="191" spans="1:29" hidden="1" outlineLevel="1">
      <c r="A191" s="116">
        <f t="shared" ca="1" si="31"/>
        <v>0</v>
      </c>
      <c r="B191" s="118"/>
      <c r="C191" s="117" t="str">
        <f>$C$45&amp;" - "&amp;Lists!B68</f>
        <v>Electricity - HIOA (HICC Oahu)</v>
      </c>
      <c r="D191" s="126" t="str">
        <f t="shared" si="32"/>
        <v>kWh</v>
      </c>
      <c r="E191" s="452">
        <f t="shared" si="33"/>
        <v>0.76314812836000012</v>
      </c>
      <c r="F191" s="123" t="str">
        <f t="shared" si="34"/>
        <v>EPA</v>
      </c>
      <c r="G191" s="98"/>
      <c r="H191" s="98"/>
      <c r="I191" s="98"/>
      <c r="J191" s="377">
        <v>0.1</v>
      </c>
      <c r="K191" s="129" t="s">
        <v>2154</v>
      </c>
      <c r="L191" s="129" t="s">
        <v>2154</v>
      </c>
      <c r="M191" s="129" t="s">
        <v>2154</v>
      </c>
      <c r="N191" s="129" t="s">
        <v>2154</v>
      </c>
      <c r="P191" s="715"/>
      <c r="Q191" s="715"/>
      <c r="R191" s="715"/>
      <c r="S191" s="715"/>
      <c r="T191" s="715"/>
      <c r="U191" s="715"/>
      <c r="V191" s="715"/>
      <c r="W191" s="721"/>
      <c r="X191" s="717"/>
      <c r="Y191" s="452">
        <v>0.76314812836000012</v>
      </c>
      <c r="Z191" s="716"/>
      <c r="AA191" s="713"/>
      <c r="AB191" s="228" t="s">
        <v>45</v>
      </c>
      <c r="AC191" s="228" t="s">
        <v>45</v>
      </c>
    </row>
    <row r="192" spans="1:29" hidden="1" outlineLevel="1">
      <c r="A192" s="116">
        <f t="shared" ca="1" si="31"/>
        <v>0</v>
      </c>
      <c r="B192" s="118"/>
      <c r="C192" s="117" t="str">
        <f>$C$45&amp;" - "&amp;Lists!B69</f>
        <v>Electricity - MROE (MRO East)</v>
      </c>
      <c r="D192" s="126" t="str">
        <f t="shared" si="32"/>
        <v>kWh</v>
      </c>
      <c r="E192" s="452">
        <f t="shared" si="33"/>
        <v>0.76643213443999991</v>
      </c>
      <c r="F192" s="123" t="str">
        <f t="shared" si="34"/>
        <v>EPA</v>
      </c>
      <c r="G192" s="98"/>
      <c r="H192" s="98"/>
      <c r="I192" s="98"/>
      <c r="J192" s="377">
        <v>0.1</v>
      </c>
      <c r="K192" s="129" t="s">
        <v>2154</v>
      </c>
      <c r="L192" s="129" t="s">
        <v>2154</v>
      </c>
      <c r="M192" s="129" t="s">
        <v>2154</v>
      </c>
      <c r="N192" s="129" t="s">
        <v>2154</v>
      </c>
      <c r="P192" s="715"/>
      <c r="Q192" s="715"/>
      <c r="R192" s="715"/>
      <c r="S192" s="715"/>
      <c r="T192" s="715"/>
      <c r="U192" s="715"/>
      <c r="V192" s="715"/>
      <c r="W192" s="721"/>
      <c r="X192" s="717"/>
      <c r="Y192" s="452">
        <v>0.76643213443999991</v>
      </c>
      <c r="Z192" s="716"/>
      <c r="AA192" s="713"/>
      <c r="AB192" s="228" t="s">
        <v>45</v>
      </c>
      <c r="AC192" s="228" t="s">
        <v>45</v>
      </c>
    </row>
    <row r="193" spans="1:29" hidden="1" outlineLevel="1">
      <c r="A193" s="116">
        <f t="shared" ca="1" si="31"/>
        <v>0</v>
      </c>
      <c r="B193" s="118"/>
      <c r="C193" s="117" t="str">
        <f>$C$45&amp;" - "&amp;Lists!B70</f>
        <v>Electricity - MROW (MRO West)</v>
      </c>
      <c r="D193" s="126" t="str">
        <f t="shared" si="32"/>
        <v>kWh</v>
      </c>
      <c r="E193" s="452">
        <f t="shared" si="33"/>
        <v>0.56664527007999999</v>
      </c>
      <c r="F193" s="123" t="str">
        <f t="shared" si="34"/>
        <v>EPA</v>
      </c>
      <c r="G193" s="98"/>
      <c r="H193" s="98"/>
      <c r="I193" s="98"/>
      <c r="J193" s="377">
        <v>0.1</v>
      </c>
      <c r="K193" s="129" t="s">
        <v>2154</v>
      </c>
      <c r="L193" s="129" t="s">
        <v>2154</v>
      </c>
      <c r="M193" s="129" t="s">
        <v>2154</v>
      </c>
      <c r="N193" s="129" t="s">
        <v>2154</v>
      </c>
      <c r="P193" s="715"/>
      <c r="Q193" s="715"/>
      <c r="R193" s="715"/>
      <c r="S193" s="715"/>
      <c r="T193" s="715"/>
      <c r="U193" s="715"/>
      <c r="V193" s="715"/>
      <c r="W193" s="721"/>
      <c r="X193" s="717"/>
      <c r="Y193" s="452">
        <v>0.56664527007999999</v>
      </c>
      <c r="Z193" s="716"/>
      <c r="AA193" s="713"/>
      <c r="AB193" s="228" t="s">
        <v>45</v>
      </c>
      <c r="AC193" s="228" t="s">
        <v>45</v>
      </c>
    </row>
    <row r="194" spans="1:29" hidden="1" outlineLevel="1">
      <c r="A194" s="116">
        <f t="shared" ca="1" si="31"/>
        <v>0</v>
      </c>
      <c r="B194" s="118"/>
      <c r="C194" s="117" t="str">
        <f>$C$45&amp;" - "&amp;Lists!B71</f>
        <v>Electricity - NEWE (NPCC New England)</v>
      </c>
      <c r="D194" s="126" t="str">
        <f t="shared" si="32"/>
        <v>kWh</v>
      </c>
      <c r="E194" s="452">
        <f t="shared" si="33"/>
        <v>0.2393491586</v>
      </c>
      <c r="F194" s="123" t="str">
        <f t="shared" si="34"/>
        <v>EPA</v>
      </c>
      <c r="G194" s="98"/>
      <c r="H194" s="98"/>
      <c r="I194" s="98"/>
      <c r="J194" s="377">
        <v>0.1</v>
      </c>
      <c r="K194" s="129" t="s">
        <v>2154</v>
      </c>
      <c r="L194" s="129" t="s">
        <v>2154</v>
      </c>
      <c r="M194" s="129" t="s">
        <v>2154</v>
      </c>
      <c r="N194" s="129" t="s">
        <v>2154</v>
      </c>
      <c r="P194" s="715"/>
      <c r="Q194" s="715"/>
      <c r="R194" s="715"/>
      <c r="S194" s="715"/>
      <c r="T194" s="715"/>
      <c r="U194" s="715"/>
      <c r="V194" s="715"/>
      <c r="W194" s="721"/>
      <c r="X194" s="717"/>
      <c r="Y194" s="452">
        <v>0.2393491586</v>
      </c>
      <c r="Z194" s="716"/>
      <c r="AA194" s="713"/>
      <c r="AB194" s="228" t="s">
        <v>45</v>
      </c>
      <c r="AC194" s="228" t="s">
        <v>45</v>
      </c>
    </row>
    <row r="195" spans="1:29" hidden="1" outlineLevel="1">
      <c r="A195" s="116">
        <f t="shared" ca="1" si="31"/>
        <v>0</v>
      </c>
      <c r="B195" s="118"/>
      <c r="C195" s="117" t="str">
        <f>$C$45&amp;" - "&amp;Lists!B72</f>
        <v>Electricity - NWPP (WECC Northwest)</v>
      </c>
      <c r="D195" s="126" t="str">
        <f t="shared" si="32"/>
        <v>kWh</v>
      </c>
      <c r="E195" s="452">
        <f t="shared" si="33"/>
        <v>0.29179800155999996</v>
      </c>
      <c r="F195" s="123" t="str">
        <f t="shared" si="34"/>
        <v>EPA</v>
      </c>
      <c r="G195" s="98"/>
      <c r="H195" s="98"/>
      <c r="I195" s="98"/>
      <c r="J195" s="377">
        <v>0.1</v>
      </c>
      <c r="K195" s="129" t="s">
        <v>2154</v>
      </c>
      <c r="L195" s="129" t="s">
        <v>2154</v>
      </c>
      <c r="M195" s="129" t="s">
        <v>2154</v>
      </c>
      <c r="N195" s="129" t="s">
        <v>2154</v>
      </c>
      <c r="P195" s="715"/>
      <c r="Q195" s="715"/>
      <c r="R195" s="715"/>
      <c r="S195" s="715"/>
      <c r="T195" s="715"/>
      <c r="U195" s="715"/>
      <c r="V195" s="715"/>
      <c r="W195" s="721"/>
      <c r="X195" s="717"/>
      <c r="Y195" s="452">
        <v>0.29179800155999996</v>
      </c>
      <c r="Z195" s="716"/>
      <c r="AA195" s="713"/>
      <c r="AB195" s="228" t="s">
        <v>45</v>
      </c>
      <c r="AC195" s="228" t="s">
        <v>45</v>
      </c>
    </row>
    <row r="196" spans="1:29" hidden="1" outlineLevel="1">
      <c r="A196" s="116">
        <f t="shared" ca="1" si="31"/>
        <v>0</v>
      </c>
      <c r="B196" s="118"/>
      <c r="C196" s="117" t="str">
        <f>$C$45&amp;" - "&amp;Lists!B73</f>
        <v>Electricity - NYCW (NPCC NYC/Westchester)</v>
      </c>
      <c r="D196" s="126" t="str">
        <f t="shared" si="32"/>
        <v>kWh</v>
      </c>
      <c r="E196" s="452">
        <f t="shared" si="33"/>
        <v>0.27118224515999995</v>
      </c>
      <c r="F196" s="123" t="str">
        <f t="shared" si="34"/>
        <v>EPA</v>
      </c>
      <c r="G196" s="98"/>
      <c r="H196" s="98"/>
      <c r="I196" s="98"/>
      <c r="J196" s="377">
        <v>0.1</v>
      </c>
      <c r="K196" s="129" t="s">
        <v>2154</v>
      </c>
      <c r="L196" s="129" t="s">
        <v>2154</v>
      </c>
      <c r="M196" s="129" t="s">
        <v>2154</v>
      </c>
      <c r="N196" s="129" t="s">
        <v>2154</v>
      </c>
      <c r="P196" s="715"/>
      <c r="Q196" s="715"/>
      <c r="R196" s="715"/>
      <c r="S196" s="715"/>
      <c r="T196" s="715"/>
      <c r="U196" s="715"/>
      <c r="V196" s="715"/>
      <c r="W196" s="721"/>
      <c r="X196" s="717"/>
      <c r="Y196" s="452">
        <v>0.27118224515999995</v>
      </c>
      <c r="Z196" s="716"/>
      <c r="AA196" s="713"/>
      <c r="AB196" s="228" t="s">
        <v>45</v>
      </c>
      <c r="AC196" s="228" t="s">
        <v>45</v>
      </c>
    </row>
    <row r="197" spans="1:29" hidden="1" outlineLevel="1">
      <c r="A197" s="116">
        <f t="shared" ca="1" si="31"/>
        <v>0</v>
      </c>
      <c r="B197" s="118"/>
      <c r="C197" s="117" t="str">
        <f>$C$45&amp;" - "&amp;Lists!B74</f>
        <v>Electricity - NYLI (NPCC Long Island)</v>
      </c>
      <c r="D197" s="126" t="str">
        <f t="shared" si="32"/>
        <v>kWh</v>
      </c>
      <c r="E197" s="452">
        <f t="shared" si="33"/>
        <v>0.54119875888000002</v>
      </c>
      <c r="F197" s="123" t="str">
        <f t="shared" si="34"/>
        <v>EPA</v>
      </c>
      <c r="G197" s="98"/>
      <c r="H197" s="98"/>
      <c r="I197" s="98"/>
      <c r="J197" s="377">
        <v>0.1</v>
      </c>
      <c r="K197" s="129" t="s">
        <v>2154</v>
      </c>
      <c r="L197" s="129" t="s">
        <v>2154</v>
      </c>
      <c r="M197" s="129" t="s">
        <v>2154</v>
      </c>
      <c r="N197" s="129" t="s">
        <v>2154</v>
      </c>
      <c r="P197" s="715"/>
      <c r="Q197" s="715"/>
      <c r="R197" s="715"/>
      <c r="S197" s="715"/>
      <c r="T197" s="715"/>
      <c r="U197" s="715"/>
      <c r="V197" s="715"/>
      <c r="W197" s="721"/>
      <c r="X197" s="717"/>
      <c r="Y197" s="452">
        <v>0.54119875888000002</v>
      </c>
      <c r="Z197" s="716"/>
      <c r="AA197" s="713"/>
      <c r="AB197" s="228" t="s">
        <v>45</v>
      </c>
      <c r="AC197" s="228" t="s">
        <v>45</v>
      </c>
    </row>
    <row r="198" spans="1:29" hidden="1" outlineLevel="1">
      <c r="B198" s="118"/>
      <c r="C198" s="117" t="str">
        <f>$C$45&amp;" - "&amp;Lists!B75</f>
        <v>Electricity - NYUP (NPCC Upstate NY)</v>
      </c>
      <c r="D198" s="126" t="str">
        <f t="shared" si="32"/>
        <v>kWh</v>
      </c>
      <c r="E198" s="452">
        <f t="shared" si="33"/>
        <v>0.11528947864</v>
      </c>
      <c r="F198" s="123" t="str">
        <f t="shared" si="34"/>
        <v>EPA</v>
      </c>
      <c r="G198" s="98"/>
      <c r="H198" s="98"/>
      <c r="I198" s="98"/>
      <c r="J198" s="377">
        <v>0.1</v>
      </c>
      <c r="K198" s="129" t="s">
        <v>2154</v>
      </c>
      <c r="L198" s="129" t="s">
        <v>2154</v>
      </c>
      <c r="M198" s="129" t="s">
        <v>2154</v>
      </c>
      <c r="N198" s="129" t="s">
        <v>2154</v>
      </c>
      <c r="P198" s="715"/>
      <c r="Q198" s="715"/>
      <c r="R198" s="715"/>
      <c r="S198" s="715"/>
      <c r="T198" s="715"/>
      <c r="U198" s="715"/>
      <c r="V198" s="715"/>
      <c r="W198" s="721"/>
      <c r="X198" s="717"/>
      <c r="Y198" s="452">
        <v>0.11528947864</v>
      </c>
      <c r="Z198" s="716"/>
      <c r="AA198" s="713"/>
      <c r="AB198" s="228" t="s">
        <v>45</v>
      </c>
      <c r="AC198" s="228" t="s">
        <v>45</v>
      </c>
    </row>
    <row r="199" spans="1:29" hidden="1" outlineLevel="1">
      <c r="A199" s="116">
        <f t="shared" ref="A199:A217" ca="1" si="35">IF(ISBLANK(H199),OFFSET(A199,-1,0),OFFSET(A199,-1,0)+1)</f>
        <v>0</v>
      </c>
      <c r="B199" s="118"/>
      <c r="C199" s="117" t="str">
        <f>$C$45&amp;" - "&amp;Lists!B76</f>
        <v>Electricity - RFCE (RFC East)</v>
      </c>
      <c r="D199" s="126" t="str">
        <f t="shared" si="32"/>
        <v>kWh</v>
      </c>
      <c r="E199" s="452">
        <f t="shared" si="33"/>
        <v>0.32656356040000006</v>
      </c>
      <c r="F199" s="123" t="str">
        <f t="shared" si="34"/>
        <v>EPA</v>
      </c>
      <c r="G199" s="98"/>
      <c r="H199" s="98"/>
      <c r="I199" s="98"/>
      <c r="J199" s="377">
        <v>0.1</v>
      </c>
      <c r="K199" s="129" t="s">
        <v>2154</v>
      </c>
      <c r="L199" s="129" t="s">
        <v>2154</v>
      </c>
      <c r="M199" s="129" t="s">
        <v>2154</v>
      </c>
      <c r="N199" s="129" t="s">
        <v>2154</v>
      </c>
      <c r="P199" s="715"/>
      <c r="Q199" s="715"/>
      <c r="R199" s="715"/>
      <c r="S199" s="715"/>
      <c r="T199" s="715"/>
      <c r="U199" s="715"/>
      <c r="V199" s="715"/>
      <c r="W199" s="721"/>
      <c r="X199" s="717"/>
      <c r="Y199" s="452">
        <v>0.32656356040000006</v>
      </c>
      <c r="Z199" s="716"/>
      <c r="AA199" s="713"/>
      <c r="AB199" s="228" t="s">
        <v>45</v>
      </c>
      <c r="AC199" s="228" t="s">
        <v>45</v>
      </c>
    </row>
    <row r="200" spans="1:29" hidden="1" outlineLevel="1">
      <c r="A200" s="116">
        <f t="shared" ca="1" si="35"/>
        <v>0</v>
      </c>
      <c r="B200" s="118"/>
      <c r="C200" s="117" t="str">
        <f>$C$45&amp;" - "&amp;Lists!B77</f>
        <v>Electricity - RFCM (RFC Michigan)</v>
      </c>
      <c r="D200" s="126" t="str">
        <f t="shared" si="32"/>
        <v>kWh</v>
      </c>
      <c r="E200" s="452">
        <f t="shared" si="33"/>
        <v>0.59930389407999984</v>
      </c>
      <c r="F200" s="123" t="str">
        <f t="shared" si="34"/>
        <v>EPA</v>
      </c>
      <c r="G200" s="98"/>
      <c r="H200" s="98"/>
      <c r="I200" s="98"/>
      <c r="J200" s="377">
        <v>0.1</v>
      </c>
      <c r="K200" s="129" t="s">
        <v>2154</v>
      </c>
      <c r="L200" s="129" t="s">
        <v>2154</v>
      </c>
      <c r="M200" s="129" t="s">
        <v>2154</v>
      </c>
      <c r="N200" s="129" t="s">
        <v>2154</v>
      </c>
      <c r="P200" s="715"/>
      <c r="Q200" s="715"/>
      <c r="R200" s="715"/>
      <c r="S200" s="715"/>
      <c r="T200" s="715"/>
      <c r="U200" s="715"/>
      <c r="V200" s="715"/>
      <c r="W200" s="721"/>
      <c r="X200" s="717"/>
      <c r="Y200" s="452">
        <v>0.59930389407999984</v>
      </c>
      <c r="Z200" s="716"/>
      <c r="AA200" s="713"/>
      <c r="AB200" s="228" t="s">
        <v>45</v>
      </c>
      <c r="AC200" s="228" t="s">
        <v>45</v>
      </c>
    </row>
    <row r="201" spans="1:29" hidden="1" outlineLevel="1">
      <c r="A201" s="116">
        <f t="shared" ca="1" si="35"/>
        <v>0</v>
      </c>
      <c r="B201" s="118"/>
      <c r="C201" s="117" t="str">
        <f>$C$45&amp;" - "&amp;Lists!B78</f>
        <v>Electricity - RFCW (RFC West)</v>
      </c>
      <c r="D201" s="126" t="str">
        <f t="shared" si="32"/>
        <v>kWh</v>
      </c>
      <c r="E201" s="452">
        <f t="shared" si="33"/>
        <v>0.53256917108000001</v>
      </c>
      <c r="F201" s="123" t="str">
        <f t="shared" si="34"/>
        <v>EPA</v>
      </c>
      <c r="G201" s="98"/>
      <c r="H201" s="98"/>
      <c r="I201" s="98"/>
      <c r="J201" s="377">
        <v>0.1</v>
      </c>
      <c r="K201" s="129" t="s">
        <v>2154</v>
      </c>
      <c r="L201" s="129" t="s">
        <v>2154</v>
      </c>
      <c r="M201" s="129" t="s">
        <v>2154</v>
      </c>
      <c r="N201" s="129" t="s">
        <v>2154</v>
      </c>
      <c r="P201" s="715"/>
      <c r="Q201" s="715"/>
      <c r="R201" s="715"/>
      <c r="S201" s="715"/>
      <c r="T201" s="715"/>
      <c r="U201" s="715"/>
      <c r="V201" s="715"/>
      <c r="W201" s="721"/>
      <c r="X201" s="717"/>
      <c r="Y201" s="452">
        <v>0.53256917108000001</v>
      </c>
      <c r="Z201" s="716"/>
      <c r="AA201" s="713"/>
      <c r="AB201" s="228" t="s">
        <v>45</v>
      </c>
      <c r="AC201" s="228" t="s">
        <v>45</v>
      </c>
    </row>
    <row r="202" spans="1:29" hidden="1" outlineLevel="1">
      <c r="A202" s="116">
        <f t="shared" ca="1" si="35"/>
        <v>0</v>
      </c>
      <c r="B202" s="118"/>
      <c r="C202" s="117" t="str">
        <f>$C$45&amp;" - "&amp;Lists!B79</f>
        <v>Electricity - RMPA (WECC Rockies)</v>
      </c>
      <c r="D202" s="126" t="str">
        <f t="shared" si="32"/>
        <v>kWh</v>
      </c>
      <c r="E202" s="452">
        <f t="shared" si="33"/>
        <v>0.58153215952000004</v>
      </c>
      <c r="F202" s="123" t="str">
        <f t="shared" si="34"/>
        <v>EPA</v>
      </c>
      <c r="G202" s="98"/>
      <c r="H202" s="98"/>
      <c r="I202" s="98"/>
      <c r="J202" s="377">
        <v>0.1</v>
      </c>
      <c r="K202" s="129" t="s">
        <v>2154</v>
      </c>
      <c r="L202" s="129" t="s">
        <v>2154</v>
      </c>
      <c r="M202" s="129" t="s">
        <v>2154</v>
      </c>
      <c r="N202" s="129" t="s">
        <v>2154</v>
      </c>
      <c r="P202" s="715"/>
      <c r="Q202" s="715"/>
      <c r="R202" s="715"/>
      <c r="S202" s="715"/>
      <c r="T202" s="715"/>
      <c r="U202" s="715"/>
      <c r="V202" s="715"/>
      <c r="W202" s="721"/>
      <c r="X202" s="717"/>
      <c r="Y202" s="452">
        <v>0.58153215952000004</v>
      </c>
      <c r="Z202" s="716"/>
      <c r="AA202" s="713"/>
      <c r="AB202" s="228" t="s">
        <v>45</v>
      </c>
      <c r="AC202" s="228" t="s">
        <v>45</v>
      </c>
    </row>
    <row r="203" spans="1:29" hidden="1" outlineLevel="1">
      <c r="A203" s="116">
        <f t="shared" ca="1" si="35"/>
        <v>0</v>
      </c>
      <c r="B203" s="118"/>
      <c r="C203" s="117" t="str">
        <f>$C$45&amp;" - "&amp;Lists!B80</f>
        <v>Electricity - SPNO (SPP North)</v>
      </c>
      <c r="D203" s="126" t="str">
        <f t="shared" si="32"/>
        <v>kWh</v>
      </c>
      <c r="E203" s="452">
        <f t="shared" si="33"/>
        <v>0.53146921048000006</v>
      </c>
      <c r="F203" s="123" t="str">
        <f t="shared" si="34"/>
        <v>EPA</v>
      </c>
      <c r="G203" s="98"/>
      <c r="H203" s="98"/>
      <c r="I203" s="98"/>
      <c r="J203" s="377">
        <v>0.1</v>
      </c>
      <c r="K203" s="129" t="s">
        <v>2154</v>
      </c>
      <c r="L203" s="129" t="s">
        <v>2154</v>
      </c>
      <c r="M203" s="129" t="s">
        <v>2154</v>
      </c>
      <c r="N203" s="129" t="s">
        <v>2154</v>
      </c>
      <c r="P203" s="715"/>
      <c r="Q203" s="715"/>
      <c r="R203" s="715"/>
      <c r="S203" s="715"/>
      <c r="T203" s="715"/>
      <c r="U203" s="715"/>
      <c r="V203" s="715"/>
      <c r="W203" s="721"/>
      <c r="X203" s="717"/>
      <c r="Y203" s="452">
        <v>0.53146921048000006</v>
      </c>
      <c r="Z203" s="716"/>
      <c r="AA203" s="713"/>
      <c r="AB203" s="228" t="s">
        <v>45</v>
      </c>
      <c r="AC203" s="228" t="s">
        <v>45</v>
      </c>
    </row>
    <row r="204" spans="1:29" hidden="1" outlineLevel="1">
      <c r="A204" s="116">
        <f t="shared" ca="1" si="35"/>
        <v>0</v>
      </c>
      <c r="B204" s="118"/>
      <c r="C204" s="117" t="str">
        <f>$C$45&amp;" - "&amp;Lists!B81</f>
        <v>Electricity - SPSO (SPP South)</v>
      </c>
      <c r="D204" s="126" t="str">
        <f t="shared" si="32"/>
        <v>kWh</v>
      </c>
      <c r="E204" s="452">
        <f t="shared" si="33"/>
        <v>0.53196135779999998</v>
      </c>
      <c r="F204" s="123" t="str">
        <f t="shared" si="34"/>
        <v>EPA</v>
      </c>
      <c r="G204" s="98"/>
      <c r="H204" s="98"/>
      <c r="I204" s="98"/>
      <c r="J204" s="377">
        <v>0.1</v>
      </c>
      <c r="K204" s="129" t="s">
        <v>2154</v>
      </c>
      <c r="L204" s="129" t="s">
        <v>2154</v>
      </c>
      <c r="M204" s="129" t="s">
        <v>2154</v>
      </c>
      <c r="N204" s="129" t="s">
        <v>2154</v>
      </c>
      <c r="P204" s="715"/>
      <c r="Q204" s="715"/>
      <c r="R204" s="715"/>
      <c r="S204" s="715"/>
      <c r="T204" s="715"/>
      <c r="U204" s="715"/>
      <c r="V204" s="715"/>
      <c r="W204" s="721"/>
      <c r="X204" s="717"/>
      <c r="Y204" s="452">
        <v>0.53196135779999998</v>
      </c>
      <c r="Z204" s="716"/>
      <c r="AA204" s="713"/>
      <c r="AB204" s="228" t="s">
        <v>45</v>
      </c>
      <c r="AC204" s="228" t="s">
        <v>45</v>
      </c>
    </row>
    <row r="205" spans="1:29" hidden="1" outlineLevel="1">
      <c r="A205" s="116">
        <f t="shared" ca="1" si="35"/>
        <v>0</v>
      </c>
      <c r="B205" s="118"/>
      <c r="C205" s="117" t="str">
        <f>$C$45&amp;" - "&amp;Lists!B82</f>
        <v>Electricity - SRMV (SERC Mississippi Valley)</v>
      </c>
      <c r="D205" s="126" t="str">
        <f t="shared" si="32"/>
        <v>kWh</v>
      </c>
      <c r="E205" s="452">
        <f t="shared" si="33"/>
        <v>0.38934976503999996</v>
      </c>
      <c r="F205" s="123" t="str">
        <f t="shared" si="34"/>
        <v>EPA</v>
      </c>
      <c r="G205" s="98"/>
      <c r="H205" s="98"/>
      <c r="I205" s="98"/>
      <c r="J205" s="377">
        <v>0.1</v>
      </c>
      <c r="K205" s="129" t="s">
        <v>2154</v>
      </c>
      <c r="L205" s="129" t="s">
        <v>2154</v>
      </c>
      <c r="M205" s="129" t="s">
        <v>2154</v>
      </c>
      <c r="N205" s="129" t="s">
        <v>2154</v>
      </c>
      <c r="P205" s="715"/>
      <c r="Q205" s="715"/>
      <c r="R205" s="715"/>
      <c r="S205" s="715"/>
      <c r="T205" s="715"/>
      <c r="U205" s="715"/>
      <c r="V205" s="715"/>
      <c r="W205" s="721"/>
      <c r="X205" s="717"/>
      <c r="Y205" s="452">
        <v>0.38934976503999996</v>
      </c>
      <c r="Z205" s="716"/>
      <c r="AA205" s="713"/>
      <c r="AB205" s="228" t="s">
        <v>45</v>
      </c>
      <c r="AC205" s="228" t="s">
        <v>45</v>
      </c>
    </row>
    <row r="206" spans="1:29" hidden="1" outlineLevel="1">
      <c r="A206" s="116">
        <f t="shared" ca="1" si="35"/>
        <v>0</v>
      </c>
      <c r="B206" s="118"/>
      <c r="C206" s="117" t="str">
        <f>$C$45&amp;" - "&amp;Lists!B83</f>
        <v>Electricity - SRMW (SERC Midwest)</v>
      </c>
      <c r="D206" s="126" t="str">
        <f t="shared" si="32"/>
        <v>kWh</v>
      </c>
      <c r="E206" s="452">
        <f>IF(F206=H206,G206,INDEX(P206:AD206,MATCH($F206,$P$6:$AD$6,0)))</f>
        <v>0.76063069275999995</v>
      </c>
      <c r="F206" s="123" t="str">
        <f t="shared" si="34"/>
        <v>EPA</v>
      </c>
      <c r="G206" s="98"/>
      <c r="H206" s="98"/>
      <c r="I206" s="98"/>
      <c r="J206" s="377">
        <v>0.1</v>
      </c>
      <c r="K206" s="129" t="s">
        <v>2154</v>
      </c>
      <c r="L206" s="129" t="s">
        <v>2154</v>
      </c>
      <c r="M206" s="129" t="s">
        <v>2154</v>
      </c>
      <c r="N206" s="129" t="s">
        <v>2154</v>
      </c>
      <c r="P206" s="715"/>
      <c r="Q206" s="715"/>
      <c r="R206" s="715"/>
      <c r="S206" s="715"/>
      <c r="T206" s="715"/>
      <c r="U206" s="715"/>
      <c r="V206" s="715"/>
      <c r="W206" s="721"/>
      <c r="X206" s="717"/>
      <c r="Y206" s="452">
        <v>0.76063069275999995</v>
      </c>
      <c r="Z206" s="716"/>
      <c r="AA206" s="713"/>
      <c r="AB206" s="228" t="s">
        <v>45</v>
      </c>
      <c r="AC206" s="228" t="s">
        <v>45</v>
      </c>
    </row>
    <row r="207" spans="1:29" hidden="1" outlineLevel="1">
      <c r="A207" s="116">
        <f t="shared" ca="1" si="35"/>
        <v>0</v>
      </c>
      <c r="B207" s="118"/>
      <c r="C207" s="117" t="str">
        <f>$C$45&amp;" - "&amp;Lists!B84</f>
        <v>Electricity - SRSO (SERC South)</v>
      </c>
      <c r="D207" s="126" t="str">
        <f t="shared" si="32"/>
        <v>kWh</v>
      </c>
      <c r="E207" s="452">
        <f>IF(F207=H207,G207,INDEX(P207:AD207,MATCH($F207,$P$6:$AD$6,0)))</f>
        <v>0.46879186792000005</v>
      </c>
      <c r="F207" s="123" t="str">
        <f t="shared" si="34"/>
        <v>EPA</v>
      </c>
      <c r="G207" s="98"/>
      <c r="H207" s="98"/>
      <c r="I207" s="98"/>
      <c r="J207" s="377">
        <v>0.1</v>
      </c>
      <c r="K207" s="129" t="s">
        <v>2154</v>
      </c>
      <c r="L207" s="129" t="s">
        <v>2154</v>
      </c>
      <c r="M207" s="129" t="s">
        <v>2154</v>
      </c>
      <c r="N207" s="129" t="s">
        <v>2154</v>
      </c>
      <c r="P207" s="715"/>
      <c r="Q207" s="715"/>
      <c r="R207" s="715"/>
      <c r="S207" s="715"/>
      <c r="T207" s="715"/>
      <c r="U207" s="715"/>
      <c r="V207" s="715"/>
      <c r="W207" s="721"/>
      <c r="X207" s="717"/>
      <c r="Y207" s="452">
        <v>0.46879186792000005</v>
      </c>
      <c r="Z207" s="716"/>
      <c r="AA207" s="713"/>
      <c r="AB207" s="228" t="s">
        <v>45</v>
      </c>
      <c r="AC207" s="228" t="s">
        <v>45</v>
      </c>
    </row>
    <row r="208" spans="1:29" hidden="1" outlineLevel="1">
      <c r="A208" s="116">
        <f t="shared" ca="1" si="35"/>
        <v>0</v>
      </c>
      <c r="B208" s="118"/>
      <c r="C208" s="117" t="str">
        <f>$C$45&amp;" - "&amp;Lists!B85</f>
        <v>Electricity - SRTV (SERC Tennessee Valley)</v>
      </c>
      <c r="D208" s="126" t="str">
        <f t="shared" si="32"/>
        <v>kWh</v>
      </c>
      <c r="E208" s="452">
        <f>IF(F208=H208,G208,INDEX(P208:AD208,MATCH($F208,$P$6:$AD$6,0)))</f>
        <v>0.47088292704000007</v>
      </c>
      <c r="F208" s="123" t="str">
        <f t="shared" si="34"/>
        <v>EPA</v>
      </c>
      <c r="G208" s="98"/>
      <c r="H208" s="98"/>
      <c r="I208" s="98"/>
      <c r="J208" s="377">
        <v>0.1</v>
      </c>
      <c r="K208" s="129" t="s">
        <v>2154</v>
      </c>
      <c r="L208" s="129" t="s">
        <v>2154</v>
      </c>
      <c r="M208" s="129" t="s">
        <v>2154</v>
      </c>
      <c r="N208" s="129" t="s">
        <v>2154</v>
      </c>
      <c r="P208" s="715"/>
      <c r="Q208" s="715"/>
      <c r="R208" s="715"/>
      <c r="S208" s="715"/>
      <c r="T208" s="715"/>
      <c r="U208" s="715"/>
      <c r="V208" s="715"/>
      <c r="W208" s="721"/>
      <c r="X208" s="717"/>
      <c r="Y208" s="452">
        <v>0.47088292704000007</v>
      </c>
      <c r="Z208" s="716"/>
      <c r="AA208" s="713"/>
      <c r="AB208" s="228" t="s">
        <v>45</v>
      </c>
      <c r="AC208" s="228" t="s">
        <v>45</v>
      </c>
    </row>
    <row r="209" spans="1:32" hidden="1" outlineLevel="1">
      <c r="A209" s="116">
        <f t="shared" ref="A209" ca="1" si="36">IF(ISBLANK(H209),OFFSET(A209,-1,0),OFFSET(A209,-1,0)+1)</f>
        <v>0</v>
      </c>
      <c r="B209" s="118"/>
      <c r="C209" s="117" t="str">
        <f>$C$45&amp;" - "&amp;Lists!B86</f>
        <v>Electricity - SRVC (SERC Virginia/Carolina)</v>
      </c>
      <c r="D209" s="126" t="str">
        <f t="shared" ref="D209" si="37">INDEX(AB209:AC209,MATCH($F$3,$AB$6:$AC$6,0))</f>
        <v>kWh</v>
      </c>
      <c r="E209" s="452">
        <f>IF(F209=H209,G209,INDEX(P209:AD209,MATCH($F209,$P$6:$AD$6,0)))</f>
        <v>0.33914847043999996</v>
      </c>
      <c r="F209" s="123" t="str">
        <f t="shared" ref="F209" si="38">IF(ISBLANK(H209),INDEX(K209:N209,$D$4),H209)</f>
        <v>EPA</v>
      </c>
      <c r="G209" s="98"/>
      <c r="H209" s="98"/>
      <c r="I209" s="98"/>
      <c r="J209" s="377">
        <v>0.1</v>
      </c>
      <c r="K209" s="129" t="s">
        <v>2154</v>
      </c>
      <c r="L209" s="129" t="s">
        <v>2154</v>
      </c>
      <c r="M209" s="129" t="s">
        <v>2154</v>
      </c>
      <c r="N209" s="129" t="s">
        <v>2154</v>
      </c>
      <c r="P209" s="715"/>
      <c r="Q209" s="715"/>
      <c r="R209" s="715"/>
      <c r="S209" s="715"/>
      <c r="T209" s="715"/>
      <c r="U209" s="715"/>
      <c r="V209" s="715"/>
      <c r="W209" s="721"/>
      <c r="X209" s="717"/>
      <c r="Y209" s="452">
        <v>0.33914847043999996</v>
      </c>
      <c r="Z209" s="716"/>
      <c r="AA209" s="713"/>
      <c r="AB209" s="228" t="s">
        <v>45</v>
      </c>
      <c r="AC209" s="228" t="s">
        <v>45</v>
      </c>
    </row>
    <row r="210" spans="1:32" hidden="1" outlineLevel="1">
      <c r="A210" s="116">
        <f t="shared" ca="1" si="35"/>
        <v>0</v>
      </c>
      <c r="B210" s="118"/>
      <c r="C210" s="117" t="str">
        <f>$C$45&amp;" - "&amp;Lists!B87</f>
        <v>Electricity - US Average</v>
      </c>
      <c r="D210" s="126" t="str">
        <f t="shared" si="32"/>
        <v>kWh</v>
      </c>
      <c r="E210" s="452">
        <f>IF(F210=H210,G210,INDEX(P210:AD210,MATCH($F210,$P$6:$AD$6,0)))</f>
        <v>0.43224142455999998</v>
      </c>
      <c r="F210" s="123" t="str">
        <f t="shared" si="34"/>
        <v>EPA</v>
      </c>
      <c r="G210" s="98"/>
      <c r="H210" s="98"/>
      <c r="I210" s="98"/>
      <c r="J210" s="377">
        <v>0.1</v>
      </c>
      <c r="K210" s="129" t="s">
        <v>2154</v>
      </c>
      <c r="L210" s="129" t="s">
        <v>2154</v>
      </c>
      <c r="M210" s="129" t="s">
        <v>2154</v>
      </c>
      <c r="N210" s="129" t="s">
        <v>2154</v>
      </c>
      <c r="P210" s="715"/>
      <c r="Q210" s="715"/>
      <c r="R210" s="715"/>
      <c r="S210" s="715"/>
      <c r="T210" s="715"/>
      <c r="U210" s="715"/>
      <c r="V210" s="715"/>
      <c r="W210" s="721"/>
      <c r="X210" s="717"/>
      <c r="Y210" s="452">
        <v>0.43224142455999998</v>
      </c>
      <c r="Z210" s="716"/>
      <c r="AA210" s="713"/>
      <c r="AB210" s="228" t="s">
        <v>45</v>
      </c>
      <c r="AC210" s="228" t="s">
        <v>45</v>
      </c>
    </row>
    <row r="211" spans="1:32" s="222" customFormat="1" ht="27.75" customHeight="1" collapsed="1">
      <c r="A211" s="116">
        <f t="shared" ca="1" si="35"/>
        <v>0</v>
      </c>
      <c r="C211" s="226" t="str">
        <f>Translate!$A$106</f>
        <v>Freight</v>
      </c>
      <c r="D211" s="223"/>
      <c r="E211" s="231"/>
      <c r="F211" s="223"/>
      <c r="G211" s="223"/>
      <c r="H211" s="223"/>
      <c r="I211" s="223"/>
      <c r="J211" s="376"/>
      <c r="K211" s="223"/>
      <c r="L211" s="223"/>
      <c r="M211" s="223"/>
      <c r="N211" s="223"/>
      <c r="O211" s="221"/>
      <c r="P211" s="719"/>
      <c r="Q211" s="719"/>
      <c r="R211" s="719"/>
      <c r="S211" s="719"/>
      <c r="T211" s="719"/>
      <c r="U211" s="719"/>
      <c r="V211" s="719"/>
      <c r="W211" s="719"/>
      <c r="X211" s="719"/>
      <c r="Y211" s="223"/>
      <c r="Z211" s="719"/>
      <c r="AA211" s="664"/>
      <c r="AB211" s="225"/>
      <c r="AC211" s="225"/>
      <c r="AE211" s="453" t="str">
        <f>Translate!$A$269</f>
        <v>DEFRA % weight laden</v>
      </c>
      <c r="AF211" s="454" t="str">
        <f>Translate!$A$273</f>
        <v>DEFRA average load (tonnes)</v>
      </c>
    </row>
    <row r="212" spans="1:32" ht="30">
      <c r="A212" s="116">
        <f t="shared" ca="1" si="35"/>
        <v>0</v>
      </c>
      <c r="B212" s="246"/>
      <c r="C212" s="117" t="str">
        <f>Translate!$A$203</f>
        <v>Diesel (100% mineral diesel)</v>
      </c>
      <c r="D212" s="126" t="str">
        <f t="shared" ref="D212:D226" si="39">INDEX(AB212:AC212,MATCH($F$3,$AB$6:$AC$6,0))</f>
        <v>liter</v>
      </c>
      <c r="E212" s="680">
        <f t="shared" ref="E212:E217" si="40">IF(F212=H212,G212,INDEX(P212:Z212,MATCH($F212,$P$6:$Z$6,0)))/IF($F$3=$AC$6,VLOOKUP(D212,$E$410:$G$418,3,0),1)</f>
        <v>3.3131400000000002</v>
      </c>
      <c r="F212" s="123" t="str">
        <f t="shared" ref="F212:F217" si="41">IF(ISBLANK(H212),INDEX(K212:N212,$D$4),H212)</f>
        <v>Defra 2019 (v1.3)</v>
      </c>
      <c r="G212" s="340"/>
      <c r="H212" s="340"/>
      <c r="I212" s="371"/>
      <c r="J212" s="121">
        <v>0.2</v>
      </c>
      <c r="K212" s="129" t="str">
        <f>Translate!$A$261</f>
        <v>Defra 2019 (v1.3)</v>
      </c>
      <c r="L212" s="606" t="str">
        <f>Translate!$A$532</f>
        <v>EPA</v>
      </c>
      <c r="M212" s="129" t="str">
        <f>Translate!$A$258</f>
        <v>Base carbone (v18.1)</v>
      </c>
      <c r="N212" s="129" t="str">
        <f>Translate!$A$261</f>
        <v>Defra 2019 (v1.3)</v>
      </c>
      <c r="P212" s="123">
        <v>3.16</v>
      </c>
      <c r="Q212" s="731">
        <f>2.68697+0.62617</f>
        <v>3.3131400000000002</v>
      </c>
      <c r="R212" s="715"/>
      <c r="S212" s="715"/>
      <c r="T212" s="715"/>
      <c r="U212" s="715"/>
      <c r="V212" s="715"/>
      <c r="W212" s="715"/>
      <c r="X212" s="715"/>
      <c r="Y212" s="123">
        <f>10.21/3.79</f>
        <v>2.6939313984168867</v>
      </c>
      <c r="Z212" s="715"/>
      <c r="AA212" s="118"/>
      <c r="AB212" s="117" t="str">
        <f>Translate!$A$238</f>
        <v>liter</v>
      </c>
      <c r="AC212" s="117" t="str">
        <f>Translate!$A$523</f>
        <v>gallon</v>
      </c>
      <c r="AE212" s="461">
        <v>0.46</v>
      </c>
      <c r="AF212" s="462">
        <v>1.0123216601815823</v>
      </c>
    </row>
    <row r="213" spans="1:32" ht="30">
      <c r="A213" s="116">
        <f t="shared" ca="1" si="35"/>
        <v>0</v>
      </c>
      <c r="B213" s="118"/>
      <c r="C213" s="117" t="str">
        <f>Translate!$A$204</f>
        <v>Road - Rigid &gt;3.5-7.5t</v>
      </c>
      <c r="D213" s="126" t="str">
        <f t="shared" si="39"/>
        <v>vkm</v>
      </c>
      <c r="E213" s="232">
        <f t="shared" si="40"/>
        <v>0.49041000000000001</v>
      </c>
      <c r="F213" s="123" t="str">
        <f t="shared" si="41"/>
        <v>Defra 2019 (v1.3)</v>
      </c>
      <c r="G213" s="340"/>
      <c r="H213" s="340"/>
      <c r="I213" s="371"/>
      <c r="J213" s="121">
        <v>0.2</v>
      </c>
      <c r="K213" s="129" t="str">
        <f>Translate!$A$261</f>
        <v>Defra 2019 (v1.3)</v>
      </c>
      <c r="L213" s="606" t="str">
        <f>Translate!$A$532</f>
        <v>EPA</v>
      </c>
      <c r="M213" s="129" t="str">
        <f>Translate!$A$258</f>
        <v>Base carbone (v18.1)</v>
      </c>
      <c r="N213" s="129" t="str">
        <f>Translate!$A$261</f>
        <v>Defra 2019 (v1.3)</v>
      </c>
      <c r="P213" s="732">
        <v>0.6008145603980577</v>
      </c>
      <c r="Q213" s="732">
        <v>0.49041000000000001</v>
      </c>
      <c r="R213" s="123" t="s">
        <v>2588</v>
      </c>
      <c r="S213" s="715"/>
      <c r="T213" s="715"/>
      <c r="U213" s="715"/>
      <c r="V213" s="715"/>
      <c r="W213" s="715"/>
      <c r="X213" s="715"/>
      <c r="Y213" s="123">
        <f>(0.461+0.012*0.03+0.01*0.265)/1.609</f>
        <v>0.28838408949658173</v>
      </c>
      <c r="Z213" s="715"/>
      <c r="AA213" s="118"/>
      <c r="AB213" s="117" t="str">
        <f>Translate!$A$239</f>
        <v>vkm</v>
      </c>
      <c r="AC213" s="117" t="str">
        <f>Translate!$A$524</f>
        <v>vehicle-mile</v>
      </c>
      <c r="AE213" s="461">
        <v>0.39</v>
      </c>
      <c r="AF213" s="462">
        <v>2.0598214285714285</v>
      </c>
    </row>
    <row r="214" spans="1:32" ht="30">
      <c r="A214" s="116">
        <f t="shared" ca="1" si="35"/>
        <v>0</v>
      </c>
      <c r="B214" s="118"/>
      <c r="C214" s="117" t="str">
        <f>Translate!$A$205</f>
        <v>Road - Rigid &gt;7.5-17t</v>
      </c>
      <c r="D214" s="126" t="str">
        <f t="shared" si="39"/>
        <v>vkm</v>
      </c>
      <c r="E214" s="232">
        <f t="shared" si="40"/>
        <v>0.59891000000000005</v>
      </c>
      <c r="F214" s="123" t="str">
        <f t="shared" si="41"/>
        <v>Defra 2019 (v1.3)</v>
      </c>
      <c r="G214" s="340"/>
      <c r="H214" s="340"/>
      <c r="I214" s="371"/>
      <c r="J214" s="121">
        <v>0.2</v>
      </c>
      <c r="K214" s="129" t="str">
        <f>Translate!$A$261</f>
        <v>Defra 2019 (v1.3)</v>
      </c>
      <c r="L214" s="606" t="str">
        <f>Translate!$A$532</f>
        <v>EPA</v>
      </c>
      <c r="M214" s="129" t="str">
        <f>Translate!$A$258</f>
        <v>Base carbone (v18.1)</v>
      </c>
      <c r="N214" s="129" t="str">
        <f>Translate!$A$261</f>
        <v>Defra 2019 (v1.3)</v>
      </c>
      <c r="P214" s="732">
        <v>0.97120235532193522</v>
      </c>
      <c r="Q214" s="732">
        <v>0.59891000000000005</v>
      </c>
      <c r="R214" s="715"/>
      <c r="S214" s="715"/>
      <c r="T214" s="715"/>
      <c r="U214" s="715"/>
      <c r="V214" s="715"/>
      <c r="W214" s="715"/>
      <c r="X214" s="715"/>
      <c r="Y214" s="123">
        <f>(1.387+0.013*0.03+0.033*0.265)/1.609</f>
        <v>0.86770354257302662</v>
      </c>
      <c r="Z214" s="715"/>
      <c r="AA214" s="118"/>
      <c r="AB214" s="117" t="str">
        <f>Translate!$A$239</f>
        <v>vkm</v>
      </c>
      <c r="AC214" s="117" t="str">
        <f>Translate!$A$524</f>
        <v>vehicle-mile</v>
      </c>
      <c r="AE214" s="461">
        <v>0.54136860950865318</v>
      </c>
      <c r="AF214" s="462">
        <v>5.0777799880644512</v>
      </c>
    </row>
    <row r="215" spans="1:32" ht="30">
      <c r="A215" s="116">
        <f t="shared" ca="1" si="35"/>
        <v>0</v>
      </c>
      <c r="B215" s="118"/>
      <c r="C215" s="117" t="str">
        <f>Translate!$A$206</f>
        <v>Road - Rigid &gt;17t</v>
      </c>
      <c r="D215" s="126" t="str">
        <f t="shared" si="39"/>
        <v>vkm</v>
      </c>
      <c r="E215" s="232">
        <f t="shared" si="40"/>
        <v>0.98243999999999998</v>
      </c>
      <c r="F215" s="123" t="str">
        <f t="shared" si="41"/>
        <v>Defra 2019 (v1.3)</v>
      </c>
      <c r="G215" s="340"/>
      <c r="H215" s="340"/>
      <c r="I215" s="371"/>
      <c r="J215" s="121">
        <v>0.2</v>
      </c>
      <c r="K215" s="129" t="str">
        <f>Translate!$A$261</f>
        <v>Defra 2019 (v1.3)</v>
      </c>
      <c r="L215" s="606" t="str">
        <f>Translate!$A$532</f>
        <v>EPA</v>
      </c>
      <c r="M215" s="129" t="str">
        <f>Translate!$A$258</f>
        <v>Base carbone (v18.1)</v>
      </c>
      <c r="N215" s="129" t="str">
        <f>Translate!$A$261</f>
        <v>Defra 2019 (v1.3)</v>
      </c>
      <c r="P215" s="732">
        <v>1.1080535851755859</v>
      </c>
      <c r="Q215" s="732">
        <v>0.98243999999999998</v>
      </c>
      <c r="R215" s="715"/>
      <c r="S215" s="715"/>
      <c r="T215" s="715"/>
      <c r="U215" s="715"/>
      <c r="V215" s="715"/>
      <c r="W215" s="715"/>
      <c r="X215" s="715"/>
      <c r="Y215" s="123">
        <f t="shared" ref="Y215:Y217" si="42">(1.387+0.013*0.03+0.033*0.265)/1.609</f>
        <v>0.86770354257302662</v>
      </c>
      <c r="Z215" s="715"/>
      <c r="AA215" s="118"/>
      <c r="AB215" s="117" t="str">
        <f>Translate!$A$239</f>
        <v>vkm</v>
      </c>
      <c r="AC215" s="117" t="str">
        <f>Translate!$A$524</f>
        <v>vehicle-mile</v>
      </c>
      <c r="AE215" s="461">
        <v>0.44</v>
      </c>
      <c r="AF215" s="462">
        <v>5.5104895104895109</v>
      </c>
    </row>
    <row r="216" spans="1:32" ht="30">
      <c r="A216" s="116">
        <f t="shared" ca="1" si="35"/>
        <v>0</v>
      </c>
      <c r="B216" s="118"/>
      <c r="C216" s="117" t="str">
        <f>Translate!$A$207</f>
        <v>Road - Articulated &gt;3.5-33t</v>
      </c>
      <c r="D216" s="126" t="str">
        <f t="shared" si="39"/>
        <v>vkm</v>
      </c>
      <c r="E216" s="232">
        <f t="shared" si="40"/>
        <v>0.78690000000000004</v>
      </c>
      <c r="F216" s="123" t="str">
        <f t="shared" si="41"/>
        <v>Defra 2019 (v1.3)</v>
      </c>
      <c r="G216" s="340"/>
      <c r="H216" s="340"/>
      <c r="I216" s="371"/>
      <c r="J216" s="121">
        <v>0.2</v>
      </c>
      <c r="K216" s="129" t="str">
        <f>Translate!$A$261</f>
        <v>Defra 2019 (v1.3)</v>
      </c>
      <c r="L216" s="606" t="str">
        <f>Translate!$A$532</f>
        <v>EPA</v>
      </c>
      <c r="M216" s="129" t="str">
        <f>Translate!$A$258</f>
        <v>Base carbone (v18.1)</v>
      </c>
      <c r="N216" s="129" t="str">
        <f>Translate!$A$261</f>
        <v>Defra 2019 (v1.3)</v>
      </c>
      <c r="P216" s="732">
        <v>1.2499655331523467</v>
      </c>
      <c r="Q216" s="732">
        <v>0.78690000000000004</v>
      </c>
      <c r="R216" s="715"/>
      <c r="S216" s="715"/>
      <c r="T216" s="715"/>
      <c r="U216" s="715"/>
      <c r="V216" s="715"/>
      <c r="W216" s="715"/>
      <c r="X216" s="715"/>
      <c r="Y216" s="123">
        <f t="shared" si="42"/>
        <v>0.86770354257302662</v>
      </c>
      <c r="Z216" s="715"/>
      <c r="AA216" s="118"/>
      <c r="AB216" s="117" t="str">
        <f>Translate!$A$239</f>
        <v>vkm</v>
      </c>
      <c r="AC216" s="117" t="str">
        <f>Translate!$A$524</f>
        <v>vehicle-mile</v>
      </c>
      <c r="AE216" s="461">
        <v>0.62</v>
      </c>
      <c r="AF216" s="462">
        <v>11.782273603082851</v>
      </c>
    </row>
    <row r="217" spans="1:32" ht="30">
      <c r="A217" s="116">
        <f t="shared" ca="1" si="35"/>
        <v>0</v>
      </c>
      <c r="B217" s="246"/>
      <c r="C217" s="117" t="str">
        <f>Translate!$A$208</f>
        <v>Road - Articulated &gt;33t</v>
      </c>
      <c r="D217" s="126" t="str">
        <f t="shared" si="39"/>
        <v>vkm</v>
      </c>
      <c r="E217" s="232">
        <f t="shared" si="40"/>
        <v>0.93694</v>
      </c>
      <c r="F217" s="123" t="str">
        <f t="shared" si="41"/>
        <v>Defra 2019 (v1.3)</v>
      </c>
      <c r="G217" s="340"/>
      <c r="H217" s="340"/>
      <c r="I217" s="371"/>
      <c r="J217" s="121">
        <v>0.2</v>
      </c>
      <c r="K217" s="129" t="str">
        <f>Translate!$A$261</f>
        <v>Defra 2019 (v1.3)</v>
      </c>
      <c r="L217" s="606" t="str">
        <f>Translate!$A$532</f>
        <v>EPA</v>
      </c>
      <c r="M217" s="129" t="str">
        <f>Translate!$A$258</f>
        <v>Base carbone (v18.1)</v>
      </c>
      <c r="N217" s="129" t="str">
        <f>Translate!$A$261</f>
        <v>Defra 2019 (v1.3)</v>
      </c>
      <c r="P217" s="732">
        <v>1.4170896906117274</v>
      </c>
      <c r="Q217" s="732">
        <v>0.93694</v>
      </c>
      <c r="R217" s="715"/>
      <c r="S217" s="715"/>
      <c r="T217" s="715"/>
      <c r="U217" s="715"/>
      <c r="V217" s="715"/>
      <c r="W217" s="715"/>
      <c r="X217" s="715"/>
      <c r="Y217" s="123">
        <f t="shared" si="42"/>
        <v>0.86770354257302662</v>
      </c>
      <c r="Z217" s="715"/>
      <c r="AA217" s="118"/>
      <c r="AB217" s="117" t="str">
        <f>Translate!$A$239</f>
        <v>vkm</v>
      </c>
      <c r="AC217" s="117" t="str">
        <f>Translate!$A$524</f>
        <v>vehicle-mile</v>
      </c>
    </row>
    <row r="218" spans="1:32" ht="15.75">
      <c r="A218" s="116">
        <f ca="1">IF(AND(ISBLANK(C218),ISBLANK(G218)),OFFSET(A218,-1,0),OFFSET(A218,-1,0)+1)</f>
        <v>0</v>
      </c>
      <c r="B218" s="118"/>
      <c r="C218" s="343"/>
      <c r="D218" s="343" t="str">
        <f t="shared" si="39"/>
        <v>vkm</v>
      </c>
      <c r="E218" s="229">
        <f>G218</f>
        <v>0</v>
      </c>
      <c r="F218" s="123">
        <f>H218</f>
        <v>0</v>
      </c>
      <c r="G218" s="276"/>
      <c r="H218" s="276"/>
      <c r="I218" s="371"/>
      <c r="J218" s="374"/>
      <c r="P218" s="718"/>
      <c r="Q218" s="718"/>
      <c r="R218" s="718"/>
      <c r="S218" s="718"/>
      <c r="T218" s="718"/>
      <c r="U218" s="718"/>
      <c r="V218" s="718"/>
      <c r="W218" s="718"/>
      <c r="X218" s="718"/>
      <c r="Y218" s="730"/>
      <c r="Z218" s="718"/>
      <c r="AB218" s="116" t="str">
        <f>Translate!$A$239</f>
        <v>vkm</v>
      </c>
    </row>
    <row r="219" spans="1:32" ht="15.75">
      <c r="A219" s="116">
        <f ca="1">IF(AND(ISBLANK(C219),ISBLANK(G219)),OFFSET(A219,-1,0),OFFSET(A219,-1,0)+1)</f>
        <v>0</v>
      </c>
      <c r="B219" s="118"/>
      <c r="C219" s="343"/>
      <c r="D219" s="343" t="str">
        <f t="shared" si="39"/>
        <v>vkm</v>
      </c>
      <c r="E219" s="229">
        <f>G219</f>
        <v>0</v>
      </c>
      <c r="F219" s="123">
        <f>H219</f>
        <v>0</v>
      </c>
      <c r="G219" s="276"/>
      <c r="H219" s="276"/>
      <c r="I219" s="371"/>
      <c r="J219" s="374"/>
      <c r="P219" s="718"/>
      <c r="Q219" s="718"/>
      <c r="R219" s="718"/>
      <c r="S219" s="718"/>
      <c r="T219" s="718"/>
      <c r="U219" s="718"/>
      <c r="V219" s="718"/>
      <c r="W219" s="718"/>
      <c r="X219" s="718"/>
      <c r="Y219" s="730"/>
      <c r="Z219" s="718"/>
      <c r="AB219" s="116" t="str">
        <f>Translate!$A$239</f>
        <v>vkm</v>
      </c>
    </row>
    <row r="220" spans="1:32" ht="30">
      <c r="A220" s="116">
        <f t="shared" ref="A220:A226" ca="1" si="43">IF(ISBLANK(H220),OFFSET(A220,-1,0),OFFSET(A220,-1,0)+1)</f>
        <v>0</v>
      </c>
      <c r="B220" s="118"/>
      <c r="C220" s="117" t="str">
        <f>Translate!$A$209</f>
        <v>Air - Domestic</v>
      </c>
      <c r="D220" s="126" t="str">
        <f t="shared" si="39"/>
        <v>tkm</v>
      </c>
      <c r="E220" s="232">
        <f t="shared" ref="E220:E226" si="44">IF(F220=H220,G220,INDEX(P220:Z220,MATCH($F220,$P$6:$Z$6,0)))/IF($F$3=$AC$6,VLOOKUP(D220,$E$410:$G$418,3,0),1)</f>
        <v>2.6427</v>
      </c>
      <c r="F220" s="123" t="str">
        <f t="shared" ref="F220:F226" si="45">IF(ISBLANK(H220),INDEX(K220:N220,$D$4),H220)</f>
        <v>Defra 2019 (v1.3)</v>
      </c>
      <c r="G220" s="340"/>
      <c r="H220" s="340"/>
      <c r="I220" s="371"/>
      <c r="J220" s="121">
        <v>0.3</v>
      </c>
      <c r="K220" s="129" t="str">
        <f>Translate!$A$261</f>
        <v>Defra 2019 (v1.3)</v>
      </c>
      <c r="L220" s="606" t="str">
        <f>Translate!$A$532</f>
        <v>EPA</v>
      </c>
      <c r="M220" s="129" t="str">
        <f>Translate!$A$258</f>
        <v>Base carbone (v18.1)</v>
      </c>
      <c r="N220" s="129" t="str">
        <f>Translate!$A$261</f>
        <v>Defra 2019 (v1.3)</v>
      </c>
      <c r="P220" s="731">
        <v>1.41</v>
      </c>
      <c r="Q220" s="733">
        <v>2.6427</v>
      </c>
      <c r="R220" s="123" t="s">
        <v>2587</v>
      </c>
      <c r="S220" s="720"/>
      <c r="T220" s="715"/>
      <c r="U220" s="715"/>
      <c r="V220" s="715"/>
      <c r="W220" s="715"/>
      <c r="X220" s="715"/>
      <c r="Y220" s="123">
        <f>(1.265+0.0389*0.265)/1.609</f>
        <v>0.79260938471100062</v>
      </c>
      <c r="Z220" s="715"/>
      <c r="AA220" s="118"/>
      <c r="AB220" s="117" t="str">
        <f>Translate!$A$240</f>
        <v>tkm</v>
      </c>
      <c r="AC220" s="117" t="str">
        <f>Translate!$A$525</f>
        <v>ton-mile</v>
      </c>
      <c r="AE220" s="117" t="str">
        <f>Translate!$A$270</f>
        <v>Factor 2 not taken into account</v>
      </c>
    </row>
    <row r="221" spans="1:32" ht="30">
      <c r="A221" s="116">
        <f t="shared" ca="1" si="43"/>
        <v>0</v>
      </c>
      <c r="B221" s="118"/>
      <c r="C221" s="117" t="str">
        <f>Translate!$A$210</f>
        <v>Air - Short-haul international</v>
      </c>
      <c r="D221" s="126" t="str">
        <f t="shared" si="39"/>
        <v>tkm</v>
      </c>
      <c r="E221" s="232">
        <f t="shared" si="44"/>
        <v>1.2580899999999999</v>
      </c>
      <c r="F221" s="123" t="str">
        <f t="shared" si="45"/>
        <v>Defra 2019 (v1.3)</v>
      </c>
      <c r="G221" s="340"/>
      <c r="H221" s="340"/>
      <c r="I221" s="371"/>
      <c r="J221" s="121">
        <v>0.3</v>
      </c>
      <c r="K221" s="129" t="str">
        <f>Translate!$A$261</f>
        <v>Defra 2019 (v1.3)</v>
      </c>
      <c r="L221" s="606" t="str">
        <f>Translate!$A$532</f>
        <v>EPA</v>
      </c>
      <c r="M221" s="129" t="str">
        <f>Translate!$A$258</f>
        <v>Base carbone (v18.1)</v>
      </c>
      <c r="N221" s="129" t="str">
        <f>Translate!$A$261</f>
        <v>Defra 2019 (v1.3)</v>
      </c>
      <c r="P221" s="731">
        <v>1.02</v>
      </c>
      <c r="Q221" s="731">
        <v>1.2580899999999999</v>
      </c>
      <c r="R221" s="715"/>
      <c r="S221" s="720"/>
      <c r="T221" s="715"/>
      <c r="U221" s="715"/>
      <c r="V221" s="715"/>
      <c r="W221" s="715"/>
      <c r="X221" s="715"/>
      <c r="Y221" s="123">
        <f>(1.265+0.0389*0.265)/1.609</f>
        <v>0.79260938471100062</v>
      </c>
      <c r="Z221" s="715"/>
      <c r="AA221" s="118"/>
      <c r="AB221" s="117" t="str">
        <f>Translate!$A$240</f>
        <v>tkm</v>
      </c>
      <c r="AC221" s="117" t="str">
        <f>Translate!$A$525</f>
        <v>ton-mile</v>
      </c>
      <c r="AE221" s="117" t="str">
        <f>Translate!$A$270</f>
        <v>Factor 2 not taken into account</v>
      </c>
    </row>
    <row r="222" spans="1:32" ht="30">
      <c r="A222" s="116">
        <f t="shared" ca="1" si="43"/>
        <v>0</v>
      </c>
      <c r="B222" s="118"/>
      <c r="C222" s="117" t="str">
        <f>Translate!$A$211</f>
        <v>Air - Long-haul international</v>
      </c>
      <c r="D222" s="126" t="str">
        <f t="shared" si="39"/>
        <v>tkm</v>
      </c>
      <c r="E222" s="232">
        <f t="shared" si="44"/>
        <v>0.59833000000000003</v>
      </c>
      <c r="F222" s="123" t="str">
        <f t="shared" si="45"/>
        <v>Defra 2019 (v1.3)</v>
      </c>
      <c r="G222" s="340"/>
      <c r="H222" s="340"/>
      <c r="I222" s="371"/>
      <c r="J222" s="121">
        <v>0.3</v>
      </c>
      <c r="K222" s="129" t="str">
        <f>Translate!$A$261</f>
        <v>Defra 2019 (v1.3)</v>
      </c>
      <c r="L222" s="606" t="str">
        <f>Translate!$A$532</f>
        <v>EPA</v>
      </c>
      <c r="M222" s="129" t="str">
        <f>Translate!$A$258</f>
        <v>Base carbone (v18.1)</v>
      </c>
      <c r="N222" s="129" t="str">
        <f>Translate!$A$261</f>
        <v>Defra 2019 (v1.3)</v>
      </c>
      <c r="P222" s="731">
        <v>0.83</v>
      </c>
      <c r="Q222" s="731">
        <v>0.59833000000000003</v>
      </c>
      <c r="R222" s="715"/>
      <c r="S222" s="720"/>
      <c r="T222" s="715"/>
      <c r="U222" s="715"/>
      <c r="V222" s="715"/>
      <c r="W222" s="715"/>
      <c r="X222" s="715"/>
      <c r="Y222" s="123">
        <f>(1.265+0.0389*0.265)/1.609</f>
        <v>0.79260938471100062</v>
      </c>
      <c r="Z222" s="715"/>
      <c r="AA222" s="118"/>
      <c r="AB222" s="117" t="str">
        <f>Translate!$A$240</f>
        <v>tkm</v>
      </c>
      <c r="AC222" s="117" t="str">
        <f>Translate!$A$525</f>
        <v>ton-mile</v>
      </c>
      <c r="AE222" s="117" t="str">
        <f>Translate!$A$270</f>
        <v>Factor 2 not taken into account</v>
      </c>
    </row>
    <row r="223" spans="1:32" ht="30">
      <c r="A223" s="116">
        <f t="shared" ca="1" si="43"/>
        <v>0</v>
      </c>
      <c r="B223" s="118"/>
      <c r="C223" s="117" t="str">
        <f>Translate!$A$212</f>
        <v xml:space="preserve">Maritime -  General cargo </v>
      </c>
      <c r="D223" s="126" t="str">
        <f t="shared" si="39"/>
        <v>tkm</v>
      </c>
      <c r="E223" s="232">
        <f t="shared" si="44"/>
        <v>1.3232000000000001E-2</v>
      </c>
      <c r="F223" s="123" t="str">
        <f t="shared" si="45"/>
        <v>Defra 2019 (v1.3)</v>
      </c>
      <c r="G223" s="340"/>
      <c r="H223" s="340"/>
      <c r="I223" s="371"/>
      <c r="J223" s="121">
        <v>0.3</v>
      </c>
      <c r="K223" s="129" t="str">
        <f>Translate!$A$261</f>
        <v>Defra 2019 (v1.3)</v>
      </c>
      <c r="L223" s="606" t="str">
        <f>Translate!$A$532</f>
        <v>EPA</v>
      </c>
      <c r="M223" s="129" t="str">
        <f>Translate!$A$258</f>
        <v>Base carbone (v18.1)</v>
      </c>
      <c r="N223" s="129" t="str">
        <f>Translate!$A$261</f>
        <v>Defra 2019 (v1.3)</v>
      </c>
      <c r="P223" s="734">
        <v>1.32E-2</v>
      </c>
      <c r="Q223" s="731">
        <v>1.3232000000000001E-2</v>
      </c>
      <c r="R223" s="720"/>
      <c r="S223" s="715"/>
      <c r="T223" s="715"/>
      <c r="U223" s="715"/>
      <c r="V223" s="715"/>
      <c r="W223" s="715"/>
      <c r="X223" s="715"/>
      <c r="Y223" s="123">
        <f>(0.04+0.0122*0.03+0.0017*0.265)/1.609</f>
        <v>2.5367619639527657E-2</v>
      </c>
      <c r="Z223" s="715"/>
      <c r="AA223" s="118"/>
      <c r="AB223" s="117" t="str">
        <f>Translate!$A$240</f>
        <v>tkm</v>
      </c>
      <c r="AC223" s="117" t="str">
        <f>Translate!$A$525</f>
        <v>ton-mile</v>
      </c>
    </row>
    <row r="224" spans="1:32" ht="30">
      <c r="A224" s="116">
        <f t="shared" ca="1" si="43"/>
        <v>0</v>
      </c>
      <c r="B224" s="118"/>
      <c r="C224" s="117" t="str">
        <f>Translate!$A$213</f>
        <v xml:space="preserve">Maritime -  Container </v>
      </c>
      <c r="D224" s="126" t="str">
        <f t="shared" si="39"/>
        <v>tkm</v>
      </c>
      <c r="E224" s="232">
        <f t="shared" si="44"/>
        <v>1.6142E-2</v>
      </c>
      <c r="F224" s="123" t="str">
        <f t="shared" si="45"/>
        <v>Defra 2019 (v1.3)</v>
      </c>
      <c r="G224" s="340"/>
      <c r="H224" s="340"/>
      <c r="I224" s="371"/>
      <c r="J224" s="121">
        <v>0.3</v>
      </c>
      <c r="K224" s="129" t="str">
        <f>Translate!$A$261</f>
        <v>Defra 2019 (v1.3)</v>
      </c>
      <c r="L224" s="606" t="str">
        <f>Translate!$A$532</f>
        <v>EPA</v>
      </c>
      <c r="M224" s="129" t="str">
        <f>Translate!$A$258</f>
        <v>Base carbone (v18.1)</v>
      </c>
      <c r="N224" s="129" t="str">
        <f>Translate!$A$261</f>
        <v>Defra 2019 (v1.3)</v>
      </c>
      <c r="P224" s="731">
        <v>1.41E-2</v>
      </c>
      <c r="Q224" s="731">
        <v>1.6142E-2</v>
      </c>
      <c r="R224" s="720"/>
      <c r="S224" s="715"/>
      <c r="T224" s="715"/>
      <c r="U224" s="715"/>
      <c r="V224" s="715"/>
      <c r="W224" s="715"/>
      <c r="X224" s="715"/>
      <c r="Y224" s="123">
        <f>(0.04+0.0122*0.03+0.0017*0.265)/1.609</f>
        <v>2.5367619639527657E-2</v>
      </c>
      <c r="Z224" s="715"/>
      <c r="AA224" s="118"/>
      <c r="AB224" s="117" t="str">
        <f>Translate!$A$240</f>
        <v>tkm</v>
      </c>
      <c r="AC224" s="117" t="str">
        <f>Translate!$A$525</f>
        <v>ton-mile</v>
      </c>
    </row>
    <row r="225" spans="1:31">
      <c r="A225" s="116">
        <f t="shared" ca="1" si="43"/>
        <v>0</v>
      </c>
      <c r="B225" s="118"/>
      <c r="C225" s="117" t="str">
        <f>Translate!$A$214</f>
        <v>Rail - Average freight - thermic</v>
      </c>
      <c r="D225" s="126" t="str">
        <f t="shared" si="39"/>
        <v>tkm</v>
      </c>
      <c r="E225" s="232">
        <f t="shared" si="44"/>
        <v>2.947271779141105E-2</v>
      </c>
      <c r="F225" s="123" t="str">
        <f t="shared" si="45"/>
        <v>EcoTransit</v>
      </c>
      <c r="G225" s="340"/>
      <c r="H225" s="340"/>
      <c r="I225" s="371"/>
      <c r="J225" s="121">
        <v>0.3</v>
      </c>
      <c r="K225" s="129" t="str">
        <f>Translate!$A$262</f>
        <v>EcoTransit</v>
      </c>
      <c r="L225" s="606" t="str">
        <f>Translate!$A$532</f>
        <v>EPA</v>
      </c>
      <c r="M225" s="129" t="str">
        <f>Translate!$A$258</f>
        <v>Base carbone (v18.1)</v>
      </c>
      <c r="N225" s="129" t="str">
        <f>Translate!$A$262</f>
        <v>EcoTransit</v>
      </c>
      <c r="P225" s="731">
        <v>2.8000000000000001E-2</v>
      </c>
      <c r="Q225" s="720"/>
      <c r="R225" s="715"/>
      <c r="S225" s="715"/>
      <c r="T225" s="715"/>
      <c r="U225" s="732">
        <f>87/9.78*E212/1000</f>
        <v>2.947271779141105E-2</v>
      </c>
      <c r="V225" s="715"/>
      <c r="W225" s="715"/>
      <c r="X225" s="715"/>
      <c r="Y225" s="123">
        <f>(0.021+0.0017*0.03+0.0005*0.265)/1.609</f>
        <v>1.3165630826600374E-2</v>
      </c>
      <c r="Z225" s="715"/>
      <c r="AA225" s="118"/>
      <c r="AB225" s="117" t="str">
        <f>Translate!$A$240</f>
        <v>tkm</v>
      </c>
      <c r="AC225" s="117" t="str">
        <f>Translate!$A$525</f>
        <v>ton-mile</v>
      </c>
      <c r="AE225" s="117" t="str">
        <f>Translate!$A$271</f>
        <v>EcoTransit + DEFRA</v>
      </c>
    </row>
    <row r="226" spans="1:31">
      <c r="A226" s="116">
        <f t="shared" ca="1" si="43"/>
        <v>0</v>
      </c>
      <c r="B226" s="118"/>
      <c r="C226" s="117" t="s">
        <v>2185</v>
      </c>
      <c r="D226" s="126" t="str">
        <f t="shared" si="39"/>
        <v>tkm</v>
      </c>
      <c r="E226" s="232">
        <f t="shared" si="44"/>
        <v>1.068433133842147E-2</v>
      </c>
      <c r="F226" s="123" t="str">
        <f t="shared" si="45"/>
        <v>EcoTransit</v>
      </c>
      <c r="G226" s="340"/>
      <c r="H226" s="340"/>
      <c r="I226" s="371"/>
      <c r="J226" s="121">
        <v>0.3</v>
      </c>
      <c r="K226" s="129" t="str">
        <f>Translate!$A$262</f>
        <v>EcoTransit</v>
      </c>
      <c r="L226" s="129" t="str">
        <f>Translate!$A$262</f>
        <v>EcoTransit</v>
      </c>
      <c r="M226" s="129" t="str">
        <f>Translate!$A$258</f>
        <v>Base carbone (v18.1)</v>
      </c>
      <c r="N226" s="129" t="str">
        <f>Translate!$A$262</f>
        <v>EcoTransit</v>
      </c>
      <c r="P226" s="732">
        <v>1.24E-3</v>
      </c>
      <c r="Q226" s="720"/>
      <c r="R226" s="715"/>
      <c r="S226" s="715"/>
      <c r="T226" s="715"/>
      <c r="U226" s="732">
        <f>VLOOKUP($C$45&amp;" - "&amp;MID(C226,LEN(Translate!$A$474)+1,LEN(C226)-LEN(Translate!$A$474)),$C$45:$E$211,3,0)/(1.08)*(1.03)*32/1000</f>
        <v>1.068433133842147E-2</v>
      </c>
      <c r="V226" s="715"/>
      <c r="W226" s="715"/>
      <c r="X226" s="715"/>
      <c r="Y226" s="715"/>
      <c r="Z226" s="715"/>
      <c r="AA226" s="682"/>
      <c r="AB226" s="117" t="str">
        <f>Translate!$A$240</f>
        <v>tkm</v>
      </c>
      <c r="AC226" s="117" t="str">
        <f>Translate!$A$525</f>
        <v>ton-mile</v>
      </c>
      <c r="AE226" s="117" t="str">
        <f>Translate!$A$272</f>
        <v>EcoTransit + IEA</v>
      </c>
    </row>
    <row r="227" spans="1:31" ht="15.75">
      <c r="A227" s="116">
        <f ca="1">IF(AND(ISBLANK(C227),ISBLANK(G227)),OFFSET(A227,-1,0),OFFSET(A227,-1,0)+1)</f>
        <v>0</v>
      </c>
      <c r="B227" s="118"/>
      <c r="C227" s="343"/>
      <c r="D227" s="343"/>
      <c r="E227" s="229">
        <f>G227</f>
        <v>0</v>
      </c>
      <c r="F227" s="123">
        <f>H227</f>
        <v>0</v>
      </c>
      <c r="G227" s="276"/>
      <c r="H227" s="276"/>
      <c r="I227" s="371"/>
      <c r="J227" s="374"/>
      <c r="P227" s="722"/>
      <c r="Q227" s="722"/>
      <c r="R227" s="718"/>
      <c r="S227" s="718"/>
      <c r="T227" s="718"/>
      <c r="U227" s="718"/>
      <c r="V227" s="718"/>
      <c r="W227" s="718"/>
      <c r="X227" s="718"/>
      <c r="Y227" s="718"/>
      <c r="Z227" s="718"/>
    </row>
    <row r="228" spans="1:31" ht="15.75">
      <c r="A228" s="116">
        <f ca="1">IF(AND(ISBLANK(C228),ISBLANK(G228)),OFFSET(A228,-1,0),OFFSET(A228,-1,0)+1)</f>
        <v>0</v>
      </c>
      <c r="B228" s="118"/>
      <c r="C228" s="343"/>
      <c r="D228" s="343"/>
      <c r="E228" s="229">
        <f>G228</f>
        <v>0</v>
      </c>
      <c r="F228" s="123">
        <f>H228</f>
        <v>0</v>
      </c>
      <c r="G228" s="276"/>
      <c r="H228" s="276"/>
      <c r="I228" s="371"/>
      <c r="J228" s="374"/>
      <c r="P228" s="722"/>
      <c r="Q228" s="722"/>
      <c r="R228" s="718"/>
      <c r="S228" s="718"/>
      <c r="T228" s="718"/>
      <c r="U228" s="718"/>
      <c r="V228" s="718"/>
      <c r="W228" s="718"/>
      <c r="X228" s="718"/>
      <c r="Y228" s="718"/>
      <c r="Z228" s="718"/>
    </row>
    <row r="229" spans="1:31" s="222" customFormat="1" ht="27.75" customHeight="1">
      <c r="A229" s="116">
        <f t="shared" ref="A229:A236" ca="1" si="46">IF(ISBLANK(H229),OFFSET(A229,-1,0),OFFSET(A229,-1,0)+1)</f>
        <v>0</v>
      </c>
      <c r="C229" s="226" t="str">
        <f>Translate!$A$108</f>
        <v>People's transportation</v>
      </c>
      <c r="D229" s="223"/>
      <c r="E229" s="231"/>
      <c r="F229" s="223"/>
      <c r="G229" s="223"/>
      <c r="H229" s="223"/>
      <c r="I229" s="223"/>
      <c r="J229" s="376"/>
      <c r="K229" s="223"/>
      <c r="L229" s="223"/>
      <c r="M229" s="223"/>
      <c r="N229" s="223"/>
      <c r="O229" s="221"/>
      <c r="P229" s="723"/>
      <c r="Q229" s="723"/>
      <c r="R229" s="719"/>
      <c r="S229" s="719"/>
      <c r="T229" s="719"/>
      <c r="U229" s="719"/>
      <c r="V229" s="719"/>
      <c r="W229" s="719"/>
      <c r="X229" s="719"/>
      <c r="Y229" s="719"/>
      <c r="Z229" s="719"/>
      <c r="AA229" s="664"/>
      <c r="AB229" s="225"/>
      <c r="AC229" s="225"/>
    </row>
    <row r="230" spans="1:31" ht="30">
      <c r="A230" s="116">
        <f t="shared" ca="1" si="46"/>
        <v>0</v>
      </c>
      <c r="B230" s="118"/>
      <c r="C230" s="117" t="str">
        <f>Translate!$A$215</f>
        <v>Diesel oil</v>
      </c>
      <c r="D230" s="126" t="str">
        <f t="shared" ref="D230:D236" si="47">INDEX(AB230:AC230,MATCH($F$3,$AB$6:$AC$6,0))</f>
        <v>liter</v>
      </c>
      <c r="E230" s="232">
        <f t="shared" ref="E230:E236" si="48">IF(F230=H230,G230,INDEX(P230:Z230,MATCH($F230,$P$6:$Z$6,0)))/IF($F$3=$AC$6,VLOOKUP(D230,$E$410:$G$418,3,0),1)</f>
        <v>3.2112000000000003</v>
      </c>
      <c r="F230" s="123" t="str">
        <f t="shared" ref="F230:F236" si="49">IF(ISBLANK(H230),INDEX(K230:N230,$D$4),H230)</f>
        <v>Defra 2019 (v1.3)</v>
      </c>
      <c r="G230" s="340"/>
      <c r="H230" s="340"/>
      <c r="I230" s="371"/>
      <c r="J230" s="121">
        <v>0.05</v>
      </c>
      <c r="K230" s="129" t="str">
        <f>Translate!$A$261</f>
        <v>Defra 2019 (v1.3)</v>
      </c>
      <c r="L230" s="606" t="str">
        <f>Translate!$A$532</f>
        <v>EPA</v>
      </c>
      <c r="M230" s="129" t="str">
        <f>Translate!$A$258</f>
        <v>Base carbone (v18.1)</v>
      </c>
      <c r="N230" s="129" t="str">
        <f>Translate!$A$261</f>
        <v>Defra 2019 (v1.3)</v>
      </c>
      <c r="P230" s="731">
        <v>3.16</v>
      </c>
      <c r="Q230" s="731">
        <f>2.59411+0.61709</f>
        <v>3.2112000000000003</v>
      </c>
      <c r="R230" s="715"/>
      <c r="S230" s="715"/>
      <c r="T230" s="715"/>
      <c r="U230" s="715"/>
      <c r="V230" s="715"/>
      <c r="W230" s="715"/>
      <c r="X230" s="715"/>
      <c r="Y230" s="123">
        <f>Y212</f>
        <v>2.6939313984168867</v>
      </c>
      <c r="Z230" s="715"/>
      <c r="AA230" s="118"/>
      <c r="AB230" s="117" t="str">
        <f>Translate!$A$238</f>
        <v>liter</v>
      </c>
      <c r="AC230" s="117" t="str">
        <f>Translate!$A$523</f>
        <v>gallon</v>
      </c>
    </row>
    <row r="231" spans="1:31" ht="30">
      <c r="A231" s="116">
        <f t="shared" ca="1" si="46"/>
        <v>0</v>
      </c>
      <c r="B231" s="246"/>
      <c r="C231" s="117" t="str">
        <f>Translate!$A$216</f>
        <v>Bus</v>
      </c>
      <c r="D231" s="126" t="str">
        <f t="shared" si="47"/>
        <v>pkm</v>
      </c>
      <c r="E231" s="232">
        <f t="shared" si="48"/>
        <v>0.12970999999999999</v>
      </c>
      <c r="F231" s="123" t="str">
        <f t="shared" si="49"/>
        <v>Defra 2019 (v1.3)</v>
      </c>
      <c r="G231" s="340"/>
      <c r="H231" s="340"/>
      <c r="I231" s="371"/>
      <c r="J231" s="121">
        <v>0.3</v>
      </c>
      <c r="K231" s="129" t="str">
        <f>Translate!$A$261</f>
        <v>Defra 2019 (v1.3)</v>
      </c>
      <c r="L231" s="606" t="str">
        <f>Translate!$A$532</f>
        <v>EPA</v>
      </c>
      <c r="M231" s="129" t="str">
        <f>Translate!$A$258</f>
        <v>Base carbone (v18.1)</v>
      </c>
      <c r="N231" s="129" t="str">
        <f>Translate!$A$261</f>
        <v>Defra 2019 (v1.3)</v>
      </c>
      <c r="P231" s="731">
        <v>0.10299999999999999</v>
      </c>
      <c r="Q231" s="731">
        <f>0.10471+0.025</f>
        <v>0.12970999999999999</v>
      </c>
      <c r="R231" s="715"/>
      <c r="S231" s="715"/>
      <c r="T231" s="715"/>
      <c r="U231" s="715"/>
      <c r="V231" s="715"/>
      <c r="W231" s="715"/>
      <c r="X231" s="715"/>
      <c r="Y231" s="123">
        <f>(0.053+0.0206*0.03+0.0009*0.265)/1.609</f>
        <v>3.3472032318210068E-2</v>
      </c>
      <c r="Z231" s="715"/>
      <c r="AA231" s="118"/>
      <c r="AB231" s="117" t="str">
        <f>Translate!$A$241</f>
        <v>pkm</v>
      </c>
      <c r="AC231" s="117" t="str">
        <f>Translate!$A$526</f>
        <v>passenger-mile</v>
      </c>
    </row>
    <row r="232" spans="1:31" ht="30">
      <c r="A232" s="116">
        <f t="shared" ca="1" si="46"/>
        <v>0</v>
      </c>
      <c r="B232" s="118"/>
      <c r="C232" s="117" t="str">
        <f>Translate!$A$217</f>
        <v>Car</v>
      </c>
      <c r="D232" s="126" t="str">
        <f t="shared" si="47"/>
        <v>vkm</v>
      </c>
      <c r="E232" s="232">
        <f t="shared" si="48"/>
        <v>0.21470999999999998</v>
      </c>
      <c r="F232" s="123" t="str">
        <f t="shared" si="49"/>
        <v>Defra 2019 (v1.3)</v>
      </c>
      <c r="G232" s="340"/>
      <c r="H232" s="340"/>
      <c r="I232" s="371"/>
      <c r="J232" s="121">
        <v>0.3</v>
      </c>
      <c r="K232" s="129" t="str">
        <f>Translate!$A$261</f>
        <v>Defra 2019 (v1.3)</v>
      </c>
      <c r="L232" s="606" t="str">
        <f>Translate!$A$532</f>
        <v>EPA</v>
      </c>
      <c r="M232" s="129" t="str">
        <f>Translate!$A$258</f>
        <v>Base carbone (v18.1)</v>
      </c>
      <c r="N232" s="129" t="str">
        <f>Translate!$A$261</f>
        <v>Defra 2019 (v1.3)</v>
      </c>
      <c r="P232" s="731">
        <v>0.193</v>
      </c>
      <c r="Q232" s="731">
        <f>0.17336+0.04135</f>
        <v>0.21470999999999998</v>
      </c>
      <c r="R232" s="715"/>
      <c r="S232" s="715"/>
      <c r="T232" s="715"/>
      <c r="U232" s="715"/>
      <c r="V232" s="715"/>
      <c r="W232" s="715"/>
      <c r="X232" s="715"/>
      <c r="Y232" s="123">
        <f>(0.335+0.009*0.03+0.008*0.265)/1.609</f>
        <v>0.20968924798011188</v>
      </c>
      <c r="Z232" s="715"/>
      <c r="AA232" s="118"/>
      <c r="AB232" s="117" t="str">
        <f>Translate!$A$239</f>
        <v>vkm</v>
      </c>
      <c r="AC232" s="117" t="str">
        <f>Translate!$A$524</f>
        <v>vehicle-mile</v>
      </c>
    </row>
    <row r="233" spans="1:31" ht="30">
      <c r="A233" s="116">
        <f t="shared" ca="1" si="46"/>
        <v>0</v>
      </c>
      <c r="B233" s="118"/>
      <c r="C233" s="117" t="str">
        <f>Translate!$A$218</f>
        <v>Train</v>
      </c>
      <c r="D233" s="126" t="str">
        <f t="shared" si="47"/>
        <v>pkm</v>
      </c>
      <c r="E233" s="232">
        <f t="shared" si="48"/>
        <v>4.9049999999999996E-2</v>
      </c>
      <c r="F233" s="123" t="str">
        <f t="shared" si="49"/>
        <v>Defra 2019 (v1.3)</v>
      </c>
      <c r="G233" s="340"/>
      <c r="H233" s="340"/>
      <c r="I233" s="371"/>
      <c r="J233" s="121">
        <v>0.3</v>
      </c>
      <c r="K233" s="129" t="str">
        <f>Translate!$A$261</f>
        <v>Defra 2019 (v1.3)</v>
      </c>
      <c r="L233" s="606" t="str">
        <f>Translate!$A$532</f>
        <v>EPA</v>
      </c>
      <c r="M233" s="129" t="str">
        <f>Translate!$A$258</f>
        <v>Base carbone (v18.1)</v>
      </c>
      <c r="N233" s="129" t="str">
        <f>Translate!$A$261</f>
        <v>Defra 2019 (v1.3)</v>
      </c>
      <c r="P233" s="732">
        <v>1.73E-3</v>
      </c>
      <c r="Q233" s="731">
        <f>0.04115+0.0079</f>
        <v>4.9049999999999996E-2</v>
      </c>
      <c r="R233" s="715"/>
      <c r="S233" s="715"/>
      <c r="T233" s="715"/>
      <c r="U233" s="715"/>
      <c r="V233" s="715"/>
      <c r="W233" s="715"/>
      <c r="X233" s="715"/>
      <c r="Y233" s="123">
        <f>(0.113+0.0092*0.03+0.0026*0.265)/1.609</f>
        <v>7.0829707893101307E-2</v>
      </c>
      <c r="Z233" s="715"/>
      <c r="AA233" s="118"/>
      <c r="AB233" s="117" t="str">
        <f>Translate!$A$241</f>
        <v>pkm</v>
      </c>
      <c r="AC233" s="117" t="str">
        <f>Translate!$A$526</f>
        <v>passenger-mile</v>
      </c>
    </row>
    <row r="234" spans="1:31" ht="30">
      <c r="A234" s="116">
        <f t="shared" ca="1" si="46"/>
        <v>0</v>
      </c>
      <c r="B234" s="118"/>
      <c r="C234" s="117" t="str">
        <f>Translate!$A$219</f>
        <v>Air passenger - Domestic</v>
      </c>
      <c r="D234" s="126" t="str">
        <f t="shared" si="47"/>
        <v>pkm</v>
      </c>
      <c r="E234" s="232">
        <f t="shared" si="48"/>
        <v>0.16274</v>
      </c>
      <c r="F234" s="123" t="str">
        <f t="shared" si="49"/>
        <v>Defra 2019 (v1.3)</v>
      </c>
      <c r="G234" s="340"/>
      <c r="H234" s="340"/>
      <c r="I234" s="371"/>
      <c r="J234" s="121">
        <v>0.3</v>
      </c>
      <c r="K234" s="129" t="str">
        <f>Translate!$A$261</f>
        <v>Defra 2019 (v1.3)</v>
      </c>
      <c r="L234" s="606" t="str">
        <f>Translate!$A$532</f>
        <v>EPA</v>
      </c>
      <c r="M234" s="129" t="str">
        <f>Translate!$A$258</f>
        <v>Base carbone (v18.1)</v>
      </c>
      <c r="N234" s="129" t="str">
        <f>Translate!$A$261</f>
        <v>Defra 2019 (v1.3)</v>
      </c>
      <c r="P234" s="731">
        <v>0.14099999999999999</v>
      </c>
      <c r="Q234" s="731">
        <f>0.13483+0.02791</f>
        <v>0.16274</v>
      </c>
      <c r="R234" s="715"/>
      <c r="S234" s="715"/>
      <c r="T234" s="715"/>
      <c r="U234" s="715"/>
      <c r="V234" s="715"/>
      <c r="W234" s="715"/>
      <c r="X234" s="715"/>
      <c r="Y234" s="123">
        <f>(0.215+0.0077*0.03+0.0068*0.265)/1.609</f>
        <v>0.13488688626476072</v>
      </c>
      <c r="Z234" s="715"/>
      <c r="AA234" s="118"/>
      <c r="AB234" s="117" t="str">
        <f>Translate!$A$241</f>
        <v>pkm</v>
      </c>
      <c r="AC234" s="117" t="str">
        <f>Translate!$A$526</f>
        <v>passenger-mile</v>
      </c>
    </row>
    <row r="235" spans="1:31" ht="30">
      <c r="A235" s="116">
        <f t="shared" ca="1" si="46"/>
        <v>0</v>
      </c>
      <c r="B235" s="118"/>
      <c r="C235" s="117" t="str">
        <f>Translate!$A$220</f>
        <v>Air passenger - Short-haul international</v>
      </c>
      <c r="D235" s="126" t="str">
        <f t="shared" si="47"/>
        <v>pkm</v>
      </c>
      <c r="E235" s="232">
        <f t="shared" si="48"/>
        <v>0.10103999999999999</v>
      </c>
      <c r="F235" s="123" t="str">
        <f t="shared" si="49"/>
        <v>Defra 2019 (v1.3)</v>
      </c>
      <c r="G235" s="340"/>
      <c r="H235" s="340"/>
      <c r="I235" s="371"/>
      <c r="J235" s="121">
        <v>0.3</v>
      </c>
      <c r="K235" s="129" t="str">
        <f>Translate!$A$261</f>
        <v>Defra 2019 (v1.3)</v>
      </c>
      <c r="L235" s="606" t="str">
        <f>Translate!$A$532</f>
        <v>EPA</v>
      </c>
      <c r="M235" s="129" t="str">
        <f>Translate!$A$258</f>
        <v>Base carbone (v18.1)</v>
      </c>
      <c r="N235" s="129" t="str">
        <f>Translate!$A$261</f>
        <v>Defra 2019 (v1.3)</v>
      </c>
      <c r="P235" s="731">
        <v>0.10199999999999999</v>
      </c>
      <c r="Q235" s="731">
        <f>0.0837+0.01734</f>
        <v>0.10103999999999999</v>
      </c>
      <c r="R235" s="715"/>
      <c r="S235" s="715"/>
      <c r="T235" s="715"/>
      <c r="U235" s="715"/>
      <c r="V235" s="715"/>
      <c r="W235" s="715"/>
      <c r="X235" s="715"/>
      <c r="Y235" s="123">
        <f>(0.133+0.0006*0.03+0.0042*0.265)/1.609</f>
        <v>8.3362958359229342E-2</v>
      </c>
      <c r="Z235" s="715"/>
      <c r="AA235" s="118"/>
      <c r="AB235" s="117" t="str">
        <f>Translate!$A$241</f>
        <v>pkm</v>
      </c>
      <c r="AC235" s="117" t="str">
        <f>Translate!$A$526</f>
        <v>passenger-mile</v>
      </c>
    </row>
    <row r="236" spans="1:31" ht="30">
      <c r="A236" s="116">
        <f t="shared" ca="1" si="46"/>
        <v>0</v>
      </c>
      <c r="B236" s="118"/>
      <c r="C236" s="117" t="str">
        <f>Translate!$A$221</f>
        <v>Air passenger - Long-haul international</v>
      </c>
      <c r="D236" s="126" t="str">
        <f t="shared" si="47"/>
        <v>pkm</v>
      </c>
      <c r="E236" s="232">
        <f t="shared" si="48"/>
        <v>0.12484000000000001</v>
      </c>
      <c r="F236" s="123" t="str">
        <f t="shared" si="49"/>
        <v>Defra 2019 (v1.3)</v>
      </c>
      <c r="G236" s="340"/>
      <c r="H236" s="340"/>
      <c r="I236" s="371"/>
      <c r="J236" s="121">
        <v>0.3</v>
      </c>
      <c r="K236" s="129" t="str">
        <f>Translate!$A$261</f>
        <v>Defra 2019 (v1.3)</v>
      </c>
      <c r="L236" s="606" t="str">
        <f>Translate!$A$532</f>
        <v>EPA</v>
      </c>
      <c r="M236" s="129" t="str">
        <f>Translate!$A$258</f>
        <v>Base carbone (v18.1)</v>
      </c>
      <c r="N236" s="129" t="str">
        <f>Translate!$A$261</f>
        <v>Defra 2019 (v1.3)</v>
      </c>
      <c r="P236" s="731">
        <v>8.3000000000000004E-2</v>
      </c>
      <c r="Q236" s="731">
        <f>0.10342+0.02142</f>
        <v>0.12484000000000001</v>
      </c>
      <c r="R236" s="715"/>
      <c r="S236" s="715"/>
      <c r="T236" s="715"/>
      <c r="U236" s="715"/>
      <c r="V236" s="715"/>
      <c r="W236" s="715"/>
      <c r="X236" s="715"/>
      <c r="Y236" s="123">
        <f>(0.165+0.0006*0.03+0.0052*0.265)/1.609</f>
        <v>0.10341578620261031</v>
      </c>
      <c r="Z236" s="715"/>
      <c r="AA236" s="118"/>
      <c r="AB236" s="117" t="str">
        <f>Translate!$A$241</f>
        <v>pkm</v>
      </c>
      <c r="AC236" s="117" t="str">
        <f>Translate!$A$526</f>
        <v>passenger-mile</v>
      </c>
    </row>
    <row r="237" spans="1:31" ht="15.75">
      <c r="A237" s="116">
        <f ca="1">IF(AND(ISBLANK(C237),ISBLANK(G237)),OFFSET(A237,-1,0),OFFSET(A237,-1,0)+1)</f>
        <v>0</v>
      </c>
      <c r="B237" s="118"/>
      <c r="C237" s="343"/>
      <c r="D237" s="343"/>
      <c r="E237" s="229">
        <f>G237</f>
        <v>0</v>
      </c>
      <c r="F237" s="123">
        <f>H237</f>
        <v>0</v>
      </c>
      <c r="G237" s="276"/>
      <c r="H237" s="276"/>
      <c r="I237" s="371"/>
      <c r="J237" s="374"/>
      <c r="P237" s="718"/>
      <c r="Q237" s="718"/>
      <c r="R237" s="718"/>
      <c r="S237" s="718"/>
      <c r="T237" s="718"/>
      <c r="U237" s="718"/>
      <c r="V237" s="718"/>
      <c r="W237" s="718"/>
      <c r="X237" s="718"/>
      <c r="Y237" s="718"/>
      <c r="Z237" s="718"/>
    </row>
    <row r="238" spans="1:31" ht="15.75">
      <c r="A238" s="116">
        <f ca="1">IF(AND(ISBLANK(C238),ISBLANK(G238)),OFFSET(A238,-1,0),OFFSET(A238,-1,0)+1)</f>
        <v>0</v>
      </c>
      <c r="B238" s="118"/>
      <c r="C238" s="343"/>
      <c r="D238" s="343"/>
      <c r="E238" s="229">
        <f>G238</f>
        <v>0</v>
      </c>
      <c r="F238" s="123">
        <f>H238</f>
        <v>0</v>
      </c>
      <c r="G238" s="276"/>
      <c r="H238" s="276"/>
      <c r="I238" s="371"/>
      <c r="J238" s="374"/>
      <c r="P238" s="718"/>
      <c r="Q238" s="718"/>
      <c r="R238" s="718"/>
      <c r="S238" s="718"/>
      <c r="T238" s="718"/>
      <c r="U238" s="718"/>
      <c r="V238" s="718"/>
      <c r="W238" s="718"/>
      <c r="X238" s="718"/>
      <c r="Y238" s="718"/>
      <c r="Z238" s="718"/>
    </row>
    <row r="239" spans="1:31" s="222" customFormat="1" ht="27.75" customHeight="1">
      <c r="A239" s="116">
        <f ca="1">IF(ISBLANK(H239),OFFSET(A239,-1,0),OFFSET(A239,-1,0)+1)</f>
        <v>0</v>
      </c>
      <c r="C239" s="226" t="str">
        <f>Translate!$A$109</f>
        <v>Assets</v>
      </c>
      <c r="D239" s="223"/>
      <c r="E239" s="231"/>
      <c r="F239" s="223"/>
      <c r="G239" s="223"/>
      <c r="H239" s="223"/>
      <c r="I239" s="223"/>
      <c r="J239" s="376"/>
      <c r="K239" s="223"/>
      <c r="L239" s="223"/>
      <c r="M239" s="223"/>
      <c r="N239" s="223"/>
      <c r="O239" s="221"/>
      <c r="P239" s="719"/>
      <c r="Q239" s="719"/>
      <c r="R239" s="719"/>
      <c r="S239" s="719"/>
      <c r="T239" s="719"/>
      <c r="U239" s="719"/>
      <c r="V239" s="719"/>
      <c r="W239" s="719"/>
      <c r="X239" s="719"/>
      <c r="Y239" s="719"/>
      <c r="Z239" s="719"/>
      <c r="AA239" s="664"/>
      <c r="AB239" s="225"/>
      <c r="AC239" s="225"/>
    </row>
    <row r="240" spans="1:31" ht="45">
      <c r="A240" s="116">
        <f ca="1">IF(ISBLANK(H240),OFFSET(A240,-1,0),OFFSET(A240,-1,0)+1)</f>
        <v>0</v>
      </c>
      <c r="B240" s="118"/>
      <c r="C240" s="117" t="str">
        <f>Translate!$A$222</f>
        <v>Machines</v>
      </c>
      <c r="D240" s="126" t="str">
        <f>INDEX(AB240:AC240,MATCH($F$3,$AB$6:$AC$6,0))</f>
        <v>t</v>
      </c>
      <c r="E240" s="232">
        <f>IF(F240=H240,G240,INDEX(P240:Z240,MATCH($F240,$P$6:$Z$6,0)))/IF($F$3=$AC$6,VLOOKUP(D240,$E$410:$G$418,3,0),1)</f>
        <v>3666.6666666666665</v>
      </c>
      <c r="F240" s="123" t="str">
        <f>IF(ISBLANK(H240),INDEX(K240:N240,$D$4),H240)</f>
        <v>Base carbone (v18.1)</v>
      </c>
      <c r="G240" s="340"/>
      <c r="H240" s="340"/>
      <c r="I240" s="371"/>
      <c r="J240" s="378">
        <v>0.5</v>
      </c>
      <c r="K240" s="129" t="str">
        <f>Translate!$A$258</f>
        <v>Base carbone (v18.1)</v>
      </c>
      <c r="L240" s="129" t="str">
        <f>Translate!$A$258</f>
        <v>Base carbone (v18.1)</v>
      </c>
      <c r="M240" s="129" t="str">
        <f>Translate!$A$258</f>
        <v>Base carbone (v18.1)</v>
      </c>
      <c r="N240" s="129" t="str">
        <f>Translate!$A$258</f>
        <v>Base carbone (v18.1)</v>
      </c>
      <c r="P240" s="123">
        <f>1000*44/12</f>
        <v>3666.6666666666665</v>
      </c>
      <c r="Q240" s="715"/>
      <c r="R240" s="715"/>
      <c r="S240" s="715"/>
      <c r="T240" s="715"/>
      <c r="U240" s="715"/>
      <c r="V240" s="715"/>
      <c r="W240" s="715"/>
      <c r="X240" s="715"/>
      <c r="Y240" s="715"/>
      <c r="Z240" s="714"/>
      <c r="AA240" s="682"/>
      <c r="AB240" s="117" t="str">
        <f>Translate!$A$101</f>
        <v>t</v>
      </c>
      <c r="AC240" s="117" t="str">
        <f>Translate!$A$520</f>
        <v>lb</v>
      </c>
    </row>
    <row r="241" spans="1:31">
      <c r="A241" s="116">
        <f ca="1">IF(ISBLANK(H241),OFFSET(A241,-1,0),OFFSET(A241,-1,0)+1)</f>
        <v>0</v>
      </c>
      <c r="B241" s="118"/>
      <c r="C241" s="117" t="str">
        <f>C26</f>
        <v>Steel sheets</v>
      </c>
      <c r="D241" s="126" t="str">
        <f>INDEX(AB241:AC241,MATCH($F$3,$AB$6:$AC$6,0))</f>
        <v>t</v>
      </c>
      <c r="E241" s="232">
        <f>IF(F241=H241,G241,INDEX(P241:Z241,MATCH($F241,$P$6:$Z$6,0)))/IF($F$3=$AC$6,VLOOKUP(D241,$E$410:$G$418,3,0),1)</f>
        <v>2164</v>
      </c>
      <c r="F241" s="117" t="str">
        <f>F26</f>
        <v>Ecoinvent v3.1</v>
      </c>
      <c r="G241" s="340"/>
      <c r="H241" s="340"/>
      <c r="I241" s="371"/>
      <c r="J241" s="117">
        <f>J26</f>
        <v>0.3</v>
      </c>
      <c r="K241" s="279" t="str">
        <f>K26</f>
        <v>Ecoinvent v3.1</v>
      </c>
      <c r="L241" s="279" t="str">
        <f>L26</f>
        <v>Ecoinvent v3.1</v>
      </c>
      <c r="M241" s="279" t="str">
        <f>M26</f>
        <v>Base carbone (v18.1)</v>
      </c>
      <c r="N241" s="279" t="str">
        <f>N26</f>
        <v>ICE V3</v>
      </c>
      <c r="P241" s="123">
        <f t="shared" ref="P241:Y241" si="50">P26</f>
        <v>2211</v>
      </c>
      <c r="Q241" s="123">
        <f t="shared" si="50"/>
        <v>0</v>
      </c>
      <c r="R241" s="123">
        <f t="shared" si="50"/>
        <v>0</v>
      </c>
      <c r="S241" s="123">
        <f t="shared" si="50"/>
        <v>2164</v>
      </c>
      <c r="T241" s="123">
        <f t="shared" si="50"/>
        <v>3060</v>
      </c>
      <c r="U241" s="123">
        <f t="shared" si="50"/>
        <v>0</v>
      </c>
      <c r="V241" s="123">
        <f t="shared" si="50"/>
        <v>0</v>
      </c>
      <c r="W241" s="123">
        <f t="shared" si="50"/>
        <v>0</v>
      </c>
      <c r="X241" s="123">
        <f t="shared" si="50"/>
        <v>0</v>
      </c>
      <c r="Y241" s="123">
        <f t="shared" si="50"/>
        <v>0</v>
      </c>
      <c r="Z241" s="123"/>
      <c r="AA241" s="682"/>
      <c r="AB241" s="117" t="str">
        <f>AB26</f>
        <v>t</v>
      </c>
      <c r="AC241" s="117" t="str">
        <f>AC26</f>
        <v>lb</v>
      </c>
    </row>
    <row r="242" spans="1:31" ht="15.75">
      <c r="A242" s="116">
        <f ca="1">IF(AND(ISBLANK(C242),ISBLANK(G242)),OFFSET(A242,-1,0),OFFSET(A242,-1,0)+1)</f>
        <v>0</v>
      </c>
      <c r="B242" s="118"/>
      <c r="C242" s="343"/>
      <c r="D242" s="343"/>
      <c r="E242" s="229">
        <f>G242</f>
        <v>0</v>
      </c>
      <c r="F242" s="123">
        <f>H242</f>
        <v>0</v>
      </c>
      <c r="G242" s="276"/>
      <c r="H242" s="276"/>
      <c r="I242" s="371"/>
      <c r="J242" s="374"/>
    </row>
    <row r="243" spans="1:31" ht="15.75">
      <c r="A243" s="116">
        <f ca="1">IF(AND(ISBLANK(C243),ISBLANK(G243)),OFFSET(A243,-1,0),OFFSET(A243,-1,0)+1)</f>
        <v>0</v>
      </c>
      <c r="B243" s="118"/>
      <c r="C243" s="343"/>
      <c r="D243" s="343"/>
      <c r="E243" s="229">
        <f>G243</f>
        <v>0</v>
      </c>
      <c r="F243" s="123">
        <f>H243</f>
        <v>0</v>
      </c>
      <c r="G243" s="276"/>
      <c r="H243" s="276"/>
      <c r="I243" s="371"/>
      <c r="J243" s="374"/>
    </row>
    <row r="244" spans="1:31">
      <c r="A244" s="116">
        <f ca="1">IF(ISBLANK(H244),OFFSET(A244,-1,0),OFFSET(A244,-1,0)+1)</f>
        <v>0</v>
      </c>
      <c r="B244" s="118"/>
      <c r="E244" s="230"/>
    </row>
    <row r="250" spans="1:31" s="222" customFormat="1" ht="27.75" customHeight="1">
      <c r="A250" s="116"/>
      <c r="C250" s="328">
        <f ca="1">MAX(A8:A244)</f>
        <v>0</v>
      </c>
      <c r="D250" s="329" t="str">
        <f>Translate!$A$153</f>
        <v>added emission factors</v>
      </c>
      <c r="E250" s="231"/>
      <c r="F250" s="223"/>
      <c r="G250" s="223"/>
      <c r="H250" s="223"/>
      <c r="I250" s="223"/>
      <c r="J250" s="223"/>
      <c r="K250" s="223"/>
      <c r="L250" s="223"/>
      <c r="M250" s="451"/>
      <c r="N250" s="225"/>
      <c r="O250" s="225"/>
      <c r="P250" s="225"/>
      <c r="Q250" s="225"/>
      <c r="R250" s="225"/>
      <c r="S250" s="225"/>
      <c r="T250" s="225"/>
      <c r="U250" s="225"/>
      <c r="V250" s="225"/>
      <c r="W250" s="225"/>
      <c r="X250" s="225"/>
      <c r="Y250" s="225"/>
      <c r="Z250" s="225"/>
      <c r="AA250" s="225"/>
      <c r="AB250" s="225"/>
      <c r="AC250" s="225"/>
      <c r="AD250" s="225"/>
      <c r="AE250" s="225"/>
    </row>
    <row r="251" spans="1:31" outlineLevel="1">
      <c r="C251" s="116">
        <v>1</v>
      </c>
      <c r="D251" s="116" t="str">
        <f t="shared" ref="D251:D280" ca="1" si="51">IF($C251&gt;$C$250,"",VLOOKUP($C251,$A$8:$H$244,3,0))</f>
        <v/>
      </c>
      <c r="E251" s="116" t="str">
        <f t="shared" ref="E251:E280" ca="1" si="52">IF($C251&gt;$C$250,"",VLOOKUP($C251,$A$8:$H$244,7,0))</f>
        <v/>
      </c>
      <c r="F251" s="116" t="str">
        <f t="shared" ref="F251:F280" ca="1" si="53">IF($C251&gt;$C$250,"","kgCO2/"&amp;VLOOKUP($C251,$A$8:$H$244,4,0))</f>
        <v/>
      </c>
      <c r="G251" s="116" t="str">
        <f t="shared" ref="G251:G280" ca="1" si="54">IF($C251&gt;$C$250,"",VLOOKUP($C251,$A$8:$H$244,8,0))</f>
        <v/>
      </c>
    </row>
    <row r="252" spans="1:31" outlineLevel="1">
      <c r="C252" s="116">
        <f>C251+1</f>
        <v>2</v>
      </c>
      <c r="D252" s="116" t="str">
        <f t="shared" ca="1" si="51"/>
        <v/>
      </c>
      <c r="E252" s="116" t="str">
        <f t="shared" ca="1" si="52"/>
        <v/>
      </c>
      <c r="F252" s="116" t="str">
        <f t="shared" ca="1" si="53"/>
        <v/>
      </c>
      <c r="G252" s="116" t="str">
        <f t="shared" ca="1" si="54"/>
        <v/>
      </c>
    </row>
    <row r="253" spans="1:31" outlineLevel="1">
      <c r="C253" s="116">
        <f t="shared" ref="C253:C280" si="55">C252+1</f>
        <v>3</v>
      </c>
      <c r="D253" s="116" t="str">
        <f t="shared" ca="1" si="51"/>
        <v/>
      </c>
      <c r="E253" s="116" t="str">
        <f t="shared" ca="1" si="52"/>
        <v/>
      </c>
      <c r="F253" s="116" t="str">
        <f t="shared" ca="1" si="53"/>
        <v/>
      </c>
      <c r="G253" s="116" t="str">
        <f t="shared" ca="1" si="54"/>
        <v/>
      </c>
    </row>
    <row r="254" spans="1:31" outlineLevel="1">
      <c r="C254" s="116">
        <f t="shared" si="55"/>
        <v>4</v>
      </c>
      <c r="D254" s="116" t="str">
        <f t="shared" ca="1" si="51"/>
        <v/>
      </c>
      <c r="E254" s="116" t="str">
        <f t="shared" ca="1" si="52"/>
        <v/>
      </c>
      <c r="F254" s="116" t="str">
        <f t="shared" ca="1" si="53"/>
        <v/>
      </c>
      <c r="G254" s="116" t="str">
        <f t="shared" ca="1" si="54"/>
        <v/>
      </c>
    </row>
    <row r="255" spans="1:31" outlineLevel="1">
      <c r="C255" s="116">
        <f t="shared" si="55"/>
        <v>5</v>
      </c>
      <c r="D255" s="116" t="str">
        <f t="shared" ca="1" si="51"/>
        <v/>
      </c>
      <c r="E255" s="116" t="str">
        <f t="shared" ca="1" si="52"/>
        <v/>
      </c>
      <c r="F255" s="116" t="str">
        <f t="shared" ca="1" si="53"/>
        <v/>
      </c>
      <c r="G255" s="116" t="str">
        <f t="shared" ca="1" si="54"/>
        <v/>
      </c>
    </row>
    <row r="256" spans="1:31" outlineLevel="1">
      <c r="C256" s="116">
        <f t="shared" si="55"/>
        <v>6</v>
      </c>
      <c r="D256" s="116" t="str">
        <f t="shared" ca="1" si="51"/>
        <v/>
      </c>
      <c r="E256" s="116" t="str">
        <f t="shared" ca="1" si="52"/>
        <v/>
      </c>
      <c r="F256" s="116" t="str">
        <f t="shared" ca="1" si="53"/>
        <v/>
      </c>
      <c r="G256" s="116" t="str">
        <f t="shared" ca="1" si="54"/>
        <v/>
      </c>
    </row>
    <row r="257" spans="3:7" outlineLevel="1">
      <c r="C257" s="116">
        <f t="shared" si="55"/>
        <v>7</v>
      </c>
      <c r="D257" s="116" t="str">
        <f t="shared" ca="1" si="51"/>
        <v/>
      </c>
      <c r="E257" s="116" t="str">
        <f t="shared" ca="1" si="52"/>
        <v/>
      </c>
      <c r="F257" s="116" t="str">
        <f t="shared" ca="1" si="53"/>
        <v/>
      </c>
      <c r="G257" s="116" t="str">
        <f t="shared" ca="1" si="54"/>
        <v/>
      </c>
    </row>
    <row r="258" spans="3:7" outlineLevel="1">
      <c r="C258" s="116">
        <f t="shared" si="55"/>
        <v>8</v>
      </c>
      <c r="D258" s="116" t="str">
        <f t="shared" ca="1" si="51"/>
        <v/>
      </c>
      <c r="E258" s="116" t="str">
        <f t="shared" ca="1" si="52"/>
        <v/>
      </c>
      <c r="F258" s="116" t="str">
        <f t="shared" ca="1" si="53"/>
        <v/>
      </c>
      <c r="G258" s="116" t="str">
        <f t="shared" ca="1" si="54"/>
        <v/>
      </c>
    </row>
    <row r="259" spans="3:7" outlineLevel="1">
      <c r="C259" s="116">
        <f t="shared" si="55"/>
        <v>9</v>
      </c>
      <c r="D259" s="116" t="str">
        <f t="shared" ca="1" si="51"/>
        <v/>
      </c>
      <c r="E259" s="116" t="str">
        <f t="shared" ca="1" si="52"/>
        <v/>
      </c>
      <c r="F259" s="116" t="str">
        <f t="shared" ca="1" si="53"/>
        <v/>
      </c>
      <c r="G259" s="116" t="str">
        <f t="shared" ca="1" si="54"/>
        <v/>
      </c>
    </row>
    <row r="260" spans="3:7" outlineLevel="1">
      <c r="C260" s="116">
        <f t="shared" si="55"/>
        <v>10</v>
      </c>
      <c r="D260" s="116" t="str">
        <f t="shared" ca="1" si="51"/>
        <v/>
      </c>
      <c r="E260" s="116" t="str">
        <f t="shared" ca="1" si="52"/>
        <v/>
      </c>
      <c r="F260" s="116" t="str">
        <f t="shared" ca="1" si="53"/>
        <v/>
      </c>
      <c r="G260" s="116" t="str">
        <f t="shared" ca="1" si="54"/>
        <v/>
      </c>
    </row>
    <row r="261" spans="3:7" outlineLevel="1">
      <c r="C261" s="116">
        <f t="shared" si="55"/>
        <v>11</v>
      </c>
      <c r="D261" s="116" t="str">
        <f t="shared" ca="1" si="51"/>
        <v/>
      </c>
      <c r="E261" s="116" t="str">
        <f t="shared" ca="1" si="52"/>
        <v/>
      </c>
      <c r="F261" s="116" t="str">
        <f t="shared" ca="1" si="53"/>
        <v/>
      </c>
      <c r="G261" s="116" t="str">
        <f t="shared" ca="1" si="54"/>
        <v/>
      </c>
    </row>
    <row r="262" spans="3:7" outlineLevel="1">
      <c r="C262" s="116">
        <f t="shared" si="55"/>
        <v>12</v>
      </c>
      <c r="D262" s="116" t="str">
        <f t="shared" ca="1" si="51"/>
        <v/>
      </c>
      <c r="E262" s="116" t="str">
        <f t="shared" ca="1" si="52"/>
        <v/>
      </c>
      <c r="F262" s="116" t="str">
        <f t="shared" ca="1" si="53"/>
        <v/>
      </c>
      <c r="G262" s="116" t="str">
        <f t="shared" ca="1" si="54"/>
        <v/>
      </c>
    </row>
    <row r="263" spans="3:7" outlineLevel="1">
      <c r="C263" s="116">
        <f t="shared" si="55"/>
        <v>13</v>
      </c>
      <c r="D263" s="116" t="str">
        <f t="shared" ca="1" si="51"/>
        <v/>
      </c>
      <c r="E263" s="116" t="str">
        <f t="shared" ca="1" si="52"/>
        <v/>
      </c>
      <c r="F263" s="116" t="str">
        <f t="shared" ca="1" si="53"/>
        <v/>
      </c>
      <c r="G263" s="116" t="str">
        <f t="shared" ca="1" si="54"/>
        <v/>
      </c>
    </row>
    <row r="264" spans="3:7" outlineLevel="1">
      <c r="C264" s="116">
        <f t="shared" si="55"/>
        <v>14</v>
      </c>
      <c r="D264" s="116" t="str">
        <f t="shared" ca="1" si="51"/>
        <v/>
      </c>
      <c r="E264" s="116" t="str">
        <f t="shared" ca="1" si="52"/>
        <v/>
      </c>
      <c r="F264" s="116" t="str">
        <f t="shared" ca="1" si="53"/>
        <v/>
      </c>
      <c r="G264" s="116" t="str">
        <f t="shared" ca="1" si="54"/>
        <v/>
      </c>
    </row>
    <row r="265" spans="3:7" outlineLevel="1">
      <c r="C265" s="116">
        <f t="shared" si="55"/>
        <v>15</v>
      </c>
      <c r="D265" s="116" t="str">
        <f t="shared" ca="1" si="51"/>
        <v/>
      </c>
      <c r="E265" s="116" t="str">
        <f t="shared" ca="1" si="52"/>
        <v/>
      </c>
      <c r="F265" s="116" t="str">
        <f t="shared" ca="1" si="53"/>
        <v/>
      </c>
      <c r="G265" s="116" t="str">
        <f t="shared" ca="1" si="54"/>
        <v/>
      </c>
    </row>
    <row r="266" spans="3:7" outlineLevel="1">
      <c r="C266" s="116">
        <f t="shared" si="55"/>
        <v>16</v>
      </c>
      <c r="D266" s="116" t="str">
        <f t="shared" ca="1" si="51"/>
        <v/>
      </c>
      <c r="E266" s="116" t="str">
        <f t="shared" ca="1" si="52"/>
        <v/>
      </c>
      <c r="F266" s="116" t="str">
        <f t="shared" ca="1" si="53"/>
        <v/>
      </c>
      <c r="G266" s="116" t="str">
        <f t="shared" ca="1" si="54"/>
        <v/>
      </c>
    </row>
    <row r="267" spans="3:7" outlineLevel="1">
      <c r="C267" s="116">
        <f t="shared" si="55"/>
        <v>17</v>
      </c>
      <c r="D267" s="116" t="str">
        <f t="shared" ca="1" si="51"/>
        <v/>
      </c>
      <c r="E267" s="116" t="str">
        <f t="shared" ca="1" si="52"/>
        <v/>
      </c>
      <c r="F267" s="116" t="str">
        <f t="shared" ca="1" si="53"/>
        <v/>
      </c>
      <c r="G267" s="116" t="str">
        <f t="shared" ca="1" si="54"/>
        <v/>
      </c>
    </row>
    <row r="268" spans="3:7" outlineLevel="1">
      <c r="C268" s="116">
        <f t="shared" si="55"/>
        <v>18</v>
      </c>
      <c r="D268" s="116" t="str">
        <f t="shared" ca="1" si="51"/>
        <v/>
      </c>
      <c r="E268" s="116" t="str">
        <f t="shared" ca="1" si="52"/>
        <v/>
      </c>
      <c r="F268" s="116" t="str">
        <f t="shared" ca="1" si="53"/>
        <v/>
      </c>
      <c r="G268" s="116" t="str">
        <f t="shared" ca="1" si="54"/>
        <v/>
      </c>
    </row>
    <row r="269" spans="3:7" outlineLevel="1">
      <c r="C269" s="116">
        <f t="shared" si="55"/>
        <v>19</v>
      </c>
      <c r="D269" s="116" t="str">
        <f t="shared" ca="1" si="51"/>
        <v/>
      </c>
      <c r="E269" s="116" t="str">
        <f t="shared" ca="1" si="52"/>
        <v/>
      </c>
      <c r="F269" s="116" t="str">
        <f t="shared" ca="1" si="53"/>
        <v/>
      </c>
      <c r="G269" s="116" t="str">
        <f t="shared" ca="1" si="54"/>
        <v/>
      </c>
    </row>
    <row r="270" spans="3:7" outlineLevel="1">
      <c r="C270" s="116">
        <f t="shared" si="55"/>
        <v>20</v>
      </c>
      <c r="D270" s="116" t="str">
        <f t="shared" ca="1" si="51"/>
        <v/>
      </c>
      <c r="E270" s="116" t="str">
        <f t="shared" ca="1" si="52"/>
        <v/>
      </c>
      <c r="F270" s="116" t="str">
        <f t="shared" ca="1" si="53"/>
        <v/>
      </c>
      <c r="G270" s="116" t="str">
        <f t="shared" ca="1" si="54"/>
        <v/>
      </c>
    </row>
    <row r="271" spans="3:7" outlineLevel="1">
      <c r="C271" s="116">
        <f t="shared" si="55"/>
        <v>21</v>
      </c>
      <c r="D271" s="116" t="str">
        <f t="shared" ca="1" si="51"/>
        <v/>
      </c>
      <c r="E271" s="116" t="str">
        <f t="shared" ca="1" si="52"/>
        <v/>
      </c>
      <c r="F271" s="116" t="str">
        <f t="shared" ca="1" si="53"/>
        <v/>
      </c>
      <c r="G271" s="116" t="str">
        <f t="shared" ca="1" si="54"/>
        <v/>
      </c>
    </row>
    <row r="272" spans="3:7" outlineLevel="1">
      <c r="C272" s="116">
        <f t="shared" si="55"/>
        <v>22</v>
      </c>
      <c r="D272" s="116" t="str">
        <f t="shared" ca="1" si="51"/>
        <v/>
      </c>
      <c r="E272" s="116" t="str">
        <f t="shared" ca="1" si="52"/>
        <v/>
      </c>
      <c r="F272" s="116" t="str">
        <f t="shared" ca="1" si="53"/>
        <v/>
      </c>
      <c r="G272" s="116" t="str">
        <f t="shared" ca="1" si="54"/>
        <v/>
      </c>
    </row>
    <row r="273" spans="1:31" outlineLevel="1">
      <c r="C273" s="116">
        <f t="shared" si="55"/>
        <v>23</v>
      </c>
      <c r="D273" s="116" t="str">
        <f t="shared" ca="1" si="51"/>
        <v/>
      </c>
      <c r="E273" s="116" t="str">
        <f t="shared" ca="1" si="52"/>
        <v/>
      </c>
      <c r="F273" s="116" t="str">
        <f t="shared" ca="1" si="53"/>
        <v/>
      </c>
      <c r="G273" s="116" t="str">
        <f t="shared" ca="1" si="54"/>
        <v/>
      </c>
    </row>
    <row r="274" spans="1:31" outlineLevel="1">
      <c r="C274" s="116">
        <f t="shared" si="55"/>
        <v>24</v>
      </c>
      <c r="D274" s="116" t="str">
        <f t="shared" ca="1" si="51"/>
        <v/>
      </c>
      <c r="E274" s="116" t="str">
        <f t="shared" ca="1" si="52"/>
        <v/>
      </c>
      <c r="F274" s="116" t="str">
        <f t="shared" ca="1" si="53"/>
        <v/>
      </c>
      <c r="G274" s="116" t="str">
        <f t="shared" ca="1" si="54"/>
        <v/>
      </c>
    </row>
    <row r="275" spans="1:31" outlineLevel="1">
      <c r="C275" s="116">
        <f t="shared" si="55"/>
        <v>25</v>
      </c>
      <c r="D275" s="116" t="str">
        <f t="shared" ca="1" si="51"/>
        <v/>
      </c>
      <c r="E275" s="116" t="str">
        <f t="shared" ca="1" si="52"/>
        <v/>
      </c>
      <c r="F275" s="116" t="str">
        <f t="shared" ca="1" si="53"/>
        <v/>
      </c>
      <c r="G275" s="116" t="str">
        <f t="shared" ca="1" si="54"/>
        <v/>
      </c>
    </row>
    <row r="276" spans="1:31" outlineLevel="1">
      <c r="C276" s="116">
        <f t="shared" si="55"/>
        <v>26</v>
      </c>
      <c r="D276" s="116" t="str">
        <f t="shared" ca="1" si="51"/>
        <v/>
      </c>
      <c r="E276" s="116" t="str">
        <f t="shared" ca="1" si="52"/>
        <v/>
      </c>
      <c r="F276" s="116" t="str">
        <f t="shared" ca="1" si="53"/>
        <v/>
      </c>
      <c r="G276" s="116" t="str">
        <f t="shared" ca="1" si="54"/>
        <v/>
      </c>
    </row>
    <row r="277" spans="1:31" outlineLevel="1">
      <c r="C277" s="116">
        <f t="shared" si="55"/>
        <v>27</v>
      </c>
      <c r="D277" s="116" t="str">
        <f t="shared" ca="1" si="51"/>
        <v/>
      </c>
      <c r="E277" s="116" t="str">
        <f t="shared" ca="1" si="52"/>
        <v/>
      </c>
      <c r="F277" s="116" t="str">
        <f t="shared" ca="1" si="53"/>
        <v/>
      </c>
      <c r="G277" s="116" t="str">
        <f t="shared" ca="1" si="54"/>
        <v/>
      </c>
    </row>
    <row r="278" spans="1:31" outlineLevel="1">
      <c r="C278" s="116">
        <f t="shared" si="55"/>
        <v>28</v>
      </c>
      <c r="D278" s="116" t="str">
        <f t="shared" ca="1" si="51"/>
        <v/>
      </c>
      <c r="E278" s="116" t="str">
        <f t="shared" ca="1" si="52"/>
        <v/>
      </c>
      <c r="F278" s="116" t="str">
        <f t="shared" ca="1" si="53"/>
        <v/>
      </c>
      <c r="G278" s="116" t="str">
        <f t="shared" ca="1" si="54"/>
        <v/>
      </c>
    </row>
    <row r="279" spans="1:31" outlineLevel="1">
      <c r="C279" s="116">
        <f t="shared" si="55"/>
        <v>29</v>
      </c>
      <c r="D279" s="116" t="str">
        <f t="shared" ca="1" si="51"/>
        <v/>
      </c>
      <c r="E279" s="116" t="str">
        <f t="shared" ca="1" si="52"/>
        <v/>
      </c>
      <c r="F279" s="116" t="str">
        <f t="shared" ca="1" si="53"/>
        <v/>
      </c>
      <c r="G279" s="116" t="str">
        <f t="shared" ca="1" si="54"/>
        <v/>
      </c>
    </row>
    <row r="280" spans="1:31" outlineLevel="1">
      <c r="C280" s="116">
        <f t="shared" si="55"/>
        <v>30</v>
      </c>
      <c r="D280" s="116" t="str">
        <f t="shared" ca="1" si="51"/>
        <v/>
      </c>
      <c r="E280" s="116" t="str">
        <f t="shared" ca="1" si="52"/>
        <v/>
      </c>
      <c r="F280" s="116" t="str">
        <f t="shared" ca="1" si="53"/>
        <v/>
      </c>
      <c r="G280" s="116" t="str">
        <f t="shared" ca="1" si="54"/>
        <v/>
      </c>
    </row>
    <row r="284" spans="1:31" s="266" customFormat="1" ht="27.75" customHeight="1">
      <c r="A284" s="265">
        <f ca="1">IF(ISBLANK(H284),OFFSET(A284,-1,0),OFFSET(A284,-1,0)+1)</f>
        <v>0</v>
      </c>
      <c r="C284" s="267" t="str">
        <f>Translate!$A$223</f>
        <v>Cement types</v>
      </c>
      <c r="D284" s="268"/>
      <c r="E284" s="268"/>
      <c r="F284" s="268"/>
      <c r="G284" s="268"/>
      <c r="H284" s="268"/>
      <c r="I284" s="268"/>
      <c r="J284" s="268"/>
      <c r="K284" s="268"/>
      <c r="L284" s="268"/>
      <c r="M284" s="269"/>
      <c r="N284" s="270"/>
      <c r="O284" s="270"/>
      <c r="P284" s="270"/>
      <c r="Q284" s="270"/>
      <c r="R284" s="270"/>
      <c r="S284" s="270"/>
      <c r="T284" s="270"/>
      <c r="U284" s="270"/>
      <c r="V284" s="270"/>
      <c r="W284" s="270"/>
      <c r="X284" s="270"/>
      <c r="Y284" s="270"/>
      <c r="Z284" s="270"/>
      <c r="AA284" s="270"/>
      <c r="AB284" s="270"/>
      <c r="AC284" s="270"/>
      <c r="AD284" s="270"/>
      <c r="AE284" s="270"/>
    </row>
    <row r="285" spans="1:31" ht="60">
      <c r="C285" s="122" t="str">
        <f>Translate!$A$120</f>
        <v>Type</v>
      </c>
      <c r="D285" s="4" t="str">
        <f>Translate!$A$77</f>
        <v>Secondary constituent</v>
      </c>
      <c r="E285" s="4" t="str">
        <f>Translate!$A$246</f>
        <v>Secondary constituent minimum content</v>
      </c>
      <c r="F285" s="4" t="str">
        <f>Translate!$A$250</f>
        <v>Secondary constituent maximum content</v>
      </c>
      <c r="G285" s="4" t="str">
        <f>Translate!$A$252</f>
        <v>Secondary constituent average content</v>
      </c>
    </row>
    <row r="286" spans="1:31">
      <c r="C286" s="127" t="str">
        <f>Translate!$A$181</f>
        <v>CEM I</v>
      </c>
      <c r="D286" s="127" t="str">
        <f>Translate!$A$242</f>
        <v>-</v>
      </c>
      <c r="E286" s="238">
        <v>0</v>
      </c>
      <c r="F286" s="238">
        <v>0</v>
      </c>
      <c r="G286" s="120">
        <v>0</v>
      </c>
      <c r="H286" s="131"/>
      <c r="I286" s="131"/>
    </row>
    <row r="287" spans="1:31">
      <c r="C287" s="117" t="str">
        <f>Translate!$A$224</f>
        <v>CEM II/A-LL or L</v>
      </c>
      <c r="D287" s="117" t="str">
        <f>C18</f>
        <v>Limestone</v>
      </c>
      <c r="E287" s="121">
        <v>0.06</v>
      </c>
      <c r="F287" s="121">
        <v>0.2</v>
      </c>
      <c r="G287" s="120">
        <f t="shared" ref="G287:G294" si="56">AVERAGE(E287:F287)</f>
        <v>0.13</v>
      </c>
      <c r="H287" s="132"/>
      <c r="I287" s="132"/>
    </row>
    <row r="288" spans="1:31">
      <c r="C288" s="117" t="str">
        <f>Translate!$A$225</f>
        <v>CEM II/A-V</v>
      </c>
      <c r="D288" s="117" t="str">
        <f>C17</f>
        <v>Fly Ash</v>
      </c>
      <c r="E288" s="121">
        <v>0.06</v>
      </c>
      <c r="F288" s="121">
        <v>0.2</v>
      </c>
      <c r="G288" s="120">
        <f t="shared" si="56"/>
        <v>0.13</v>
      </c>
      <c r="H288" s="132"/>
      <c r="I288" s="132"/>
    </row>
    <row r="289" spans="1:31">
      <c r="C289" s="117" t="str">
        <f>Translate!$A$226</f>
        <v>CEM II/B-V</v>
      </c>
      <c r="D289" s="117" t="str">
        <f>D288</f>
        <v>Fly Ash</v>
      </c>
      <c r="E289" s="121">
        <v>0.21</v>
      </c>
      <c r="F289" s="121">
        <v>0.35</v>
      </c>
      <c r="G289" s="120">
        <f t="shared" si="56"/>
        <v>0.27999999999999997</v>
      </c>
      <c r="H289" s="132"/>
      <c r="I289" s="132"/>
    </row>
    <row r="290" spans="1:31">
      <c r="C290" s="117" t="str">
        <f>Translate!$A$227</f>
        <v>CEM II/B-S</v>
      </c>
      <c r="D290" s="117" t="str">
        <f>C16</f>
        <v>GGbs</v>
      </c>
      <c r="E290" s="121">
        <v>0.21</v>
      </c>
      <c r="F290" s="121">
        <v>0.35</v>
      </c>
      <c r="G290" s="120">
        <f t="shared" si="56"/>
        <v>0.27999999999999997</v>
      </c>
      <c r="H290" s="132"/>
      <c r="I290" s="132"/>
    </row>
    <row r="291" spans="1:31">
      <c r="C291" s="117" t="str">
        <f>Translate!$A$228</f>
        <v>CEM III/A</v>
      </c>
      <c r="D291" s="117" t="str">
        <f>D290</f>
        <v>GGbs</v>
      </c>
      <c r="E291" s="121">
        <v>0.36</v>
      </c>
      <c r="F291" s="121">
        <v>0.65</v>
      </c>
      <c r="G291" s="120">
        <f t="shared" si="56"/>
        <v>0.505</v>
      </c>
      <c r="H291" s="132"/>
      <c r="I291" s="132"/>
    </row>
    <row r="292" spans="1:31">
      <c r="C292" s="117" t="str">
        <f>Translate!$A$229</f>
        <v>CEM III/B</v>
      </c>
      <c r="D292" s="117" t="str">
        <f>D291</f>
        <v>GGbs</v>
      </c>
      <c r="E292" s="121">
        <v>0.66</v>
      </c>
      <c r="F292" s="121">
        <v>0.8</v>
      </c>
      <c r="G292" s="120">
        <f t="shared" si="56"/>
        <v>0.73</v>
      </c>
      <c r="H292" s="132"/>
      <c r="I292" s="132"/>
    </row>
    <row r="293" spans="1:31">
      <c r="C293" s="117" t="str">
        <f>Translate!$A$230</f>
        <v>CEM III/C</v>
      </c>
      <c r="D293" s="117" t="str">
        <f>D292</f>
        <v>GGbs</v>
      </c>
      <c r="E293" s="121">
        <v>0.81</v>
      </c>
      <c r="F293" s="121">
        <v>0.95</v>
      </c>
      <c r="G293" s="120">
        <f>AVERAGE(E293:F293)</f>
        <v>0.88</v>
      </c>
      <c r="H293" s="132"/>
      <c r="I293" s="132"/>
    </row>
    <row r="294" spans="1:31">
      <c r="C294" s="117" t="str">
        <f>Translate!$A$231</f>
        <v>CEM IV/B-V</v>
      </c>
      <c r="D294" s="117" t="str">
        <f>D289</f>
        <v>Fly Ash</v>
      </c>
      <c r="E294" s="121">
        <v>0.36</v>
      </c>
      <c r="F294" s="121">
        <v>0.55000000000000004</v>
      </c>
      <c r="G294" s="120">
        <f t="shared" si="56"/>
        <v>0.45500000000000002</v>
      </c>
      <c r="H294" s="132"/>
      <c r="I294" s="132"/>
    </row>
    <row r="297" spans="1:31" s="266" customFormat="1" ht="27.75" customHeight="1">
      <c r="A297" s="265">
        <f ca="1">IF(ISBLANK(H297),OFFSET(A297,-1,0),OFFSET(A297,-1,0)+1)</f>
        <v>0</v>
      </c>
      <c r="C297" s="337" t="str">
        <f>Translate!$A$232</f>
        <v>Default recycled content</v>
      </c>
      <c r="D297" s="268"/>
      <c r="E297" s="268"/>
      <c r="F297" s="268"/>
      <c r="G297" s="268"/>
      <c r="H297" s="268"/>
      <c r="I297" s="268"/>
      <c r="J297" s="268"/>
      <c r="K297" s="268"/>
      <c r="L297" s="268"/>
      <c r="M297" s="269"/>
      <c r="N297" s="270"/>
      <c r="O297" s="270"/>
      <c r="P297" s="270"/>
      <c r="Q297" s="270"/>
      <c r="R297" s="270"/>
      <c r="S297" s="270"/>
      <c r="T297" s="270"/>
      <c r="U297" s="270"/>
      <c r="V297" s="270"/>
      <c r="W297" s="270"/>
      <c r="X297" s="270"/>
      <c r="Y297" s="270"/>
      <c r="Z297" s="270"/>
      <c r="AA297" s="270"/>
      <c r="AB297" s="270"/>
      <c r="AC297" s="270"/>
      <c r="AD297" s="270"/>
      <c r="AE297" s="270"/>
    </row>
    <row r="298" spans="1:31" ht="45">
      <c r="C298" s="122" t="str">
        <f>Translate!$A$104</f>
        <v>Materials</v>
      </c>
      <c r="D298" s="4" t="str">
        <f>Translate!$A$232</f>
        <v>Default recycled content</v>
      </c>
      <c r="E298" s="4" t="str">
        <f>Translate!$A$247</f>
        <v>Source</v>
      </c>
    </row>
    <row r="299" spans="1:31">
      <c r="C299" s="123" t="str">
        <f>Translate!$A$192</f>
        <v>Steel sheets</v>
      </c>
      <c r="D299" s="238">
        <v>0.41</v>
      </c>
      <c r="E299" s="238"/>
      <c r="F299" s="131"/>
      <c r="G299" s="131"/>
      <c r="H299" s="131"/>
      <c r="I299" s="131"/>
    </row>
    <row r="300" spans="1:31">
      <c r="C300" s="123" t="str">
        <f>Translate!$A$193</f>
        <v>Steel rebars</v>
      </c>
      <c r="D300" s="238">
        <v>0.41</v>
      </c>
      <c r="E300" s="121"/>
      <c r="F300" s="132"/>
      <c r="G300" s="132"/>
      <c r="H300" s="132"/>
      <c r="I300" s="132"/>
    </row>
    <row r="301" spans="1:31">
      <c r="C301" s="123" t="str">
        <f>Translate!$A$194</f>
        <v>Steel tubes</v>
      </c>
      <c r="D301" s="238">
        <v>0.41</v>
      </c>
      <c r="E301" s="121"/>
      <c r="F301" s="132"/>
      <c r="G301" s="132"/>
      <c r="H301" s="132"/>
      <c r="I301" s="132"/>
    </row>
    <row r="302" spans="1:31">
      <c r="C302" s="123" t="str">
        <f>Translate!$A$195</f>
        <v>Steel wires</v>
      </c>
      <c r="D302" s="238">
        <v>0.41</v>
      </c>
      <c r="E302" s="121"/>
      <c r="F302" s="132"/>
      <c r="G302" s="132"/>
      <c r="H302" s="132"/>
      <c r="I302" s="132"/>
    </row>
    <row r="303" spans="1:31">
      <c r="C303" s="117"/>
      <c r="D303" s="238"/>
      <c r="E303" s="121"/>
      <c r="F303" s="132"/>
      <c r="G303" s="132"/>
      <c r="H303" s="132"/>
      <c r="I303" s="132"/>
    </row>
    <row r="304" spans="1:31">
      <c r="C304" s="117"/>
      <c r="D304" s="238"/>
      <c r="E304" s="121"/>
      <c r="F304" s="132"/>
      <c r="G304" s="132"/>
      <c r="H304" s="132"/>
      <c r="I304" s="132"/>
    </row>
    <row r="305" spans="1:31">
      <c r="C305" s="117"/>
      <c r="D305" s="238"/>
      <c r="E305" s="121"/>
      <c r="F305" s="132"/>
      <c r="G305" s="132"/>
      <c r="H305" s="132"/>
      <c r="I305" s="132"/>
    </row>
    <row r="306" spans="1:31">
      <c r="C306" s="117"/>
      <c r="D306" s="238"/>
      <c r="E306" s="121"/>
      <c r="F306" s="132"/>
      <c r="G306" s="132"/>
      <c r="H306" s="132"/>
      <c r="I306" s="132"/>
    </row>
    <row r="309" spans="1:31" s="266" customFormat="1" ht="27.75" customHeight="1">
      <c r="A309" s="265">
        <f ca="1">IF(ISBLANK(H309),OFFSET(A309,-1,0),OFFSET(A309,-1,0)+1)</f>
        <v>0</v>
      </c>
      <c r="C309" s="267" t="str">
        <f>Translate!$A$235</f>
        <v>Freight load</v>
      </c>
      <c r="D309" s="268"/>
      <c r="E309" s="268"/>
      <c r="F309" s="268"/>
      <c r="G309" s="268"/>
      <c r="H309" s="268"/>
      <c r="I309" s="268"/>
      <c r="J309" s="268"/>
      <c r="K309" s="268"/>
      <c r="L309" s="268"/>
      <c r="M309" s="269"/>
      <c r="N309" s="270"/>
      <c r="O309" s="270"/>
      <c r="P309" s="270"/>
      <c r="Q309" s="270"/>
      <c r="R309" s="270"/>
      <c r="S309" s="270"/>
      <c r="T309" s="270"/>
      <c r="U309" s="270"/>
      <c r="V309" s="270"/>
      <c r="W309" s="270"/>
      <c r="X309" s="270"/>
      <c r="Y309" s="270"/>
      <c r="Z309" s="270"/>
      <c r="AA309" s="270"/>
      <c r="AB309" s="270"/>
      <c r="AC309" s="270"/>
      <c r="AD309" s="270"/>
      <c r="AE309" s="270"/>
    </row>
    <row r="310" spans="1:31">
      <c r="D310" s="116" t="str">
        <f>Translate!$A$243</f>
        <v>Default load</v>
      </c>
      <c r="F310" s="116" t="str">
        <f>Translate!$A$516</f>
        <v>m3</v>
      </c>
      <c r="G310" s="116" t="str">
        <f>Translate!$A$522</f>
        <v>yd3</v>
      </c>
    </row>
    <row r="311" spans="1:31">
      <c r="C311" s="117" t="s">
        <v>2211</v>
      </c>
      <c r="D311" s="455">
        <f>IF($F$3=$AC$6,$G$311,$F$311)</f>
        <v>8</v>
      </c>
      <c r="E311" s="455" t="str">
        <f>IF($F$3=$AC$6,$G$310,$F$310)</f>
        <v>m3</v>
      </c>
      <c r="F311" s="673">
        <v>8</v>
      </c>
      <c r="G311" s="673">
        <f>ROUND(F311/0.765,0)</f>
        <v>10</v>
      </c>
    </row>
    <row r="312" spans="1:31">
      <c r="C312" s="117"/>
      <c r="D312" s="455"/>
      <c r="E312" s="455"/>
      <c r="F312" s="116" t="str">
        <f>Translate!$A$101</f>
        <v>t</v>
      </c>
      <c r="G312" s="673" t="str">
        <f>Translate!$A$520</f>
        <v>lb</v>
      </c>
    </row>
    <row r="313" spans="1:31">
      <c r="C313" s="117" t="str">
        <f t="shared" ref="C313:C328" si="57">C213</f>
        <v>Road - Rigid &gt;3.5-7.5t</v>
      </c>
      <c r="D313" s="455">
        <f t="shared" ref="D313:D328" si="58">IF($F$3=$AC$6,G313,F313)</f>
        <v>1.0123216601815823</v>
      </c>
      <c r="E313" s="455" t="str">
        <f t="shared" ref="E313:E328" si="59">IF($F$3=$AC$6,$G$312,$F$312)</f>
        <v>t</v>
      </c>
      <c r="F313" s="673">
        <v>1.0123216601815823</v>
      </c>
      <c r="G313" s="230">
        <f>ROUND(F313*1000/0.45359237,0)</f>
        <v>2232</v>
      </c>
    </row>
    <row r="314" spans="1:31">
      <c r="C314" s="117" t="str">
        <f t="shared" si="57"/>
        <v>Road - Rigid &gt;7.5-17t</v>
      </c>
      <c r="D314" s="455">
        <f t="shared" si="58"/>
        <v>2.0598214285714285</v>
      </c>
      <c r="E314" s="455" t="str">
        <f t="shared" si="59"/>
        <v>t</v>
      </c>
      <c r="F314" s="673">
        <v>2.0598214285714285</v>
      </c>
      <c r="G314" s="230">
        <f>ROUND(F314*1000/0.45359237,0)</f>
        <v>4541</v>
      </c>
      <c r="H314" s="119"/>
      <c r="I314" s="119"/>
    </row>
    <row r="315" spans="1:31">
      <c r="C315" s="117" t="str">
        <f t="shared" si="57"/>
        <v>Road - Rigid &gt;17t</v>
      </c>
      <c r="D315" s="455">
        <f t="shared" si="58"/>
        <v>7.5</v>
      </c>
      <c r="E315" s="455" t="str">
        <f t="shared" si="59"/>
        <v>t</v>
      </c>
      <c r="F315" s="673">
        <v>7.5</v>
      </c>
      <c r="G315" s="230">
        <f>ROUND(F315*1000/0.45359237,0)</f>
        <v>16535</v>
      </c>
      <c r="H315" s="119"/>
      <c r="I315" s="119"/>
    </row>
    <row r="316" spans="1:31">
      <c r="C316" s="117" t="str">
        <f t="shared" si="57"/>
        <v>Road - Articulated &gt;3.5-33t</v>
      </c>
      <c r="D316" s="455">
        <f t="shared" si="58"/>
        <v>5.5104895104895109</v>
      </c>
      <c r="E316" s="455" t="str">
        <f t="shared" si="59"/>
        <v>t</v>
      </c>
      <c r="F316" s="673">
        <v>5.5104895104895109</v>
      </c>
      <c r="G316" s="230">
        <f>ROUND(F316*1000/0.45359237,0)</f>
        <v>12149</v>
      </c>
      <c r="H316" s="119"/>
      <c r="I316" s="119"/>
    </row>
    <row r="317" spans="1:31">
      <c r="C317" s="117" t="str">
        <f t="shared" si="57"/>
        <v>Road - Articulated &gt;33t</v>
      </c>
      <c r="D317" s="455">
        <f t="shared" si="58"/>
        <v>15</v>
      </c>
      <c r="E317" s="455" t="str">
        <f t="shared" si="59"/>
        <v>t</v>
      </c>
      <c r="F317" s="673">
        <v>15</v>
      </c>
      <c r="G317" s="230">
        <f>ROUND(F317*1000/0.45359237,0)</f>
        <v>33069</v>
      </c>
      <c r="H317" s="119"/>
      <c r="I317" s="119"/>
    </row>
    <row r="318" spans="1:31">
      <c r="C318" s="117">
        <f t="shared" si="57"/>
        <v>0</v>
      </c>
      <c r="D318" s="276">
        <f t="shared" si="58"/>
        <v>1</v>
      </c>
      <c r="E318" s="455" t="str">
        <f t="shared" si="59"/>
        <v>t</v>
      </c>
      <c r="F318" s="116">
        <v>1</v>
      </c>
      <c r="G318" s="116">
        <v>1</v>
      </c>
    </row>
    <row r="319" spans="1:31">
      <c r="C319" s="117">
        <f t="shared" si="57"/>
        <v>0</v>
      </c>
      <c r="D319" s="276">
        <f t="shared" si="58"/>
        <v>1</v>
      </c>
      <c r="E319" s="455" t="str">
        <f t="shared" si="59"/>
        <v>t</v>
      </c>
      <c r="F319" s="116">
        <v>1</v>
      </c>
      <c r="G319" s="116">
        <v>1</v>
      </c>
    </row>
    <row r="320" spans="1:31">
      <c r="C320" s="117" t="str">
        <f t="shared" si="57"/>
        <v>Air - Domestic</v>
      </c>
      <c r="D320" s="117">
        <f t="shared" si="58"/>
        <v>1</v>
      </c>
      <c r="E320" s="455" t="str">
        <f t="shared" si="59"/>
        <v>t</v>
      </c>
      <c r="F320" s="116">
        <v>1</v>
      </c>
      <c r="G320" s="116">
        <v>1</v>
      </c>
      <c r="H320" s="119"/>
      <c r="I320" s="119"/>
    </row>
    <row r="321" spans="1:31">
      <c r="C321" s="117" t="str">
        <f t="shared" si="57"/>
        <v>Air - Short-haul international</v>
      </c>
      <c r="D321" s="117">
        <f t="shared" si="58"/>
        <v>1</v>
      </c>
      <c r="E321" s="455" t="str">
        <f t="shared" si="59"/>
        <v>t</v>
      </c>
      <c r="F321" s="116">
        <v>1</v>
      </c>
      <c r="G321" s="116">
        <v>1</v>
      </c>
      <c r="H321" s="119"/>
      <c r="I321" s="119"/>
    </row>
    <row r="322" spans="1:31">
      <c r="C322" s="117" t="str">
        <f t="shared" si="57"/>
        <v>Air - Long-haul international</v>
      </c>
      <c r="D322" s="117">
        <f t="shared" si="58"/>
        <v>1</v>
      </c>
      <c r="E322" s="455" t="str">
        <f t="shared" si="59"/>
        <v>t</v>
      </c>
      <c r="F322" s="116">
        <v>1</v>
      </c>
      <c r="G322" s="116">
        <v>1</v>
      </c>
      <c r="H322" s="119"/>
      <c r="I322" s="119"/>
    </row>
    <row r="323" spans="1:31">
      <c r="C323" s="117" t="str">
        <f t="shared" si="57"/>
        <v xml:space="preserve">Maritime -  General cargo </v>
      </c>
      <c r="D323" s="117">
        <f t="shared" si="58"/>
        <v>1</v>
      </c>
      <c r="E323" s="455" t="str">
        <f t="shared" si="59"/>
        <v>t</v>
      </c>
      <c r="F323" s="116">
        <v>1</v>
      </c>
      <c r="G323" s="116">
        <v>1</v>
      </c>
      <c r="H323" s="119"/>
      <c r="I323" s="119"/>
    </row>
    <row r="324" spans="1:31">
      <c r="C324" s="117" t="str">
        <f t="shared" si="57"/>
        <v xml:space="preserve">Maritime -  Container </v>
      </c>
      <c r="D324" s="117">
        <f t="shared" si="58"/>
        <v>1</v>
      </c>
      <c r="E324" s="455" t="str">
        <f t="shared" si="59"/>
        <v>t</v>
      </c>
      <c r="F324" s="116">
        <v>1</v>
      </c>
      <c r="G324" s="116">
        <v>1</v>
      </c>
      <c r="H324" s="119"/>
      <c r="I324" s="119"/>
    </row>
    <row r="325" spans="1:31">
      <c r="C325" s="117" t="str">
        <f t="shared" si="57"/>
        <v>Rail - Average freight - thermic</v>
      </c>
      <c r="D325" s="117">
        <f t="shared" si="58"/>
        <v>1</v>
      </c>
      <c r="E325" s="455" t="str">
        <f t="shared" si="59"/>
        <v>t</v>
      </c>
      <c r="F325" s="116">
        <v>1</v>
      </c>
      <c r="G325" s="116">
        <v>1</v>
      </c>
      <c r="H325" s="119"/>
      <c r="I325" s="119"/>
    </row>
    <row r="326" spans="1:31">
      <c r="C326" s="117" t="str">
        <f t="shared" si="57"/>
        <v>Rail - Average freight - electric - United Kingdom</v>
      </c>
      <c r="D326" s="117">
        <f t="shared" si="58"/>
        <v>1</v>
      </c>
      <c r="E326" s="455" t="str">
        <f t="shared" si="59"/>
        <v>t</v>
      </c>
      <c r="F326" s="116">
        <v>1</v>
      </c>
      <c r="G326" s="116">
        <v>1</v>
      </c>
      <c r="H326" s="119"/>
      <c r="I326" s="119"/>
    </row>
    <row r="327" spans="1:31">
      <c r="C327" s="117">
        <f t="shared" si="57"/>
        <v>0</v>
      </c>
      <c r="D327" s="276">
        <f t="shared" si="58"/>
        <v>1</v>
      </c>
      <c r="E327" s="455" t="str">
        <f t="shared" si="59"/>
        <v>t</v>
      </c>
      <c r="F327" s="116">
        <v>1</v>
      </c>
      <c r="G327" s="116">
        <v>1</v>
      </c>
    </row>
    <row r="328" spans="1:31">
      <c r="C328" s="117">
        <f t="shared" si="57"/>
        <v>0</v>
      </c>
      <c r="D328" s="276">
        <f t="shared" si="58"/>
        <v>1</v>
      </c>
      <c r="E328" s="455" t="str">
        <f t="shared" si="59"/>
        <v>t</v>
      </c>
      <c r="F328" s="116">
        <v>1</v>
      </c>
      <c r="G328" s="116">
        <v>1</v>
      </c>
    </row>
    <row r="330" spans="1:31" s="266" customFormat="1" ht="27.75" customHeight="1">
      <c r="A330" s="265">
        <f ca="1">IF(ISBLANK(H330),OFFSET(A330,-1,0),OFFSET(A330,-1,0)+1)</f>
        <v>0</v>
      </c>
      <c r="C330" s="337" t="str">
        <f>Translate!$A$236</f>
        <v>Standard freight activities data</v>
      </c>
      <c r="D330" s="268"/>
      <c r="E330" s="268"/>
      <c r="F330" s="268"/>
      <c r="G330" s="268"/>
      <c r="H330" s="268"/>
      <c r="I330" s="268"/>
      <c r="J330" s="268"/>
      <c r="K330" s="268"/>
      <c r="L330" s="268"/>
      <c r="M330" s="269"/>
      <c r="N330" s="270"/>
      <c r="O330" s="270"/>
      <c r="P330" s="270"/>
      <c r="Q330" s="270"/>
      <c r="R330" s="270"/>
      <c r="S330" s="270"/>
      <c r="T330" s="270"/>
      <c r="U330" s="270"/>
      <c r="V330" s="270"/>
      <c r="W330" s="270"/>
      <c r="X330" s="270"/>
      <c r="Y330" s="270"/>
      <c r="Z330" s="270"/>
      <c r="AA330" s="270"/>
      <c r="AB330" s="270"/>
      <c r="AC330" s="270"/>
      <c r="AD330" s="270"/>
      <c r="AE330" s="270"/>
    </row>
    <row r="331" spans="1:31">
      <c r="D331" s="117" t="str">
        <f>Translate!$A$244</f>
        <v>Freight Type</v>
      </c>
      <c r="F331" s="117" t="str">
        <f>Translate!$A$248</f>
        <v>Common distance (km)</v>
      </c>
      <c r="G331" s="116" t="str">
        <f>Translate!$A$528</f>
        <v>Common distance (miles)</v>
      </c>
    </row>
    <row r="332" spans="1:31">
      <c r="C332" s="117" t="str">
        <f>Translate!$A$198</f>
        <v>Water</v>
      </c>
      <c r="D332" s="117" t="str">
        <f>Translate!$A$204</f>
        <v>Road - Rigid &gt;3.5-7.5t</v>
      </c>
      <c r="E332" s="117">
        <f>IF($F$3=$AC$6,G332,F332)</f>
        <v>0</v>
      </c>
      <c r="F332" s="117">
        <v>0</v>
      </c>
      <c r="G332" s="117">
        <f t="shared" ref="G332:G337" si="60">ROUND(F332/1.61,1)</f>
        <v>0</v>
      </c>
    </row>
    <row r="333" spans="1:31">
      <c r="C333" s="117" t="str">
        <f>Translate!$A$75</f>
        <v>Cement</v>
      </c>
      <c r="D333" s="117" t="str">
        <f>Translate!$A$206</f>
        <v>Road - Rigid &gt;17t</v>
      </c>
      <c r="E333" s="117">
        <f>IF($F$3=$AC$6,G333,F333)</f>
        <v>20</v>
      </c>
      <c r="F333" s="117">
        <v>20</v>
      </c>
      <c r="G333" s="117">
        <f t="shared" si="60"/>
        <v>12.4</v>
      </c>
      <c r="H333" s="119"/>
      <c r="I333" s="119"/>
    </row>
    <row r="334" spans="1:31">
      <c r="C334" s="117" t="str">
        <f>Translate!$A$190</f>
        <v>Sand</v>
      </c>
      <c r="D334" s="117" t="str">
        <f>Translate!$A$208</f>
        <v>Road - Articulated &gt;33t</v>
      </c>
      <c r="E334" s="117">
        <f>IF($F$3=$AC$6,G334,F334)</f>
        <v>20</v>
      </c>
      <c r="F334" s="117">
        <v>20</v>
      </c>
      <c r="G334" s="117">
        <f t="shared" si="60"/>
        <v>12.4</v>
      </c>
      <c r="H334" s="119"/>
      <c r="I334" s="119"/>
    </row>
    <row r="335" spans="1:31">
      <c r="C335" s="123" t="str">
        <f>Translate!$A$177</f>
        <v>Aggregate</v>
      </c>
      <c r="D335" s="117" t="str">
        <f>Translate!$A$208</f>
        <v>Road - Articulated &gt;33t</v>
      </c>
      <c r="E335" s="117">
        <f>IF($F$3=$AC$6,G335,F335)</f>
        <v>20</v>
      </c>
      <c r="F335" s="117">
        <v>20</v>
      </c>
      <c r="G335" s="117">
        <f t="shared" si="60"/>
        <v>12.4</v>
      </c>
      <c r="H335" s="119"/>
      <c r="I335" s="119"/>
    </row>
    <row r="336" spans="1:31">
      <c r="C336" s="117"/>
      <c r="D336" s="117"/>
      <c r="E336" s="117"/>
      <c r="F336" s="117"/>
      <c r="G336" s="117">
        <f t="shared" si="60"/>
        <v>0</v>
      </c>
      <c r="H336" s="119"/>
      <c r="I336" s="119"/>
    </row>
    <row r="337" spans="1:32">
      <c r="C337" s="123" t="str">
        <f>Translate!$A$118</f>
        <v>Other</v>
      </c>
      <c r="D337" s="117" t="str">
        <f>Translate!$A$208</f>
        <v>Road - Articulated &gt;33t</v>
      </c>
      <c r="E337" s="117">
        <f>IF($F$3=$AC$6,G337,F337)</f>
        <v>300</v>
      </c>
      <c r="F337" s="117">
        <v>300</v>
      </c>
      <c r="G337" s="117">
        <f t="shared" si="60"/>
        <v>186.3</v>
      </c>
    </row>
    <row r="339" spans="1:32" s="266" customFormat="1" ht="27.75" customHeight="1">
      <c r="A339" s="265">
        <f ca="1">IF(ISBLANK(H339),OFFSET(A339,-1,0),OFFSET(A339,-1,0)+1)</f>
        <v>0</v>
      </c>
      <c r="C339" s="267" t="str">
        <f>Translate!$A$506</f>
        <v>Standard ratios</v>
      </c>
      <c r="D339" s="268"/>
      <c r="E339" s="268"/>
      <c r="F339" s="268"/>
      <c r="G339" s="268"/>
      <c r="H339" s="268"/>
      <c r="I339" s="268"/>
      <c r="J339" s="268"/>
      <c r="K339" s="268"/>
      <c r="L339" s="268"/>
      <c r="M339" s="269"/>
      <c r="N339" s="270"/>
      <c r="O339" s="270"/>
      <c r="P339" s="270"/>
      <c r="Q339" s="270"/>
      <c r="R339" s="270"/>
      <c r="S339" s="270"/>
      <c r="T339" s="270"/>
      <c r="U339" s="270"/>
      <c r="V339" s="270"/>
      <c r="W339" s="270"/>
      <c r="X339" s="270"/>
      <c r="Y339" s="270"/>
      <c r="Z339" s="270"/>
      <c r="AA339" s="270"/>
    </row>
    <row r="340" spans="1:32">
      <c r="C340" s="116">
        <f t="shared" ref="C340:Q340" si="61">COLUMN(C340)-COLUMN($C$341)+1</f>
        <v>1</v>
      </c>
      <c r="D340" s="116">
        <f t="shared" si="61"/>
        <v>2</v>
      </c>
      <c r="E340" s="116">
        <f t="shared" si="61"/>
        <v>3</v>
      </c>
      <c r="F340" s="116">
        <f t="shared" si="61"/>
        <v>4</v>
      </c>
      <c r="G340" s="116">
        <f t="shared" si="61"/>
        <v>5</v>
      </c>
      <c r="H340" s="116">
        <f t="shared" si="61"/>
        <v>6</v>
      </c>
      <c r="I340" s="116">
        <f t="shared" si="61"/>
        <v>7</v>
      </c>
      <c r="J340" s="116">
        <f t="shared" si="61"/>
        <v>8</v>
      </c>
      <c r="K340" s="116">
        <f t="shared" si="61"/>
        <v>9</v>
      </c>
      <c r="L340" s="116">
        <f t="shared" si="61"/>
        <v>10</v>
      </c>
      <c r="M340" s="116">
        <f t="shared" si="61"/>
        <v>11</v>
      </c>
      <c r="N340" s="116">
        <f t="shared" si="61"/>
        <v>12</v>
      </c>
      <c r="O340" s="116">
        <f t="shared" si="61"/>
        <v>13</v>
      </c>
      <c r="P340" s="116">
        <f t="shared" si="61"/>
        <v>14</v>
      </c>
      <c r="Q340" s="116">
        <f t="shared" si="61"/>
        <v>15</v>
      </c>
      <c r="R340" s="116">
        <f>COLUMN(R340)-COLUMN($C$340)+1</f>
        <v>16</v>
      </c>
      <c r="S340" s="116">
        <f t="shared" ref="S340:AF340" si="62">COLUMN(S340)-COLUMN($C$341)+1</f>
        <v>17</v>
      </c>
      <c r="T340" s="116">
        <f t="shared" si="62"/>
        <v>18</v>
      </c>
      <c r="U340" s="116">
        <f t="shared" si="62"/>
        <v>19</v>
      </c>
      <c r="V340" s="116">
        <f t="shared" si="62"/>
        <v>20</v>
      </c>
      <c r="W340" s="116">
        <f t="shared" si="62"/>
        <v>21</v>
      </c>
      <c r="X340" s="116">
        <f t="shared" si="62"/>
        <v>22</v>
      </c>
      <c r="Y340" s="116">
        <f t="shared" si="62"/>
        <v>23</v>
      </c>
      <c r="Z340" s="116">
        <f t="shared" si="62"/>
        <v>24</v>
      </c>
      <c r="AA340" s="116">
        <f t="shared" si="62"/>
        <v>25</v>
      </c>
      <c r="AB340" s="116">
        <f t="shared" si="62"/>
        <v>26</v>
      </c>
      <c r="AC340" s="116">
        <f t="shared" si="62"/>
        <v>27</v>
      </c>
      <c r="AD340" s="116">
        <f t="shared" si="62"/>
        <v>28</v>
      </c>
      <c r="AE340" s="116">
        <f t="shared" si="62"/>
        <v>29</v>
      </c>
      <c r="AF340" s="116">
        <f t="shared" si="62"/>
        <v>30</v>
      </c>
    </row>
    <row r="341" spans="1:32" ht="15.75">
      <c r="C341" s="117"/>
      <c r="D341" s="825" t="str">
        <f>Translate!$A$513</f>
        <v>Average ratio</v>
      </c>
      <c r="E341" s="826"/>
      <c r="F341" s="826"/>
      <c r="G341" s="826"/>
      <c r="H341" s="826"/>
      <c r="I341" s="826"/>
      <c r="J341" s="826"/>
      <c r="K341" s="823" t="str">
        <f>Translate!$A$530</f>
        <v>Maximum ratio</v>
      </c>
      <c r="L341" s="823"/>
      <c r="M341" s="823"/>
      <c r="N341" s="823"/>
      <c r="O341" s="823"/>
      <c r="P341" s="823"/>
      <c r="Q341" s="823"/>
      <c r="R341" s="827" t="str">
        <f>Translate!$A$534</f>
        <v>Minimum ratio</v>
      </c>
      <c r="S341" s="828"/>
      <c r="T341" s="828"/>
      <c r="U341" s="828"/>
      <c r="V341" s="828"/>
      <c r="W341" s="828"/>
      <c r="X341" s="829"/>
      <c r="Y341" s="823" t="str">
        <f>Translate!$A$535</f>
        <v>Primary (1) / Secoundary (2) sources</v>
      </c>
      <c r="Z341" s="823"/>
      <c r="AA341" s="823"/>
      <c r="AB341" s="823"/>
      <c r="AC341" s="823"/>
      <c r="AD341" s="823"/>
      <c r="AE341" s="823"/>
      <c r="AF341" s="116" t="s">
        <v>2117</v>
      </c>
    </row>
    <row r="342" spans="1:32" ht="15.75">
      <c r="C342" s="117"/>
      <c r="D342" s="280" t="str">
        <f>Translate!$A$105</f>
        <v>Energy</v>
      </c>
      <c r="E342" s="280" t="str">
        <f>Translate!$A$104</f>
        <v>Materials</v>
      </c>
      <c r="F342" s="280" t="str">
        <f>Translate!$A$106</f>
        <v>Freight</v>
      </c>
      <c r="G342" s="280" t="str">
        <f>Translate!$A$107</f>
        <v>Mob/demob</v>
      </c>
      <c r="H342" s="280" t="str">
        <f>Translate!$A$108</f>
        <v>People's transportation</v>
      </c>
      <c r="I342" s="280" t="str">
        <f>Translate!$A$109</f>
        <v>Assets</v>
      </c>
      <c r="J342" s="280" t="str">
        <f>Translate!$A$110</f>
        <v>Waste</v>
      </c>
      <c r="K342" s="280" t="str">
        <f>D342</f>
        <v>Energy</v>
      </c>
      <c r="L342" s="280" t="str">
        <f t="shared" ref="L342:AE342" si="63">E342</f>
        <v>Materials</v>
      </c>
      <c r="M342" s="280" t="str">
        <f t="shared" si="63"/>
        <v>Freight</v>
      </c>
      <c r="N342" s="280" t="str">
        <f t="shared" si="63"/>
        <v>Mob/demob</v>
      </c>
      <c r="O342" s="280" t="str">
        <f t="shared" si="63"/>
        <v>People's transportation</v>
      </c>
      <c r="P342" s="280" t="str">
        <f t="shared" si="63"/>
        <v>Assets</v>
      </c>
      <c r="Q342" s="280" t="str">
        <f t="shared" si="63"/>
        <v>Waste</v>
      </c>
      <c r="R342" s="280" t="str">
        <f t="shared" si="63"/>
        <v>Energy</v>
      </c>
      <c r="S342" s="280" t="str">
        <f t="shared" si="63"/>
        <v>Materials</v>
      </c>
      <c r="T342" s="280" t="str">
        <f t="shared" si="63"/>
        <v>Freight</v>
      </c>
      <c r="U342" s="280" t="str">
        <f t="shared" si="63"/>
        <v>Mob/demob</v>
      </c>
      <c r="V342" s="280" t="str">
        <f t="shared" si="63"/>
        <v>People's transportation</v>
      </c>
      <c r="W342" s="280" t="str">
        <f t="shared" si="63"/>
        <v>Assets</v>
      </c>
      <c r="X342" s="280" t="str">
        <f t="shared" ref="X342:AD342" si="64">Q342</f>
        <v>Waste</v>
      </c>
      <c r="Y342" s="280" t="str">
        <f t="shared" si="64"/>
        <v>Energy</v>
      </c>
      <c r="Z342" s="280" t="str">
        <f t="shared" si="64"/>
        <v>Materials</v>
      </c>
      <c r="AA342" s="280" t="str">
        <f t="shared" si="64"/>
        <v>Freight</v>
      </c>
      <c r="AB342" s="280" t="str">
        <f t="shared" si="64"/>
        <v>Mob/demob</v>
      </c>
      <c r="AC342" s="280" t="str">
        <f t="shared" si="64"/>
        <v>People's transportation</v>
      </c>
      <c r="AD342" s="280" t="str">
        <f t="shared" si="64"/>
        <v>Assets</v>
      </c>
      <c r="AE342" s="280" t="str">
        <f t="shared" si="63"/>
        <v>Waste</v>
      </c>
    </row>
    <row r="343" spans="1:32">
      <c r="C343" s="117" t="str">
        <f>Lists!A2</f>
        <v>Bored piles</v>
      </c>
      <c r="D343" s="277">
        <v>4.0916663959490784E-2</v>
      </c>
      <c r="E343" s="277">
        <v>0.95908333604050922</v>
      </c>
      <c r="F343" s="277">
        <v>6.411482467395477E-3</v>
      </c>
      <c r="G343" s="281">
        <v>3.1868748686830371E-3</v>
      </c>
      <c r="H343" s="277">
        <v>1.8692695917956075E-3</v>
      </c>
      <c r="I343" s="277">
        <v>4.377484024657128E-3</v>
      </c>
      <c r="J343" s="736">
        <v>2.6591480192145979E-3</v>
      </c>
      <c r="K343" s="277">
        <v>0.15</v>
      </c>
      <c r="L343" s="277">
        <v>1</v>
      </c>
      <c r="M343" s="277">
        <v>0.1</v>
      </c>
      <c r="N343" s="277">
        <v>0.1</v>
      </c>
      <c r="O343" s="277">
        <v>0.1</v>
      </c>
      <c r="P343" s="277">
        <v>0.05</v>
      </c>
      <c r="Q343" s="277">
        <v>0.05</v>
      </c>
      <c r="R343" s="277">
        <v>0.02</v>
      </c>
      <c r="S343" s="277">
        <v>0.5</v>
      </c>
      <c r="T343" s="277">
        <v>1E-3</v>
      </c>
      <c r="U343" s="281">
        <v>1E-4</v>
      </c>
      <c r="V343" s="281">
        <v>1E-4</v>
      </c>
      <c r="W343" s="281">
        <v>5.0000000000000001E-4</v>
      </c>
      <c r="X343" s="281">
        <v>0</v>
      </c>
      <c r="Y343" s="117">
        <v>1</v>
      </c>
      <c r="Z343" s="117">
        <v>1</v>
      </c>
      <c r="AA343" s="117">
        <v>2</v>
      </c>
      <c r="AB343" s="117">
        <v>2</v>
      </c>
      <c r="AC343" s="117">
        <v>2</v>
      </c>
      <c r="AD343" s="117">
        <v>2</v>
      </c>
      <c r="AE343" s="117">
        <v>2</v>
      </c>
      <c r="AF343" s="116">
        <v>1</v>
      </c>
    </row>
    <row r="344" spans="1:32">
      <c r="C344" s="117" t="str">
        <f>Lists!A3</f>
        <v>Displacement piles</v>
      </c>
      <c r="D344" s="277">
        <v>4.1644221323026691E-2</v>
      </c>
      <c r="E344" s="277">
        <v>0.9583557786769733</v>
      </c>
      <c r="F344" s="277">
        <v>1.8739154571875645E-2</v>
      </c>
      <c r="G344" s="281">
        <v>1.0169826763321867E-2</v>
      </c>
      <c r="H344" s="277">
        <v>6.5301388283712861E-3</v>
      </c>
      <c r="I344" s="277">
        <v>5.8177041765637054E-3</v>
      </c>
      <c r="J344" s="736">
        <v>0</v>
      </c>
      <c r="K344" s="277">
        <v>0.15836296224047822</v>
      </c>
      <c r="L344" s="277">
        <v>1</v>
      </c>
      <c r="M344" s="277">
        <v>0.1</v>
      </c>
      <c r="N344" s="277">
        <v>0.1</v>
      </c>
      <c r="O344" s="277">
        <v>0.1</v>
      </c>
      <c r="P344" s="277">
        <v>0.05</v>
      </c>
      <c r="Q344" s="277">
        <v>0.05</v>
      </c>
      <c r="R344" s="277">
        <v>0.02</v>
      </c>
      <c r="S344" s="277">
        <v>0.5</v>
      </c>
      <c r="T344" s="277">
        <v>1E-3</v>
      </c>
      <c r="U344" s="281">
        <v>1E-4</v>
      </c>
      <c r="V344" s="281">
        <v>1E-4</v>
      </c>
      <c r="W344" s="281">
        <v>5.0000000000000001E-4</v>
      </c>
      <c r="X344" s="281">
        <v>0</v>
      </c>
      <c r="Y344" s="117">
        <v>1</v>
      </c>
      <c r="Z344" s="117">
        <v>1</v>
      </c>
      <c r="AA344" s="117">
        <v>2</v>
      </c>
      <c r="AB344" s="117">
        <v>2</v>
      </c>
      <c r="AC344" s="117">
        <v>2</v>
      </c>
      <c r="AD344" s="117">
        <v>2</v>
      </c>
      <c r="AE344" s="117">
        <v>2</v>
      </c>
      <c r="AF344" s="116">
        <v>1</v>
      </c>
    </row>
    <row r="345" spans="1:32">
      <c r="C345" s="117" t="str">
        <f>Lists!A4</f>
        <v>Micropiles/Minipiles</v>
      </c>
      <c r="D345" s="277">
        <v>9.2842993752644584E-2</v>
      </c>
      <c r="E345" s="277">
        <v>0.9071570062473554</v>
      </c>
      <c r="F345" s="277">
        <v>1.810535734442522E-2</v>
      </c>
      <c r="G345" s="281">
        <v>7.6858966485998563E-3</v>
      </c>
      <c r="H345" s="277">
        <v>1.7714173081825206E-2</v>
      </c>
      <c r="I345" s="277">
        <v>1.375706103394608E-2</v>
      </c>
      <c r="J345" s="736">
        <v>4.649171106089393E-3</v>
      </c>
      <c r="K345" s="277">
        <v>0.19062436769933661</v>
      </c>
      <c r="L345" s="277">
        <v>1</v>
      </c>
      <c r="M345" s="277">
        <v>0.1</v>
      </c>
      <c r="N345" s="277">
        <v>0.1</v>
      </c>
      <c r="O345" s="277">
        <v>0.1</v>
      </c>
      <c r="P345" s="277">
        <v>0.05</v>
      </c>
      <c r="Q345" s="277">
        <v>0.05</v>
      </c>
      <c r="R345" s="277">
        <v>0.02</v>
      </c>
      <c r="S345" s="277">
        <v>0.5</v>
      </c>
      <c r="T345" s="277">
        <v>1E-3</v>
      </c>
      <c r="U345" s="281">
        <v>1E-4</v>
      </c>
      <c r="V345" s="281">
        <v>1E-4</v>
      </c>
      <c r="W345" s="281">
        <v>5.0000000000000001E-4</v>
      </c>
      <c r="X345" s="281">
        <v>0</v>
      </c>
      <c r="Y345" s="117">
        <v>1</v>
      </c>
      <c r="Z345" s="117">
        <v>1</v>
      </c>
      <c r="AA345" s="117">
        <v>2</v>
      </c>
      <c r="AB345" s="117">
        <v>2</v>
      </c>
      <c r="AC345" s="117">
        <v>2</v>
      </c>
      <c r="AD345" s="117">
        <v>2</v>
      </c>
      <c r="AE345" s="117">
        <v>2</v>
      </c>
      <c r="AF345" s="116">
        <v>1</v>
      </c>
    </row>
    <row r="346" spans="1:32">
      <c r="C346" s="117" t="str">
        <f>Lists!A5</f>
        <v>Diaphragm and slurry walls</v>
      </c>
      <c r="D346" s="277">
        <v>0.1086442873103889</v>
      </c>
      <c r="E346" s="277">
        <v>0.89135571268961111</v>
      </c>
      <c r="F346" s="277">
        <v>1.2961482249367716E-2</v>
      </c>
      <c r="G346" s="281">
        <v>1.1893294205425564E-2</v>
      </c>
      <c r="H346" s="277">
        <v>7.3865110813088747E-3</v>
      </c>
      <c r="I346" s="277">
        <v>1.0559083390218988E-2</v>
      </c>
      <c r="J346" s="736">
        <v>6.4556510786077017E-3</v>
      </c>
      <c r="K346" s="277">
        <v>0.26152937995470904</v>
      </c>
      <c r="L346" s="277">
        <v>1</v>
      </c>
      <c r="M346" s="277">
        <v>0.1</v>
      </c>
      <c r="N346" s="277">
        <v>0.1</v>
      </c>
      <c r="O346" s="277">
        <v>0.1</v>
      </c>
      <c r="P346" s="277">
        <v>0.05</v>
      </c>
      <c r="Q346" s="277">
        <v>0.05</v>
      </c>
      <c r="R346" s="277">
        <v>0.04</v>
      </c>
      <c r="S346" s="277">
        <v>0.5</v>
      </c>
      <c r="T346" s="277">
        <v>1E-3</v>
      </c>
      <c r="U346" s="281">
        <v>1E-4</v>
      </c>
      <c r="V346" s="281">
        <v>1E-4</v>
      </c>
      <c r="W346" s="281">
        <v>5.0000000000000001E-4</v>
      </c>
      <c r="X346" s="281">
        <v>0</v>
      </c>
      <c r="Y346" s="117">
        <v>1</v>
      </c>
      <c r="Z346" s="117">
        <v>1</v>
      </c>
      <c r="AA346" s="117">
        <v>2</v>
      </c>
      <c r="AB346" s="117">
        <v>2</v>
      </c>
      <c r="AC346" s="117">
        <v>2</v>
      </c>
      <c r="AD346" s="117">
        <v>2</v>
      </c>
      <c r="AE346" s="117">
        <v>2</v>
      </c>
      <c r="AF346" s="116">
        <v>1</v>
      </c>
    </row>
    <row r="347" spans="1:32">
      <c r="C347" s="117" t="str">
        <f>Lists!A6</f>
        <v>Sheet pile walls</v>
      </c>
      <c r="D347" s="277">
        <v>1.6711997339207415E-2</v>
      </c>
      <c r="E347" s="277">
        <v>0.98328800266079253</v>
      </c>
      <c r="F347" s="277">
        <v>1.2625723969472419E-2</v>
      </c>
      <c r="G347" s="281">
        <v>1.4432279460696474E-3</v>
      </c>
      <c r="H347" s="277">
        <v>9.389183685151457E-3</v>
      </c>
      <c r="I347" s="277">
        <v>3.4728968745457432E-3</v>
      </c>
      <c r="J347" s="736">
        <v>0</v>
      </c>
      <c r="K347" s="277">
        <v>4.2138070504689353E-2</v>
      </c>
      <c r="L347" s="277">
        <v>1</v>
      </c>
      <c r="M347" s="277">
        <v>0.1</v>
      </c>
      <c r="N347" s="277">
        <v>0.1</v>
      </c>
      <c r="O347" s="277">
        <v>0.1</v>
      </c>
      <c r="P347" s="277">
        <v>0.05</v>
      </c>
      <c r="Q347" s="277">
        <v>0.05</v>
      </c>
      <c r="R347" s="277">
        <v>0.01</v>
      </c>
      <c r="S347" s="277">
        <v>0.5</v>
      </c>
      <c r="T347" s="277">
        <v>1E-3</v>
      </c>
      <c r="U347" s="281">
        <v>1E-4</v>
      </c>
      <c r="V347" s="281">
        <v>1E-4</v>
      </c>
      <c r="W347" s="281">
        <v>5.0000000000000001E-4</v>
      </c>
      <c r="X347" s="281">
        <v>0</v>
      </c>
      <c r="Y347" s="117">
        <v>2</v>
      </c>
      <c r="Z347" s="117">
        <v>1</v>
      </c>
      <c r="AA347" s="117">
        <v>2</v>
      </c>
      <c r="AB347" s="117">
        <v>2</v>
      </c>
      <c r="AC347" s="117">
        <v>2</v>
      </c>
      <c r="AD347" s="117">
        <v>2</v>
      </c>
      <c r="AE347" s="117">
        <v>2</v>
      </c>
      <c r="AF347" s="116">
        <v>1</v>
      </c>
    </row>
    <row r="348" spans="1:32">
      <c r="C348" s="117" t="str">
        <f>Lists!A7</f>
        <v>Pile walls</v>
      </c>
      <c r="D348" s="277">
        <v>0.11052786630433771</v>
      </c>
      <c r="E348" s="277">
        <v>0.88947213369566225</v>
      </c>
      <c r="F348" s="277">
        <v>2.282592401015008E-2</v>
      </c>
      <c r="G348" s="281">
        <v>9.6121760628132911E-3</v>
      </c>
      <c r="H348" s="277">
        <v>1.3244808825357562E-2</v>
      </c>
      <c r="I348" s="277">
        <v>1.3903359226777238E-2</v>
      </c>
      <c r="J348" s="736">
        <v>0</v>
      </c>
      <c r="K348" s="277">
        <v>0.3</v>
      </c>
      <c r="L348" s="277">
        <v>1</v>
      </c>
      <c r="M348" s="277">
        <v>0.1</v>
      </c>
      <c r="N348" s="277">
        <v>0.1</v>
      </c>
      <c r="O348" s="277">
        <v>0.2</v>
      </c>
      <c r="P348" s="277">
        <v>0.1</v>
      </c>
      <c r="Q348" s="277">
        <v>0.1</v>
      </c>
      <c r="R348" s="277">
        <v>0.02</v>
      </c>
      <c r="S348" s="277">
        <v>0</v>
      </c>
      <c r="T348" s="277">
        <v>1E-3</v>
      </c>
      <c r="U348" s="281">
        <v>0</v>
      </c>
      <c r="V348" s="281">
        <v>0</v>
      </c>
      <c r="W348" s="281">
        <v>0</v>
      </c>
      <c r="X348" s="281">
        <v>0</v>
      </c>
      <c r="Y348" s="117">
        <v>1</v>
      </c>
      <c r="Z348" s="117">
        <v>1</v>
      </c>
      <c r="AA348" s="117">
        <v>2</v>
      </c>
      <c r="AB348" s="117">
        <v>2</v>
      </c>
      <c r="AC348" s="117">
        <v>2</v>
      </c>
      <c r="AD348" s="117">
        <v>2</v>
      </c>
      <c r="AE348" s="117">
        <v>2</v>
      </c>
      <c r="AF348" s="116">
        <v>1</v>
      </c>
    </row>
    <row r="349" spans="1:32">
      <c r="C349" s="117" t="str">
        <f>Lists!A8</f>
        <v>Anchors</v>
      </c>
      <c r="D349" s="277">
        <v>0.18661588728934392</v>
      </c>
      <c r="E349" s="277">
        <v>0.81338411271065614</v>
      </c>
      <c r="F349" s="277">
        <v>2.4798759904805838E-2</v>
      </c>
      <c r="G349" s="281">
        <v>9.8854516296809063E-3</v>
      </c>
      <c r="H349" s="277">
        <v>2.4650744604902658E-2</v>
      </c>
      <c r="I349" s="277">
        <v>1.5205035581471982E-2</v>
      </c>
      <c r="J349" s="736">
        <v>1.4719009096432431E-3</v>
      </c>
      <c r="K349" s="277">
        <v>0.5</v>
      </c>
      <c r="L349" s="277">
        <v>1</v>
      </c>
      <c r="M349" s="277">
        <v>0.2</v>
      </c>
      <c r="N349" s="277">
        <v>0.1</v>
      </c>
      <c r="O349" s="277">
        <v>0.2</v>
      </c>
      <c r="P349" s="277">
        <v>0.1</v>
      </c>
      <c r="Q349" s="277">
        <v>0.1</v>
      </c>
      <c r="R349" s="277">
        <v>0.01</v>
      </c>
      <c r="S349" s="277">
        <v>0</v>
      </c>
      <c r="T349" s="277">
        <v>1E-3</v>
      </c>
      <c r="U349" s="281">
        <v>0</v>
      </c>
      <c r="V349" s="281">
        <v>0</v>
      </c>
      <c r="W349" s="281">
        <v>0</v>
      </c>
      <c r="X349" s="281">
        <v>0</v>
      </c>
      <c r="Y349" s="117">
        <v>1</v>
      </c>
      <c r="Z349" s="117">
        <v>1</v>
      </c>
      <c r="AA349" s="117">
        <v>2</v>
      </c>
      <c r="AB349" s="117">
        <v>2</v>
      </c>
      <c r="AC349" s="117">
        <v>2</v>
      </c>
      <c r="AD349" s="117">
        <v>2</v>
      </c>
      <c r="AE349" s="117">
        <v>2</v>
      </c>
      <c r="AF349" s="116">
        <v>1</v>
      </c>
    </row>
    <row r="350" spans="1:32">
      <c r="C350" s="117" t="str">
        <f>Lists!A9</f>
        <v>Soil Nails</v>
      </c>
      <c r="D350" s="277">
        <v>9.4133945360327001E-2</v>
      </c>
      <c r="E350" s="277">
        <v>0.90586605463967296</v>
      </c>
      <c r="F350" s="277">
        <v>1.5338789701299656E-2</v>
      </c>
      <c r="G350" s="281">
        <v>8.8609586386441414E-3</v>
      </c>
      <c r="H350" s="277">
        <v>3.9949931165215429E-3</v>
      </c>
      <c r="I350" s="277">
        <v>2.1637149326547149E-3</v>
      </c>
      <c r="J350" s="736">
        <v>0</v>
      </c>
      <c r="K350" s="277">
        <v>0.3</v>
      </c>
      <c r="L350" s="277">
        <v>1</v>
      </c>
      <c r="M350" s="277">
        <v>0.1</v>
      </c>
      <c r="N350" s="277">
        <v>0.1</v>
      </c>
      <c r="O350" s="277">
        <v>0.2</v>
      </c>
      <c r="P350" s="277">
        <v>0.1</v>
      </c>
      <c r="Q350" s="277">
        <v>0.1</v>
      </c>
      <c r="R350" s="277">
        <v>5.0000000000000001E-3</v>
      </c>
      <c r="S350" s="277">
        <v>0</v>
      </c>
      <c r="T350" s="277">
        <v>1E-3</v>
      </c>
      <c r="U350" s="281">
        <v>0</v>
      </c>
      <c r="V350" s="281">
        <v>0</v>
      </c>
      <c r="W350" s="281">
        <v>0</v>
      </c>
      <c r="X350" s="281">
        <v>0</v>
      </c>
      <c r="Y350" s="117">
        <v>1</v>
      </c>
      <c r="Z350" s="117">
        <v>1</v>
      </c>
      <c r="AA350" s="117">
        <v>2</v>
      </c>
      <c r="AB350" s="117">
        <v>2</v>
      </c>
      <c r="AC350" s="117">
        <v>2</v>
      </c>
      <c r="AD350" s="117">
        <v>2</v>
      </c>
      <c r="AE350" s="117">
        <v>2</v>
      </c>
      <c r="AF350" s="116">
        <v>1</v>
      </c>
    </row>
    <row r="351" spans="1:32">
      <c r="C351" s="117" t="str">
        <f>Lists!A10</f>
        <v>Dynamic compaction</v>
      </c>
      <c r="D351" s="277">
        <v>0.72613160137232247</v>
      </c>
      <c r="E351" s="277">
        <v>0</v>
      </c>
      <c r="F351" s="277">
        <v>0</v>
      </c>
      <c r="G351" s="281">
        <v>0.11025726608594562</v>
      </c>
      <c r="H351" s="277">
        <v>6.4582840734115797E-3</v>
      </c>
      <c r="I351" s="277">
        <v>0.1636111059500443</v>
      </c>
      <c r="J351" s="736">
        <v>2.6591687681000226E-8</v>
      </c>
      <c r="K351" s="277">
        <v>1</v>
      </c>
      <c r="L351" s="277">
        <v>0.8</v>
      </c>
      <c r="M351" s="277">
        <v>0.1</v>
      </c>
      <c r="N351" s="277">
        <v>0.3</v>
      </c>
      <c r="O351" s="277">
        <v>0.2</v>
      </c>
      <c r="P351" s="277">
        <v>0.5</v>
      </c>
      <c r="Q351" s="277">
        <v>0.1</v>
      </c>
      <c r="R351" s="277">
        <v>0.1</v>
      </c>
      <c r="S351" s="277">
        <v>0</v>
      </c>
      <c r="T351" s="277">
        <v>1E-3</v>
      </c>
      <c r="U351" s="281">
        <v>0.01</v>
      </c>
      <c r="V351" s="281">
        <v>0</v>
      </c>
      <c r="W351" s="281">
        <v>0.01</v>
      </c>
      <c r="X351" s="281">
        <v>0</v>
      </c>
      <c r="Y351" s="117">
        <v>1</v>
      </c>
      <c r="Z351" s="117">
        <v>2</v>
      </c>
      <c r="AA351" s="117">
        <v>2</v>
      </c>
      <c r="AB351" s="117">
        <v>1</v>
      </c>
      <c r="AC351" s="117">
        <v>1</v>
      </c>
      <c r="AD351" s="117">
        <v>1</v>
      </c>
      <c r="AE351" s="117">
        <v>2</v>
      </c>
      <c r="AF351" s="116">
        <v>3</v>
      </c>
    </row>
    <row r="352" spans="1:32">
      <c r="C352" s="117" t="str">
        <f>Lists!A11</f>
        <v>Vibro compaction</v>
      </c>
      <c r="D352" s="277">
        <v>0.61163570754207885</v>
      </c>
      <c r="E352" s="277">
        <v>0.38836429245792115</v>
      </c>
      <c r="F352" s="277">
        <v>5.4770318142806258E-2</v>
      </c>
      <c r="G352" s="281">
        <v>7.4611405656390623E-3</v>
      </c>
      <c r="H352" s="277">
        <v>5.4142761608213061E-2</v>
      </c>
      <c r="I352" s="277">
        <v>2.3477406963195554E-2</v>
      </c>
      <c r="J352" s="736">
        <v>0</v>
      </c>
      <c r="K352" s="277">
        <v>0.9</v>
      </c>
      <c r="L352" s="277">
        <v>1</v>
      </c>
      <c r="M352" s="277">
        <v>0.1</v>
      </c>
      <c r="N352" s="277">
        <v>0.1</v>
      </c>
      <c r="O352" s="277">
        <v>0.2</v>
      </c>
      <c r="P352" s="277">
        <v>0.1</v>
      </c>
      <c r="Q352" s="277">
        <v>0.1</v>
      </c>
      <c r="R352" s="277">
        <v>0.03</v>
      </c>
      <c r="S352" s="277">
        <v>0</v>
      </c>
      <c r="T352" s="277">
        <v>1E-3</v>
      </c>
      <c r="U352" s="281">
        <v>0</v>
      </c>
      <c r="V352" s="281">
        <v>0</v>
      </c>
      <c r="W352" s="281">
        <v>0</v>
      </c>
      <c r="X352" s="281">
        <v>0</v>
      </c>
      <c r="Y352" s="117">
        <v>1</v>
      </c>
      <c r="Z352" s="117">
        <v>1</v>
      </c>
      <c r="AA352" s="117">
        <v>1</v>
      </c>
      <c r="AB352" s="117">
        <v>1</v>
      </c>
      <c r="AC352" s="117">
        <v>1</v>
      </c>
      <c r="AD352" s="117">
        <v>1</v>
      </c>
      <c r="AE352" s="117">
        <v>2</v>
      </c>
      <c r="AF352" s="116">
        <v>2</v>
      </c>
    </row>
    <row r="353" spans="3:32">
      <c r="C353" s="117" t="str">
        <f>Lists!A12</f>
        <v>Grouting</v>
      </c>
      <c r="D353" s="277">
        <v>0.23769924908646239</v>
      </c>
      <c r="E353" s="277">
        <v>0.76230075091353755</v>
      </c>
      <c r="F353" s="277">
        <v>2.4870849736436395E-2</v>
      </c>
      <c r="G353" s="281">
        <v>7.6954609470492753E-3</v>
      </c>
      <c r="H353" s="277">
        <v>3.9206249120086821E-2</v>
      </c>
      <c r="I353" s="277">
        <v>1.7136924269504153E-2</v>
      </c>
      <c r="J353" s="736">
        <v>2.9771541603212069E-4</v>
      </c>
      <c r="K353" s="277">
        <v>0.54891487481068657</v>
      </c>
      <c r="L353" s="277">
        <v>1</v>
      </c>
      <c r="M353" s="277">
        <v>0.1</v>
      </c>
      <c r="N353" s="277">
        <v>0.1</v>
      </c>
      <c r="O353" s="277">
        <v>0.1</v>
      </c>
      <c r="P353" s="277">
        <v>0.08</v>
      </c>
      <c r="Q353" s="277">
        <v>0.05</v>
      </c>
      <c r="R353" s="277">
        <v>0.05</v>
      </c>
      <c r="S353" s="277">
        <v>0.5</v>
      </c>
      <c r="T353" s="277">
        <v>1E-3</v>
      </c>
      <c r="U353" s="281">
        <v>1E-4</v>
      </c>
      <c r="V353" s="281">
        <v>1E-4</v>
      </c>
      <c r="W353" s="281">
        <v>5.0000000000000001E-4</v>
      </c>
      <c r="X353" s="281">
        <v>0</v>
      </c>
      <c r="Y353" s="117">
        <v>1</v>
      </c>
      <c r="Z353" s="117">
        <v>1</v>
      </c>
      <c r="AA353" s="117">
        <v>2</v>
      </c>
      <c r="AB353" s="117">
        <v>2</v>
      </c>
      <c r="AC353" s="117">
        <v>2</v>
      </c>
      <c r="AD353" s="117">
        <v>2</v>
      </c>
      <c r="AE353" s="117">
        <v>2</v>
      </c>
      <c r="AF353" s="116">
        <v>1</v>
      </c>
    </row>
    <row r="354" spans="3:32">
      <c r="C354" s="117" t="str">
        <f>Lists!A13</f>
        <v>Jet Grouting</v>
      </c>
      <c r="D354" s="277">
        <v>0.13662485583330453</v>
      </c>
      <c r="E354" s="277">
        <v>0.86337514416669547</v>
      </c>
      <c r="F354" s="277">
        <v>1.9419408945262874E-2</v>
      </c>
      <c r="G354" s="281">
        <v>8.2340519385720179E-3</v>
      </c>
      <c r="H354" s="277">
        <v>1.0112619903371943E-2</v>
      </c>
      <c r="I354" s="277">
        <v>1.3239820667780669E-2</v>
      </c>
      <c r="J354" s="736">
        <v>3.7807008001388793E-3</v>
      </c>
      <c r="K354" s="277">
        <v>0.4</v>
      </c>
      <c r="L354" s="277">
        <v>1</v>
      </c>
      <c r="M354" s="277">
        <v>0.2</v>
      </c>
      <c r="N354" s="277">
        <v>0.15</v>
      </c>
      <c r="O354" s="277">
        <v>0.2</v>
      </c>
      <c r="P354" s="277">
        <v>0.1</v>
      </c>
      <c r="Q354" s="277">
        <v>0.1</v>
      </c>
      <c r="R354" s="277">
        <v>0.01</v>
      </c>
      <c r="S354" s="277">
        <v>0</v>
      </c>
      <c r="T354" s="277">
        <v>1E-3</v>
      </c>
      <c r="U354" s="281">
        <v>0</v>
      </c>
      <c r="V354" s="281">
        <v>0</v>
      </c>
      <c r="W354" s="281">
        <v>0</v>
      </c>
      <c r="X354" s="281">
        <v>0</v>
      </c>
      <c r="Y354" s="117">
        <v>1</v>
      </c>
      <c r="Z354" s="117">
        <v>1</v>
      </c>
      <c r="AA354" s="117">
        <v>2</v>
      </c>
      <c r="AB354" s="117">
        <v>2</v>
      </c>
      <c r="AC354" s="117">
        <v>2</v>
      </c>
      <c r="AD354" s="117">
        <v>2</v>
      </c>
      <c r="AE354" s="117">
        <v>2</v>
      </c>
      <c r="AF354" s="116">
        <v>1</v>
      </c>
    </row>
    <row r="355" spans="3:32">
      <c r="C355" s="117" t="str">
        <f>Lists!A14</f>
        <v>Stone Columns</v>
      </c>
      <c r="D355" s="277">
        <v>0.40457254807007886</v>
      </c>
      <c r="E355" s="277">
        <v>0.42796665824037533</v>
      </c>
      <c r="F355" s="277">
        <v>0.16746079368954583</v>
      </c>
      <c r="G355" s="281">
        <v>2.6475605126559915E-2</v>
      </c>
      <c r="H355" s="277">
        <v>5.2105497131751659E-2</v>
      </c>
      <c r="I355" s="277">
        <v>3.3422268107742015E-2</v>
      </c>
      <c r="J355" s="736">
        <v>1.4230130177638998E-7</v>
      </c>
      <c r="K355" s="277">
        <v>0.6</v>
      </c>
      <c r="L355" s="277">
        <v>1</v>
      </c>
      <c r="M355" s="277">
        <v>0.8</v>
      </c>
      <c r="N355" s="277">
        <v>0.15</v>
      </c>
      <c r="O355" s="277">
        <v>0.2</v>
      </c>
      <c r="P355" s="277">
        <v>0.15</v>
      </c>
      <c r="Q355" s="277">
        <v>0.1</v>
      </c>
      <c r="R355" s="277">
        <v>0.03</v>
      </c>
      <c r="S355" s="277">
        <v>0</v>
      </c>
      <c r="T355" s="277">
        <v>0.02</v>
      </c>
      <c r="U355" s="281">
        <v>0</v>
      </c>
      <c r="V355" s="281">
        <v>0</v>
      </c>
      <c r="W355" s="281">
        <v>0</v>
      </c>
      <c r="X355" s="281">
        <v>0</v>
      </c>
      <c r="Y355" s="117">
        <v>1</v>
      </c>
      <c r="Z355" s="117">
        <v>1</v>
      </c>
      <c r="AA355" s="117">
        <v>1</v>
      </c>
      <c r="AB355" s="117">
        <v>2</v>
      </c>
      <c r="AC355" s="117">
        <v>2</v>
      </c>
      <c r="AD355" s="117">
        <v>2</v>
      </c>
      <c r="AE355" s="117">
        <v>2</v>
      </c>
      <c r="AF355" s="116">
        <v>2</v>
      </c>
    </row>
    <row r="356" spans="3:32">
      <c r="C356" s="117" t="str">
        <f>Lists!A15</f>
        <v>Soil Mixing</v>
      </c>
      <c r="D356" s="277">
        <v>0.17223090346139869</v>
      </c>
      <c r="E356" s="277">
        <v>0.82776909653860131</v>
      </c>
      <c r="F356" s="277">
        <v>2.9152920695675481E-2</v>
      </c>
      <c r="G356" s="281">
        <v>1.9057267955190929E-2</v>
      </c>
      <c r="H356" s="277">
        <v>7.1659120621544595E-3</v>
      </c>
      <c r="I356" s="277">
        <v>1.4996057042200592E-2</v>
      </c>
      <c r="J356" s="736">
        <v>1.3209862892618672E-3</v>
      </c>
      <c r="K356" s="277">
        <v>0.40597417531602842</v>
      </c>
      <c r="L356" s="277">
        <v>1</v>
      </c>
      <c r="M356" s="277">
        <v>0.1</v>
      </c>
      <c r="N356" s="277">
        <v>0.1</v>
      </c>
      <c r="O356" s="277">
        <v>0.1</v>
      </c>
      <c r="P356" s="277">
        <v>0.05</v>
      </c>
      <c r="Q356" s="277">
        <v>0.05</v>
      </c>
      <c r="R356" s="277">
        <v>0.05</v>
      </c>
      <c r="S356" s="277">
        <v>0.5</v>
      </c>
      <c r="T356" s="277">
        <v>1E-3</v>
      </c>
      <c r="U356" s="281">
        <v>1E-4</v>
      </c>
      <c r="V356" s="281">
        <v>1E-4</v>
      </c>
      <c r="W356" s="281">
        <v>5.0000000000000001E-4</v>
      </c>
      <c r="X356" s="281">
        <v>0</v>
      </c>
      <c r="Y356" s="117">
        <v>1</v>
      </c>
      <c r="Z356" s="117">
        <v>1</v>
      </c>
      <c r="AA356" s="117">
        <v>2</v>
      </c>
      <c r="AB356" s="117">
        <v>2</v>
      </c>
      <c r="AC356" s="117">
        <v>2</v>
      </c>
      <c r="AD356" s="117">
        <v>2</v>
      </c>
      <c r="AE356" s="117">
        <v>2</v>
      </c>
      <c r="AF356" s="116">
        <v>1</v>
      </c>
    </row>
    <row r="357" spans="3:32">
      <c r="C357" s="117" t="str">
        <f>Lists!A16</f>
        <v>Vertical Drains</v>
      </c>
      <c r="D357" s="277">
        <v>0.31407471675310539</v>
      </c>
      <c r="E357" s="277">
        <v>0.68592528324689461</v>
      </c>
      <c r="F357" s="277">
        <v>8.6807392094092384E-2</v>
      </c>
      <c r="G357" s="281">
        <v>1.7088531079671034E-2</v>
      </c>
      <c r="H357" s="277">
        <v>1.0515683900542852E-3</v>
      </c>
      <c r="I357" s="277">
        <v>2.2846102331717216E-2</v>
      </c>
      <c r="J357" s="736">
        <v>0</v>
      </c>
      <c r="K357" s="277">
        <v>0.6</v>
      </c>
      <c r="L357" s="277">
        <v>1</v>
      </c>
      <c r="M357" s="277">
        <v>0.15</v>
      </c>
      <c r="N357" s="277">
        <v>0.1</v>
      </c>
      <c r="O357" s="277">
        <v>0.2</v>
      </c>
      <c r="P357" s="277">
        <v>0.1</v>
      </c>
      <c r="Q357" s="277">
        <v>0.1</v>
      </c>
      <c r="R357" s="277">
        <v>1E-3</v>
      </c>
      <c r="S357" s="277">
        <v>0</v>
      </c>
      <c r="T357" s="277">
        <v>1E-3</v>
      </c>
      <c r="U357" s="281">
        <v>0</v>
      </c>
      <c r="V357" s="281">
        <v>0</v>
      </c>
      <c r="W357" s="281">
        <v>0</v>
      </c>
      <c r="X357" s="281">
        <v>0</v>
      </c>
      <c r="Y357" s="117">
        <v>1</v>
      </c>
      <c r="Z357" s="117">
        <v>1</v>
      </c>
      <c r="AA357" s="117">
        <v>1</v>
      </c>
      <c r="AB357" s="117">
        <v>1</v>
      </c>
      <c r="AC357" s="117">
        <v>2</v>
      </c>
      <c r="AD357" s="117">
        <v>1</v>
      </c>
      <c r="AE357" s="117">
        <v>2</v>
      </c>
      <c r="AF357" s="116">
        <v>2</v>
      </c>
    </row>
    <row r="358" spans="3:32">
      <c r="C358" s="117" t="str">
        <f>Lists!A17</f>
        <v>Dewatering</v>
      </c>
      <c r="D358" s="277">
        <v>0.45</v>
      </c>
      <c r="E358" s="277">
        <v>0.1</v>
      </c>
      <c r="F358" s="277">
        <v>0.01</v>
      </c>
      <c r="G358" s="281">
        <v>0.18</v>
      </c>
      <c r="H358" s="277">
        <v>0.02</v>
      </c>
      <c r="I358" s="277">
        <v>0.24</v>
      </c>
      <c r="J358" s="277">
        <f>J351</f>
        <v>2.6591687681000226E-8</v>
      </c>
      <c r="K358" s="277">
        <v>1</v>
      </c>
      <c r="L358" s="277">
        <v>0.5</v>
      </c>
      <c r="M358" s="277">
        <v>0.5</v>
      </c>
      <c r="N358" s="277">
        <v>0.5</v>
      </c>
      <c r="O358" s="277">
        <v>0.5</v>
      </c>
      <c r="P358" s="277">
        <v>0.5</v>
      </c>
      <c r="Q358" s="277">
        <v>0.5</v>
      </c>
      <c r="R358" s="277">
        <v>0.1</v>
      </c>
      <c r="S358" s="277">
        <v>0</v>
      </c>
      <c r="T358" s="277">
        <v>1E-3</v>
      </c>
      <c r="U358" s="281">
        <v>0</v>
      </c>
      <c r="V358" s="281">
        <v>0</v>
      </c>
      <c r="W358" s="281">
        <v>0</v>
      </c>
      <c r="X358" s="281">
        <v>0</v>
      </c>
      <c r="Y358" s="117">
        <v>1</v>
      </c>
      <c r="Z358" s="117">
        <v>1</v>
      </c>
      <c r="AA358" s="117">
        <v>1</v>
      </c>
      <c r="AB358" s="117">
        <v>1</v>
      </c>
      <c r="AC358" s="117">
        <v>1</v>
      </c>
      <c r="AD358" s="117">
        <v>1</v>
      </c>
      <c r="AE358" s="117">
        <v>2</v>
      </c>
      <c r="AF358" s="116">
        <v>2</v>
      </c>
    </row>
    <row r="359" spans="3:32">
      <c r="C359" s="117" t="str">
        <f>Lists!A18</f>
        <v>Other</v>
      </c>
      <c r="D359" s="277">
        <v>0</v>
      </c>
      <c r="E359" s="277">
        <v>0</v>
      </c>
      <c r="F359" s="277">
        <v>0</v>
      </c>
      <c r="G359" s="281">
        <v>0</v>
      </c>
      <c r="H359" s="277">
        <v>0</v>
      </c>
      <c r="I359" s="277">
        <v>0</v>
      </c>
      <c r="J359" s="277">
        <v>0</v>
      </c>
      <c r="K359" s="277">
        <v>1</v>
      </c>
      <c r="L359" s="277">
        <v>1</v>
      </c>
      <c r="M359" s="277">
        <v>1</v>
      </c>
      <c r="N359" s="277">
        <v>1</v>
      </c>
      <c r="O359" s="277">
        <v>1</v>
      </c>
      <c r="P359" s="277">
        <v>1</v>
      </c>
      <c r="Q359" s="277">
        <v>1</v>
      </c>
      <c r="R359" s="277">
        <v>0</v>
      </c>
      <c r="S359" s="277">
        <v>0</v>
      </c>
      <c r="T359" s="277">
        <v>0</v>
      </c>
      <c r="U359" s="281">
        <v>0</v>
      </c>
      <c r="V359" s="281">
        <v>0</v>
      </c>
      <c r="W359" s="281">
        <v>0</v>
      </c>
      <c r="X359" s="281">
        <v>0</v>
      </c>
      <c r="Y359" s="117">
        <v>1</v>
      </c>
      <c r="Z359" s="117">
        <v>1</v>
      </c>
      <c r="AA359" s="117">
        <v>1</v>
      </c>
      <c r="AB359" s="117">
        <v>1</v>
      </c>
      <c r="AC359" s="117">
        <v>1</v>
      </c>
      <c r="AD359" s="117">
        <v>1</v>
      </c>
      <c r="AE359" s="117">
        <v>1</v>
      </c>
      <c r="AF359" s="116">
        <v>2</v>
      </c>
    </row>
    <row r="360" spans="3:32">
      <c r="C360" s="117"/>
      <c r="D360" s="278"/>
      <c r="E360" s="278"/>
      <c r="F360" s="279"/>
      <c r="G360" s="279"/>
      <c r="H360" s="279"/>
      <c r="I360" s="279"/>
      <c r="J360" s="279"/>
      <c r="K360" s="278"/>
      <c r="L360" s="278"/>
      <c r="M360" s="279"/>
      <c r="N360" s="279"/>
      <c r="O360" s="279"/>
      <c r="P360" s="279"/>
      <c r="Q360" s="279"/>
      <c r="R360" s="278"/>
      <c r="S360" s="278"/>
      <c r="T360" s="279"/>
      <c r="U360" s="279"/>
      <c r="V360" s="279"/>
      <c r="W360" s="279"/>
      <c r="X360" s="279"/>
      <c r="Y360" s="117"/>
      <c r="Z360" s="117"/>
      <c r="AA360" s="117"/>
      <c r="AB360" s="117"/>
      <c r="AC360" s="117"/>
      <c r="AD360" s="117"/>
      <c r="AE360" s="117"/>
    </row>
    <row r="361" spans="3:32">
      <c r="C361" s="117"/>
      <c r="D361" s="278"/>
      <c r="E361" s="278"/>
      <c r="F361" s="279"/>
      <c r="G361" s="117"/>
      <c r="H361" s="117"/>
      <c r="I361" s="117"/>
      <c r="J361" s="117"/>
      <c r="K361" s="278"/>
      <c r="L361" s="278"/>
      <c r="M361" s="279"/>
      <c r="N361" s="117"/>
      <c r="O361" s="117"/>
      <c r="P361" s="117"/>
      <c r="Q361" s="117"/>
      <c r="R361" s="278"/>
      <c r="S361" s="278"/>
      <c r="T361" s="279"/>
      <c r="U361" s="117"/>
      <c r="V361" s="117"/>
      <c r="W361" s="117"/>
      <c r="X361" s="117"/>
      <c r="Y361" s="117"/>
      <c r="Z361" s="117"/>
      <c r="AA361" s="117"/>
      <c r="AB361" s="117"/>
      <c r="AC361" s="117"/>
      <c r="AD361" s="117"/>
      <c r="AE361" s="117"/>
    </row>
    <row r="373" spans="1:27" s="266" customFormat="1" ht="27.75" customHeight="1">
      <c r="A373" s="265">
        <f ca="1">IF(ISBLANK(H373),OFFSET(A373,-1,0),OFFSET(A373,-1,0)+1)</f>
        <v>0</v>
      </c>
      <c r="C373" s="267" t="str">
        <f>Translate!$A$88</f>
        <v>Default concrete</v>
      </c>
      <c r="D373" s="268"/>
      <c r="E373" s="268"/>
      <c r="F373" s="268"/>
      <c r="G373" s="268"/>
      <c r="H373" s="268"/>
      <c r="I373" s="268"/>
      <c r="J373" s="268"/>
      <c r="K373" s="268"/>
      <c r="L373" s="268"/>
      <c r="M373" s="269"/>
      <c r="N373" s="270"/>
      <c r="O373" s="270"/>
      <c r="P373" s="270"/>
      <c r="Q373" s="270"/>
      <c r="R373" s="270"/>
      <c r="S373" s="270"/>
      <c r="T373" s="270"/>
      <c r="U373" s="270"/>
      <c r="V373" s="270"/>
      <c r="W373" s="270"/>
      <c r="X373" s="270"/>
      <c r="Y373" s="270"/>
      <c r="Z373" s="270"/>
      <c r="AA373" s="270"/>
    </row>
    <row r="374" spans="1:27">
      <c r="J374" s="116" t="str">
        <f>Translate!$A$517</f>
        <v>kg</v>
      </c>
      <c r="O374" s="116" t="str">
        <f>Translate!$A$520</f>
        <v>lb</v>
      </c>
    </row>
    <row r="375" spans="1:27" ht="15" customHeight="1">
      <c r="D375" s="117" t="str">
        <f>Translate!$A$514</f>
        <v>Cement used</v>
      </c>
      <c r="E375" s="117" t="str">
        <f>Translate!A76</f>
        <v>Total cementitious content</v>
      </c>
      <c r="F375" s="604" t="str">
        <f>Translate!A78</f>
        <v>Secondary constituent content</v>
      </c>
      <c r="G375" s="117" t="str">
        <f>Translate!A177</f>
        <v>Aggregate</v>
      </c>
      <c r="H375" s="117" t="str">
        <f>Translate!A190</f>
        <v>Sand</v>
      </c>
      <c r="I375" s="117" t="str">
        <f>Translate!A198</f>
        <v>Water</v>
      </c>
      <c r="J375" s="117" t="str">
        <f t="shared" ref="J375:S375" si="65">E375</f>
        <v>Total cementitious content</v>
      </c>
      <c r="K375" s="117" t="str">
        <f t="shared" si="65"/>
        <v>Secondary constituent content</v>
      </c>
      <c r="L375" s="117" t="str">
        <f t="shared" si="65"/>
        <v>Aggregate</v>
      </c>
      <c r="M375" s="117" t="str">
        <f t="shared" si="65"/>
        <v>Sand</v>
      </c>
      <c r="N375" s="117" t="str">
        <f t="shared" si="65"/>
        <v>Water</v>
      </c>
      <c r="O375" s="117" t="str">
        <f t="shared" si="65"/>
        <v>Total cementitious content</v>
      </c>
      <c r="P375" s="117" t="str">
        <f t="shared" si="65"/>
        <v>Secondary constituent content</v>
      </c>
      <c r="Q375" s="117" t="str">
        <f t="shared" si="65"/>
        <v>Aggregate</v>
      </c>
      <c r="R375" s="117" t="str">
        <f t="shared" si="65"/>
        <v>Sand</v>
      </c>
      <c r="S375" s="117" t="str">
        <f t="shared" si="65"/>
        <v>Water</v>
      </c>
    </row>
    <row r="376" spans="1:27" ht="15" customHeight="1">
      <c r="C376" s="116">
        <v>1</v>
      </c>
      <c r="D376" s="117">
        <f t="shared" ref="D376:I376" si="66">C376+1</f>
        <v>2</v>
      </c>
      <c r="E376" s="117">
        <f t="shared" si="66"/>
        <v>3</v>
      </c>
      <c r="F376" s="117">
        <f t="shared" si="66"/>
        <v>4</v>
      </c>
      <c r="G376" s="117">
        <f t="shared" si="66"/>
        <v>5</v>
      </c>
      <c r="H376" s="117">
        <f t="shared" si="66"/>
        <v>6</v>
      </c>
      <c r="I376" s="117">
        <f t="shared" si="66"/>
        <v>7</v>
      </c>
    </row>
    <row r="377" spans="1:27">
      <c r="C377" s="603" t="str">
        <f t="shared" ref="C377:C392" si="67">C343</f>
        <v>Bored piles</v>
      </c>
      <c r="D377" s="123" t="str">
        <f>Translate!$A$181</f>
        <v>CEM I</v>
      </c>
      <c r="E377" s="455">
        <f t="shared" ref="E377:E393" si="68">IF($F$3=$AC$6,O377,J377)</f>
        <v>400</v>
      </c>
      <c r="F377" s="455">
        <f t="shared" ref="F377:F393" si="69">IF($F$3=$AC$6,P377,K377)</f>
        <v>0</v>
      </c>
      <c r="G377" s="455">
        <f t="shared" ref="G377:G393" si="70">IF($F$3=$AC$6,Q377,L377)</f>
        <v>900</v>
      </c>
      <c r="H377" s="455">
        <f t="shared" ref="H377:H393" si="71">IF($F$3=$AC$6,R377,M377)</f>
        <v>800</v>
      </c>
      <c r="I377" s="455">
        <f t="shared" ref="I377:I393" si="72">IF($F$3=$AC$6,S377,N377)</f>
        <v>200</v>
      </c>
      <c r="J377" s="117">
        <v>400</v>
      </c>
      <c r="K377" s="605"/>
      <c r="L377" s="117">
        <v>900</v>
      </c>
      <c r="M377" s="117">
        <v>800</v>
      </c>
      <c r="N377" s="117">
        <v>200</v>
      </c>
      <c r="O377" s="341">
        <f>J377/0.45359237</f>
        <v>881.84904873951029</v>
      </c>
      <c r="P377" s="341">
        <f t="shared" ref="P377:P393" si="73">K377/0.45359237</f>
        <v>0</v>
      </c>
      <c r="Q377" s="341">
        <f t="shared" ref="Q377:Q393" si="74">L377/0.45359237</f>
        <v>1984.1603596638981</v>
      </c>
      <c r="R377" s="341">
        <f t="shared" ref="R377:R393" si="75">M377/0.45359237</f>
        <v>1763.6980974790206</v>
      </c>
      <c r="S377" s="341">
        <f t="shared" ref="S377:S393" si="76">N377/0.45359237</f>
        <v>440.92452436975515</v>
      </c>
    </row>
    <row r="378" spans="1:27">
      <c r="C378" s="603" t="str">
        <f t="shared" si="67"/>
        <v>Displacement piles</v>
      </c>
      <c r="D378" s="123" t="str">
        <f>Translate!$A$181</f>
        <v>CEM I</v>
      </c>
      <c r="E378" s="455">
        <f t="shared" si="68"/>
        <v>400</v>
      </c>
      <c r="F378" s="455">
        <f t="shared" si="69"/>
        <v>0</v>
      </c>
      <c r="G378" s="455">
        <f t="shared" si="70"/>
        <v>900</v>
      </c>
      <c r="H378" s="455">
        <f t="shared" si="71"/>
        <v>800</v>
      </c>
      <c r="I378" s="455">
        <f t="shared" si="72"/>
        <v>200</v>
      </c>
      <c r="J378" s="117">
        <v>400</v>
      </c>
      <c r="K378" s="605"/>
      <c r="L378" s="117">
        <v>900</v>
      </c>
      <c r="M378" s="117">
        <v>800</v>
      </c>
      <c r="N378" s="117">
        <v>200</v>
      </c>
      <c r="O378" s="341">
        <f t="shared" ref="O378:O393" si="77">J378/0.45359237</f>
        <v>881.84904873951029</v>
      </c>
      <c r="P378" s="341">
        <f t="shared" si="73"/>
        <v>0</v>
      </c>
      <c r="Q378" s="341">
        <f t="shared" si="74"/>
        <v>1984.1603596638981</v>
      </c>
      <c r="R378" s="341">
        <f t="shared" si="75"/>
        <v>1763.6980974790206</v>
      </c>
      <c r="S378" s="341">
        <f t="shared" si="76"/>
        <v>440.92452436975515</v>
      </c>
    </row>
    <row r="379" spans="1:27">
      <c r="C379" s="603" t="str">
        <f t="shared" si="67"/>
        <v>Micropiles/Minipiles</v>
      </c>
      <c r="D379" s="123" t="str">
        <f>Translate!$A$181</f>
        <v>CEM I</v>
      </c>
      <c r="E379" s="455">
        <f t="shared" si="68"/>
        <v>400</v>
      </c>
      <c r="F379" s="455">
        <f t="shared" si="69"/>
        <v>0</v>
      </c>
      <c r="G379" s="455">
        <f t="shared" si="70"/>
        <v>900</v>
      </c>
      <c r="H379" s="455">
        <f t="shared" si="71"/>
        <v>800</v>
      </c>
      <c r="I379" s="455">
        <f t="shared" si="72"/>
        <v>200</v>
      </c>
      <c r="J379" s="117">
        <v>400</v>
      </c>
      <c r="K379" s="605"/>
      <c r="L379" s="117">
        <v>900</v>
      </c>
      <c r="M379" s="117">
        <v>800</v>
      </c>
      <c r="N379" s="117">
        <v>200</v>
      </c>
      <c r="O379" s="341">
        <f t="shared" si="77"/>
        <v>881.84904873951029</v>
      </c>
      <c r="P379" s="341">
        <f t="shared" si="73"/>
        <v>0</v>
      </c>
      <c r="Q379" s="341">
        <f t="shared" si="74"/>
        <v>1984.1603596638981</v>
      </c>
      <c r="R379" s="341">
        <f t="shared" si="75"/>
        <v>1763.6980974790206</v>
      </c>
      <c r="S379" s="341">
        <f t="shared" si="76"/>
        <v>440.92452436975515</v>
      </c>
    </row>
    <row r="380" spans="1:27">
      <c r="C380" s="603" t="str">
        <f t="shared" si="67"/>
        <v>Diaphragm and slurry walls</v>
      </c>
      <c r="D380" s="123" t="str">
        <f>Translate!$A$181</f>
        <v>CEM I</v>
      </c>
      <c r="E380" s="455">
        <f t="shared" si="68"/>
        <v>400</v>
      </c>
      <c r="F380" s="455">
        <f t="shared" si="69"/>
        <v>0</v>
      </c>
      <c r="G380" s="455">
        <f t="shared" si="70"/>
        <v>900</v>
      </c>
      <c r="H380" s="455">
        <f t="shared" si="71"/>
        <v>800</v>
      </c>
      <c r="I380" s="455">
        <f t="shared" si="72"/>
        <v>200</v>
      </c>
      <c r="J380" s="117">
        <v>400</v>
      </c>
      <c r="K380" s="605"/>
      <c r="L380" s="117">
        <v>900</v>
      </c>
      <c r="M380" s="117">
        <v>800</v>
      </c>
      <c r="N380" s="117">
        <v>200</v>
      </c>
      <c r="O380" s="341">
        <f t="shared" si="77"/>
        <v>881.84904873951029</v>
      </c>
      <c r="P380" s="341">
        <f t="shared" si="73"/>
        <v>0</v>
      </c>
      <c r="Q380" s="341">
        <f t="shared" si="74"/>
        <v>1984.1603596638981</v>
      </c>
      <c r="R380" s="341">
        <f t="shared" si="75"/>
        <v>1763.6980974790206</v>
      </c>
      <c r="S380" s="341">
        <f t="shared" si="76"/>
        <v>440.92452436975515</v>
      </c>
    </row>
    <row r="381" spans="1:27">
      <c r="C381" s="603" t="str">
        <f t="shared" si="67"/>
        <v>Sheet pile walls</v>
      </c>
      <c r="D381" s="123" t="str">
        <f>Translate!$A$181</f>
        <v>CEM I</v>
      </c>
      <c r="E381" s="455">
        <f t="shared" si="68"/>
        <v>400</v>
      </c>
      <c r="F381" s="455">
        <f t="shared" si="69"/>
        <v>0</v>
      </c>
      <c r="G381" s="455">
        <f t="shared" si="70"/>
        <v>900</v>
      </c>
      <c r="H381" s="455">
        <f t="shared" si="71"/>
        <v>800</v>
      </c>
      <c r="I381" s="455">
        <f t="shared" si="72"/>
        <v>200</v>
      </c>
      <c r="J381" s="117">
        <v>400</v>
      </c>
      <c r="K381" s="605"/>
      <c r="L381" s="117">
        <v>900</v>
      </c>
      <c r="M381" s="117">
        <v>800</v>
      </c>
      <c r="N381" s="117">
        <v>200</v>
      </c>
      <c r="O381" s="341">
        <f t="shared" si="77"/>
        <v>881.84904873951029</v>
      </c>
      <c r="P381" s="341">
        <f t="shared" si="73"/>
        <v>0</v>
      </c>
      <c r="Q381" s="341">
        <f t="shared" si="74"/>
        <v>1984.1603596638981</v>
      </c>
      <c r="R381" s="341">
        <f t="shared" si="75"/>
        <v>1763.6980974790206</v>
      </c>
      <c r="S381" s="341">
        <f t="shared" si="76"/>
        <v>440.92452436975515</v>
      </c>
    </row>
    <row r="382" spans="1:27">
      <c r="C382" s="603" t="str">
        <f t="shared" si="67"/>
        <v>Pile walls</v>
      </c>
      <c r="D382" s="123" t="str">
        <f>Translate!$A$181</f>
        <v>CEM I</v>
      </c>
      <c r="E382" s="455">
        <f t="shared" si="68"/>
        <v>400</v>
      </c>
      <c r="F382" s="455">
        <f t="shared" si="69"/>
        <v>0</v>
      </c>
      <c r="G382" s="455">
        <f t="shared" si="70"/>
        <v>900</v>
      </c>
      <c r="H382" s="455">
        <f t="shared" si="71"/>
        <v>800</v>
      </c>
      <c r="I382" s="455">
        <f t="shared" si="72"/>
        <v>200</v>
      </c>
      <c r="J382" s="117">
        <v>400</v>
      </c>
      <c r="K382" s="605"/>
      <c r="L382" s="117">
        <v>900</v>
      </c>
      <c r="M382" s="117">
        <v>800</v>
      </c>
      <c r="N382" s="117">
        <v>200</v>
      </c>
      <c r="O382" s="341">
        <f t="shared" si="77"/>
        <v>881.84904873951029</v>
      </c>
      <c r="P382" s="341">
        <f t="shared" si="73"/>
        <v>0</v>
      </c>
      <c r="Q382" s="341">
        <f t="shared" si="74"/>
        <v>1984.1603596638981</v>
      </c>
      <c r="R382" s="341">
        <f t="shared" si="75"/>
        <v>1763.6980974790206</v>
      </c>
      <c r="S382" s="341">
        <f t="shared" si="76"/>
        <v>440.92452436975515</v>
      </c>
    </row>
    <row r="383" spans="1:27">
      <c r="C383" s="603" t="str">
        <f t="shared" si="67"/>
        <v>Anchors</v>
      </c>
      <c r="D383" s="123" t="str">
        <f>Translate!$A$181</f>
        <v>CEM I</v>
      </c>
      <c r="E383" s="455">
        <f t="shared" si="68"/>
        <v>400</v>
      </c>
      <c r="F383" s="455">
        <f t="shared" si="69"/>
        <v>0</v>
      </c>
      <c r="G383" s="455">
        <f t="shared" si="70"/>
        <v>900</v>
      </c>
      <c r="H383" s="455">
        <f t="shared" si="71"/>
        <v>800</v>
      </c>
      <c r="I383" s="455">
        <f t="shared" si="72"/>
        <v>200</v>
      </c>
      <c r="J383" s="117">
        <v>400</v>
      </c>
      <c r="K383" s="605"/>
      <c r="L383" s="117">
        <v>900</v>
      </c>
      <c r="M383" s="117">
        <v>800</v>
      </c>
      <c r="N383" s="117">
        <v>200</v>
      </c>
      <c r="O383" s="341">
        <f t="shared" si="77"/>
        <v>881.84904873951029</v>
      </c>
      <c r="P383" s="341">
        <f t="shared" si="73"/>
        <v>0</v>
      </c>
      <c r="Q383" s="341">
        <f t="shared" si="74"/>
        <v>1984.1603596638981</v>
      </c>
      <c r="R383" s="341">
        <f t="shared" si="75"/>
        <v>1763.6980974790206</v>
      </c>
      <c r="S383" s="341">
        <f t="shared" si="76"/>
        <v>440.92452436975515</v>
      </c>
    </row>
    <row r="384" spans="1:27">
      <c r="C384" s="603" t="str">
        <f t="shared" si="67"/>
        <v>Soil Nails</v>
      </c>
      <c r="D384" s="123" t="str">
        <f>Translate!$A$181</f>
        <v>CEM I</v>
      </c>
      <c r="E384" s="455">
        <f t="shared" si="68"/>
        <v>400</v>
      </c>
      <c r="F384" s="455">
        <f t="shared" si="69"/>
        <v>0</v>
      </c>
      <c r="G384" s="455">
        <f t="shared" si="70"/>
        <v>900</v>
      </c>
      <c r="H384" s="455">
        <f t="shared" si="71"/>
        <v>800</v>
      </c>
      <c r="I384" s="455">
        <f t="shared" si="72"/>
        <v>200</v>
      </c>
      <c r="J384" s="117">
        <v>400</v>
      </c>
      <c r="K384" s="605"/>
      <c r="L384" s="117">
        <v>900</v>
      </c>
      <c r="M384" s="117">
        <v>800</v>
      </c>
      <c r="N384" s="117">
        <v>200</v>
      </c>
      <c r="O384" s="341">
        <f t="shared" si="77"/>
        <v>881.84904873951029</v>
      </c>
      <c r="P384" s="341">
        <f t="shared" si="73"/>
        <v>0</v>
      </c>
      <c r="Q384" s="341">
        <f t="shared" si="74"/>
        <v>1984.1603596638981</v>
      </c>
      <c r="R384" s="341">
        <f t="shared" si="75"/>
        <v>1763.6980974790206</v>
      </c>
      <c r="S384" s="341">
        <f t="shared" si="76"/>
        <v>440.92452436975515</v>
      </c>
    </row>
    <row r="385" spans="3:19">
      <c r="C385" s="603" t="str">
        <f t="shared" si="67"/>
        <v>Dynamic compaction</v>
      </c>
      <c r="D385" s="123" t="str">
        <f>Translate!$A$181</f>
        <v>CEM I</v>
      </c>
      <c r="E385" s="455">
        <f t="shared" si="68"/>
        <v>400</v>
      </c>
      <c r="F385" s="455">
        <f t="shared" si="69"/>
        <v>0</v>
      </c>
      <c r="G385" s="455">
        <f t="shared" si="70"/>
        <v>900</v>
      </c>
      <c r="H385" s="455">
        <f t="shared" si="71"/>
        <v>800</v>
      </c>
      <c r="I385" s="455">
        <f t="shared" si="72"/>
        <v>200</v>
      </c>
      <c r="J385" s="117">
        <v>400</v>
      </c>
      <c r="K385" s="605"/>
      <c r="L385" s="117">
        <v>900</v>
      </c>
      <c r="M385" s="117">
        <v>800</v>
      </c>
      <c r="N385" s="117">
        <v>200</v>
      </c>
      <c r="O385" s="341">
        <f t="shared" si="77"/>
        <v>881.84904873951029</v>
      </c>
      <c r="P385" s="341">
        <f t="shared" si="73"/>
        <v>0</v>
      </c>
      <c r="Q385" s="341">
        <f t="shared" si="74"/>
        <v>1984.1603596638981</v>
      </c>
      <c r="R385" s="341">
        <f t="shared" si="75"/>
        <v>1763.6980974790206</v>
      </c>
      <c r="S385" s="341">
        <f t="shared" si="76"/>
        <v>440.92452436975515</v>
      </c>
    </row>
    <row r="386" spans="3:19">
      <c r="C386" s="603" t="str">
        <f t="shared" si="67"/>
        <v>Vibro compaction</v>
      </c>
      <c r="D386" s="123" t="str">
        <f>Translate!$A$181</f>
        <v>CEM I</v>
      </c>
      <c r="E386" s="455">
        <f t="shared" si="68"/>
        <v>400</v>
      </c>
      <c r="F386" s="455">
        <f t="shared" si="69"/>
        <v>0</v>
      </c>
      <c r="G386" s="455">
        <f t="shared" si="70"/>
        <v>900</v>
      </c>
      <c r="H386" s="455">
        <f t="shared" si="71"/>
        <v>800</v>
      </c>
      <c r="I386" s="455">
        <f t="shared" si="72"/>
        <v>200</v>
      </c>
      <c r="J386" s="117">
        <v>400</v>
      </c>
      <c r="K386" s="605"/>
      <c r="L386" s="117">
        <v>900</v>
      </c>
      <c r="M386" s="117">
        <v>800</v>
      </c>
      <c r="N386" s="117">
        <v>200</v>
      </c>
      <c r="O386" s="341">
        <f t="shared" si="77"/>
        <v>881.84904873951029</v>
      </c>
      <c r="P386" s="341">
        <f t="shared" si="73"/>
        <v>0</v>
      </c>
      <c r="Q386" s="341">
        <f t="shared" si="74"/>
        <v>1984.1603596638981</v>
      </c>
      <c r="R386" s="341">
        <f t="shared" si="75"/>
        <v>1763.6980974790206</v>
      </c>
      <c r="S386" s="341">
        <f t="shared" si="76"/>
        <v>440.92452436975515</v>
      </c>
    </row>
    <row r="387" spans="3:19">
      <c r="C387" s="603" t="str">
        <f t="shared" si="67"/>
        <v>Grouting</v>
      </c>
      <c r="D387" s="123" t="str">
        <f>Translate!$A$181</f>
        <v>CEM I</v>
      </c>
      <c r="E387" s="455">
        <f t="shared" si="68"/>
        <v>400</v>
      </c>
      <c r="F387" s="455">
        <f t="shared" si="69"/>
        <v>0</v>
      </c>
      <c r="G387" s="455">
        <f t="shared" si="70"/>
        <v>900</v>
      </c>
      <c r="H387" s="455">
        <f t="shared" si="71"/>
        <v>800</v>
      </c>
      <c r="I387" s="455">
        <f t="shared" si="72"/>
        <v>200</v>
      </c>
      <c r="J387" s="117">
        <v>400</v>
      </c>
      <c r="K387" s="605"/>
      <c r="L387" s="117">
        <v>900</v>
      </c>
      <c r="M387" s="117">
        <v>800</v>
      </c>
      <c r="N387" s="117">
        <v>200</v>
      </c>
      <c r="O387" s="341">
        <f t="shared" si="77"/>
        <v>881.84904873951029</v>
      </c>
      <c r="P387" s="341">
        <f t="shared" si="73"/>
        <v>0</v>
      </c>
      <c r="Q387" s="341">
        <f t="shared" si="74"/>
        <v>1984.1603596638981</v>
      </c>
      <c r="R387" s="341">
        <f t="shared" si="75"/>
        <v>1763.6980974790206</v>
      </c>
      <c r="S387" s="341">
        <f t="shared" si="76"/>
        <v>440.92452436975515</v>
      </c>
    </row>
    <row r="388" spans="3:19">
      <c r="C388" s="603" t="str">
        <f t="shared" si="67"/>
        <v>Jet Grouting</v>
      </c>
      <c r="D388" s="123" t="str">
        <f>Translate!$A$181</f>
        <v>CEM I</v>
      </c>
      <c r="E388" s="455">
        <f t="shared" si="68"/>
        <v>400</v>
      </c>
      <c r="F388" s="455">
        <f t="shared" si="69"/>
        <v>0</v>
      </c>
      <c r="G388" s="455">
        <f t="shared" si="70"/>
        <v>900</v>
      </c>
      <c r="H388" s="455">
        <f t="shared" si="71"/>
        <v>800</v>
      </c>
      <c r="I388" s="455">
        <f t="shared" si="72"/>
        <v>200</v>
      </c>
      <c r="J388" s="117">
        <v>400</v>
      </c>
      <c r="K388" s="605"/>
      <c r="L388" s="117">
        <v>900</v>
      </c>
      <c r="M388" s="117">
        <v>800</v>
      </c>
      <c r="N388" s="117">
        <v>200</v>
      </c>
      <c r="O388" s="341">
        <f t="shared" si="77"/>
        <v>881.84904873951029</v>
      </c>
      <c r="P388" s="341">
        <f t="shared" si="73"/>
        <v>0</v>
      </c>
      <c r="Q388" s="341">
        <f t="shared" si="74"/>
        <v>1984.1603596638981</v>
      </c>
      <c r="R388" s="341">
        <f t="shared" si="75"/>
        <v>1763.6980974790206</v>
      </c>
      <c r="S388" s="341">
        <f t="shared" si="76"/>
        <v>440.92452436975515</v>
      </c>
    </row>
    <row r="389" spans="3:19">
      <c r="C389" s="603" t="str">
        <f t="shared" si="67"/>
        <v>Stone Columns</v>
      </c>
      <c r="D389" s="123" t="str">
        <f>Translate!$A$181</f>
        <v>CEM I</v>
      </c>
      <c r="E389" s="455">
        <f t="shared" si="68"/>
        <v>400</v>
      </c>
      <c r="F389" s="455">
        <f t="shared" si="69"/>
        <v>0</v>
      </c>
      <c r="G389" s="455">
        <f t="shared" si="70"/>
        <v>900</v>
      </c>
      <c r="H389" s="455">
        <f t="shared" si="71"/>
        <v>800</v>
      </c>
      <c r="I389" s="455">
        <f t="shared" si="72"/>
        <v>200</v>
      </c>
      <c r="J389" s="117">
        <v>400</v>
      </c>
      <c r="K389" s="605"/>
      <c r="L389" s="117">
        <v>900</v>
      </c>
      <c r="M389" s="117">
        <v>800</v>
      </c>
      <c r="N389" s="117">
        <v>200</v>
      </c>
      <c r="O389" s="341">
        <f t="shared" si="77"/>
        <v>881.84904873951029</v>
      </c>
      <c r="P389" s="341">
        <f t="shared" si="73"/>
        <v>0</v>
      </c>
      <c r="Q389" s="341">
        <f t="shared" si="74"/>
        <v>1984.1603596638981</v>
      </c>
      <c r="R389" s="341">
        <f t="shared" si="75"/>
        <v>1763.6980974790206</v>
      </c>
      <c r="S389" s="341">
        <f t="shared" si="76"/>
        <v>440.92452436975515</v>
      </c>
    </row>
    <row r="390" spans="3:19">
      <c r="C390" s="603" t="str">
        <f t="shared" si="67"/>
        <v>Soil Mixing</v>
      </c>
      <c r="D390" s="123" t="str">
        <f>Translate!$A$181</f>
        <v>CEM I</v>
      </c>
      <c r="E390" s="455">
        <f t="shared" si="68"/>
        <v>400</v>
      </c>
      <c r="F390" s="455">
        <f t="shared" si="69"/>
        <v>0</v>
      </c>
      <c r="G390" s="455">
        <f t="shared" si="70"/>
        <v>900</v>
      </c>
      <c r="H390" s="455">
        <f t="shared" si="71"/>
        <v>800</v>
      </c>
      <c r="I390" s="455">
        <f t="shared" si="72"/>
        <v>200</v>
      </c>
      <c r="J390" s="117">
        <v>400</v>
      </c>
      <c r="K390" s="605"/>
      <c r="L390" s="117">
        <v>900</v>
      </c>
      <c r="M390" s="117">
        <v>800</v>
      </c>
      <c r="N390" s="117">
        <v>200</v>
      </c>
      <c r="O390" s="341">
        <f t="shared" si="77"/>
        <v>881.84904873951029</v>
      </c>
      <c r="P390" s="341">
        <f t="shared" si="73"/>
        <v>0</v>
      </c>
      <c r="Q390" s="341">
        <f t="shared" si="74"/>
        <v>1984.1603596638981</v>
      </c>
      <c r="R390" s="341">
        <f t="shared" si="75"/>
        <v>1763.6980974790206</v>
      </c>
      <c r="S390" s="341">
        <f t="shared" si="76"/>
        <v>440.92452436975515</v>
      </c>
    </row>
    <row r="391" spans="3:19">
      <c r="C391" s="603" t="str">
        <f t="shared" si="67"/>
        <v>Vertical Drains</v>
      </c>
      <c r="D391" s="123" t="str">
        <f>Translate!$A$181</f>
        <v>CEM I</v>
      </c>
      <c r="E391" s="455">
        <f t="shared" si="68"/>
        <v>400</v>
      </c>
      <c r="F391" s="455">
        <f t="shared" si="69"/>
        <v>0</v>
      </c>
      <c r="G391" s="455">
        <f t="shared" si="70"/>
        <v>900</v>
      </c>
      <c r="H391" s="455">
        <f t="shared" si="71"/>
        <v>800</v>
      </c>
      <c r="I391" s="455">
        <f t="shared" si="72"/>
        <v>200</v>
      </c>
      <c r="J391" s="117">
        <v>400</v>
      </c>
      <c r="K391" s="605"/>
      <c r="L391" s="117">
        <v>900</v>
      </c>
      <c r="M391" s="117">
        <v>800</v>
      </c>
      <c r="N391" s="117">
        <v>200</v>
      </c>
      <c r="O391" s="341">
        <f t="shared" si="77"/>
        <v>881.84904873951029</v>
      </c>
      <c r="P391" s="341">
        <f t="shared" si="73"/>
        <v>0</v>
      </c>
      <c r="Q391" s="341">
        <f t="shared" si="74"/>
        <v>1984.1603596638981</v>
      </c>
      <c r="R391" s="341">
        <f t="shared" si="75"/>
        <v>1763.6980974790206</v>
      </c>
      <c r="S391" s="341">
        <f t="shared" si="76"/>
        <v>440.92452436975515</v>
      </c>
    </row>
    <row r="392" spans="3:19">
      <c r="C392" s="603" t="str">
        <f t="shared" si="67"/>
        <v>Dewatering</v>
      </c>
      <c r="D392" s="123" t="str">
        <f>Translate!$A$181</f>
        <v>CEM I</v>
      </c>
      <c r="E392" s="455">
        <f t="shared" ref="E392" si="78">IF($F$3=$AC$6,O392,J392)</f>
        <v>400</v>
      </c>
      <c r="F392" s="455">
        <f t="shared" ref="F392" si="79">IF($F$3=$AC$6,P392,K392)</f>
        <v>0</v>
      </c>
      <c r="G392" s="455">
        <f t="shared" ref="G392" si="80">IF($F$3=$AC$6,Q392,L392)</f>
        <v>900</v>
      </c>
      <c r="H392" s="455">
        <f t="shared" ref="H392" si="81">IF($F$3=$AC$6,R392,M392)</f>
        <v>800</v>
      </c>
      <c r="I392" s="455">
        <f t="shared" ref="I392" si="82">IF($F$3=$AC$6,S392,N392)</f>
        <v>200</v>
      </c>
      <c r="J392" s="117">
        <v>400</v>
      </c>
      <c r="K392" s="605"/>
      <c r="L392" s="117">
        <v>900</v>
      </c>
      <c r="M392" s="117">
        <v>800</v>
      </c>
      <c r="N392" s="117">
        <v>200</v>
      </c>
      <c r="O392" s="341">
        <f t="shared" ref="O392" si="83">J392/0.45359237</f>
        <v>881.84904873951029</v>
      </c>
      <c r="P392" s="341">
        <f t="shared" ref="P392" si="84">K392/0.45359237</f>
        <v>0</v>
      </c>
      <c r="Q392" s="341">
        <f t="shared" ref="Q392" si="85">L392/0.45359237</f>
        <v>1984.1603596638981</v>
      </c>
      <c r="R392" s="341">
        <f t="shared" ref="R392" si="86">M392/0.45359237</f>
        <v>1763.6980974790206</v>
      </c>
      <c r="S392" s="341">
        <f t="shared" ref="S392" si="87">N392/0.45359237</f>
        <v>440.92452436975515</v>
      </c>
    </row>
    <row r="393" spans="3:19">
      <c r="C393" s="603" t="str">
        <f t="shared" ref="C393" si="88">C359</f>
        <v>Other</v>
      </c>
      <c r="D393" s="123" t="str">
        <f>Translate!$A$181</f>
        <v>CEM I</v>
      </c>
      <c r="E393" s="455">
        <f t="shared" si="68"/>
        <v>400</v>
      </c>
      <c r="F393" s="455">
        <f t="shared" si="69"/>
        <v>0</v>
      </c>
      <c r="G393" s="455">
        <f t="shared" si="70"/>
        <v>900</v>
      </c>
      <c r="H393" s="455">
        <f t="shared" si="71"/>
        <v>800</v>
      </c>
      <c r="I393" s="455">
        <f t="shared" si="72"/>
        <v>200</v>
      </c>
      <c r="J393" s="117">
        <v>400</v>
      </c>
      <c r="K393" s="121"/>
      <c r="L393" s="117">
        <v>900</v>
      </c>
      <c r="M393" s="117">
        <v>800</v>
      </c>
      <c r="N393" s="117">
        <v>200</v>
      </c>
      <c r="O393" s="341">
        <f t="shared" si="77"/>
        <v>881.84904873951029</v>
      </c>
      <c r="P393" s="341">
        <f t="shared" si="73"/>
        <v>0</v>
      </c>
      <c r="Q393" s="341">
        <f t="shared" si="74"/>
        <v>1984.1603596638981</v>
      </c>
      <c r="R393" s="341">
        <f t="shared" si="75"/>
        <v>1763.6980974790206</v>
      </c>
      <c r="S393" s="341">
        <f t="shared" si="76"/>
        <v>440.92452436975515</v>
      </c>
    </row>
    <row r="407" spans="1:27" s="266" customFormat="1" ht="27.75" customHeight="1">
      <c r="A407" s="265">
        <f ca="1">IF(ISBLANK(H407),OFFSET(A407,-1,0),OFFSET(A407,-1,0)+1)</f>
        <v>0</v>
      </c>
      <c r="C407" s="267" t="str">
        <f>Translate!$A$507</f>
        <v>Units</v>
      </c>
      <c r="D407" s="268"/>
      <c r="E407" s="268"/>
      <c r="F407" s="268"/>
      <c r="G407" s="268"/>
      <c r="H407" s="268"/>
      <c r="I407" s="268"/>
      <c r="J407" s="268"/>
      <c r="K407" s="268"/>
      <c r="L407" s="268"/>
      <c r="M407" s="269"/>
      <c r="N407" s="270"/>
      <c r="O407" s="270"/>
      <c r="P407" s="270"/>
      <c r="Q407" s="270"/>
      <c r="R407" s="270"/>
      <c r="S407" s="270"/>
      <c r="T407" s="270"/>
      <c r="U407" s="270"/>
      <c r="V407" s="270"/>
      <c r="W407" s="270"/>
      <c r="X407" s="270"/>
      <c r="Y407" s="270"/>
      <c r="Z407" s="270"/>
      <c r="AA407" s="270"/>
    </row>
    <row r="409" spans="1:27" ht="15.75">
      <c r="C409" s="117"/>
      <c r="D409" s="117" t="str">
        <f>Translate!$A$515</f>
        <v>European</v>
      </c>
      <c r="E409" s="117" t="str">
        <f>Translate!$A$518</f>
        <v>US</v>
      </c>
      <c r="F409" s="122" t="str">
        <f>Translate!$A$527</f>
        <v>Selected</v>
      </c>
      <c r="G409" s="117" t="str">
        <f>Translate!$A$529</f>
        <v>Conversion factor</v>
      </c>
    </row>
    <row r="410" spans="1:27" ht="15.75">
      <c r="C410" s="117" t="str">
        <f>Translate!$A$112</f>
        <v>Distance</v>
      </c>
      <c r="D410" s="117" t="str">
        <f>Translate!$A$119</f>
        <v>km</v>
      </c>
      <c r="E410" s="117" t="str">
        <f>Translate!$A$519</f>
        <v>miles</v>
      </c>
      <c r="F410" s="10" t="str">
        <f t="shared" ref="F410:F418" si="89">IF($F$3=$AC$6,E410,D410)</f>
        <v>km</v>
      </c>
      <c r="G410" s="608">
        <f>1/1.61</f>
        <v>0.6211180124223602</v>
      </c>
    </row>
    <row r="411" spans="1:27" ht="15.75">
      <c r="C411" s="117" t="str">
        <f>Translate!$A$508</f>
        <v>mass</v>
      </c>
      <c r="D411" s="117" t="str">
        <f>Translate!$A$101</f>
        <v>t</v>
      </c>
      <c r="E411" s="117" t="str">
        <f>Translate!$A$520</f>
        <v>lb</v>
      </c>
      <c r="F411" s="10" t="str">
        <f t="shared" si="89"/>
        <v>t</v>
      </c>
      <c r="G411" s="679">
        <f>1000/0.45359237</f>
        <v>2204.6226218487759</v>
      </c>
    </row>
    <row r="412" spans="1:27" ht="15.75">
      <c r="C412" s="117" t="str">
        <f>Translate!$A$508</f>
        <v>mass</v>
      </c>
      <c r="D412" s="117" t="str">
        <f>Translate!$A$101</f>
        <v>t</v>
      </c>
      <c r="E412" s="117" t="str">
        <f>Translate!$A$521</f>
        <v>ton</v>
      </c>
      <c r="F412" s="10" t="str">
        <f t="shared" si="89"/>
        <v>t</v>
      </c>
      <c r="G412" s="608">
        <v>1.1020000000000001</v>
      </c>
    </row>
    <row r="413" spans="1:27" ht="15.75">
      <c r="C413" s="117" t="str">
        <f>Translate!$A$508</f>
        <v>mass</v>
      </c>
      <c r="D413" s="117" t="str">
        <f>Translate!$A$517</f>
        <v>kg</v>
      </c>
      <c r="E413" s="117" t="str">
        <f>Translate!$A$520</f>
        <v>lb</v>
      </c>
      <c r="F413" s="10" t="str">
        <f t="shared" si="89"/>
        <v>kg</v>
      </c>
      <c r="G413" s="608">
        <f>1/0.45359237</f>
        <v>2.2046226218487757</v>
      </c>
    </row>
    <row r="414" spans="1:27" ht="15.75">
      <c r="C414" s="117" t="str">
        <f>Translate!$A$509</f>
        <v>volume</v>
      </c>
      <c r="D414" s="117" t="str">
        <f>Translate!$A$516</f>
        <v>m3</v>
      </c>
      <c r="E414" s="117" t="str">
        <f>Translate!$A$522</f>
        <v>yd3</v>
      </c>
      <c r="F414" s="10" t="str">
        <f t="shared" si="89"/>
        <v>m3</v>
      </c>
      <c r="G414" s="608">
        <f>1/0.765</f>
        <v>1.3071895424836601</v>
      </c>
    </row>
    <row r="415" spans="1:27" ht="15.75">
      <c r="C415" s="117" t="str">
        <f>Translate!$A$509</f>
        <v>volume</v>
      </c>
      <c r="D415" s="117" t="str">
        <f>Translate!$A$238</f>
        <v>liter</v>
      </c>
      <c r="E415" s="117" t="str">
        <f>Translate!$A$523</f>
        <v>gallon</v>
      </c>
      <c r="F415" s="10" t="str">
        <f t="shared" si="89"/>
        <v>liter</v>
      </c>
      <c r="G415" s="608">
        <f>0.264172052</f>
        <v>0.26417205199999999</v>
      </c>
    </row>
    <row r="416" spans="1:27" ht="15.75">
      <c r="C416" s="117" t="str">
        <f>Translate!$A$510</f>
        <v>transportation-vehicule</v>
      </c>
      <c r="D416" s="117" t="str">
        <f>Translate!$A$239</f>
        <v>vkm</v>
      </c>
      <c r="E416" s="117" t="str">
        <f>Translate!$A$524</f>
        <v>vehicle-mile</v>
      </c>
      <c r="F416" s="10" t="str">
        <f t="shared" si="89"/>
        <v>vkm</v>
      </c>
      <c r="G416" s="608">
        <f>G410</f>
        <v>0.6211180124223602</v>
      </c>
    </row>
    <row r="417" spans="3:7" ht="15.75">
      <c r="C417" s="117" t="str">
        <f>Translate!$A$511</f>
        <v>transportation-tonne</v>
      </c>
      <c r="D417" s="117" t="str">
        <f>Translate!$A$240</f>
        <v>tkm</v>
      </c>
      <c r="E417" s="117" t="str">
        <f>Translate!$A$525</f>
        <v>ton-mile</v>
      </c>
      <c r="F417" s="10" t="str">
        <f t="shared" si="89"/>
        <v>tkm</v>
      </c>
      <c r="G417" s="608">
        <f>G416</f>
        <v>0.6211180124223602</v>
      </c>
    </row>
    <row r="418" spans="3:7" ht="15.75">
      <c r="C418" s="117" t="str">
        <f>Translate!$A$512</f>
        <v>transportation-passenger</v>
      </c>
      <c r="D418" s="117" t="str">
        <f>Translate!$A$241</f>
        <v>pkm</v>
      </c>
      <c r="E418" s="117" t="str">
        <f>Translate!$A$526</f>
        <v>passenger-mile</v>
      </c>
      <c r="F418" s="10" t="str">
        <f t="shared" si="89"/>
        <v>pkm</v>
      </c>
      <c r="G418" s="608">
        <f>G417</f>
        <v>0.6211180124223602</v>
      </c>
    </row>
  </sheetData>
  <sheetProtection formatColumns="0" formatRows="0"/>
  <dataConsolidate/>
  <mergeCells count="5">
    <mergeCell ref="K341:Q341"/>
    <mergeCell ref="Y341:AE341"/>
    <mergeCell ref="D3:E3"/>
    <mergeCell ref="D341:J341"/>
    <mergeCell ref="R341:X341"/>
  </mergeCells>
  <dataValidations disablePrompts="1" count="2">
    <dataValidation type="list" allowBlank="1" showInputMessage="1" showErrorMessage="1" sqref="C226" xr:uid="{00000000-0002-0000-0800-000000000000}">
      <formula1>RailFreightElectric</formula1>
    </dataValidation>
    <dataValidation type="list" allowBlank="1" showInputMessage="1" showErrorMessage="1" sqref="I8:I38" xr:uid="{00000000-0002-0000-0800-000001000000}">
      <formula1>MaterialTypes</formula1>
    </dataValidation>
  </dataValidations>
  <pageMargins left="0.7" right="0.7" top="0.75" bottom="0.75"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5"/>
  <dimension ref="A1:AA120"/>
  <sheetViews>
    <sheetView topLeftCell="A7" workbookViewId="0"/>
  </sheetViews>
  <sheetFormatPr baseColWidth="10" defaultColWidth="11.5546875" defaultRowHeight="15"/>
  <cols>
    <col min="1" max="1" width="3.88671875" customWidth="1"/>
    <col min="2" max="3" width="11.5546875" customWidth="1"/>
    <col min="4" max="4" width="4.5546875" customWidth="1"/>
    <col min="5" max="8" width="11.5546875" customWidth="1"/>
    <col min="9" max="9" width="2.6640625" customWidth="1"/>
  </cols>
  <sheetData>
    <row r="1" spans="1:27" hidden="1">
      <c r="A1" s="310"/>
      <c r="B1" s="310"/>
      <c r="C1" s="310"/>
      <c r="D1" s="310"/>
      <c r="E1" s="310"/>
      <c r="F1" s="310"/>
      <c r="G1" s="310"/>
      <c r="H1" s="310"/>
      <c r="I1" s="310"/>
      <c r="J1" s="310"/>
      <c r="K1" s="310"/>
      <c r="L1" s="310"/>
      <c r="M1" s="310"/>
      <c r="N1" s="310"/>
      <c r="O1" s="310"/>
      <c r="P1" s="310"/>
      <c r="Q1" s="310"/>
      <c r="R1" s="310"/>
      <c r="S1" s="310"/>
      <c r="T1" s="310"/>
      <c r="U1" s="310"/>
      <c r="V1" s="310"/>
      <c r="W1" s="310"/>
      <c r="X1" s="310"/>
      <c r="Y1" s="310"/>
      <c r="Z1" s="310"/>
      <c r="AA1" s="310"/>
    </row>
    <row r="2" spans="1:27" hidden="1">
      <c r="A2" s="310"/>
      <c r="B2" s="310"/>
      <c r="C2" s="310"/>
      <c r="D2" s="310"/>
      <c r="E2" s="310"/>
      <c r="F2" s="310"/>
      <c r="G2" s="310"/>
      <c r="H2" s="310"/>
      <c r="I2" s="310"/>
      <c r="J2" s="310"/>
      <c r="K2" s="310"/>
      <c r="L2" s="310"/>
      <c r="M2" s="310"/>
      <c r="N2" s="310"/>
      <c r="O2" s="310"/>
      <c r="P2" s="310"/>
      <c r="Q2" s="310"/>
      <c r="R2" s="310"/>
      <c r="S2" s="310"/>
      <c r="T2" s="310"/>
      <c r="U2" s="310"/>
      <c r="V2" s="310"/>
      <c r="W2" s="310"/>
      <c r="X2" s="310"/>
      <c r="Y2" s="310"/>
      <c r="Z2" s="310"/>
      <c r="AA2" s="310"/>
    </row>
    <row r="3" spans="1:27" hidden="1">
      <c r="A3" s="310"/>
      <c r="B3" s="310"/>
      <c r="C3" s="310"/>
      <c r="D3" s="310"/>
      <c r="E3" s="310"/>
      <c r="F3" s="310"/>
      <c r="G3" s="310"/>
      <c r="H3" s="310"/>
      <c r="I3" s="310"/>
      <c r="J3" s="310"/>
      <c r="K3" s="310"/>
      <c r="L3" s="310"/>
      <c r="M3" s="310"/>
      <c r="N3" s="310"/>
      <c r="O3" s="310"/>
      <c r="P3" s="310"/>
      <c r="Q3" s="310"/>
      <c r="R3" s="310"/>
      <c r="S3" s="310"/>
      <c r="T3" s="310"/>
      <c r="U3" s="310"/>
      <c r="V3" s="310"/>
      <c r="W3" s="310"/>
      <c r="X3" s="310"/>
      <c r="Y3" s="310"/>
      <c r="Z3" s="310"/>
      <c r="AA3" s="310"/>
    </row>
    <row r="4" spans="1:27" hidden="1">
      <c r="A4" s="310"/>
      <c r="B4" s="310"/>
      <c r="C4" s="310"/>
      <c r="D4" s="310"/>
      <c r="E4" s="310"/>
      <c r="F4" s="310"/>
      <c r="G4" s="310"/>
      <c r="H4" s="310"/>
      <c r="I4" s="310"/>
      <c r="J4" s="310"/>
      <c r="K4" s="310"/>
      <c r="L4" s="310"/>
      <c r="M4" s="310"/>
      <c r="N4" s="310"/>
      <c r="O4" s="310"/>
      <c r="P4" s="310"/>
      <c r="Q4" s="310"/>
      <c r="R4" s="310"/>
      <c r="S4" s="310"/>
      <c r="T4" s="310"/>
      <c r="U4" s="310"/>
      <c r="V4" s="310"/>
      <c r="W4" s="310"/>
      <c r="X4" s="310"/>
      <c r="Y4" s="310"/>
      <c r="Z4" s="310"/>
      <c r="AA4" s="310"/>
    </row>
    <row r="5" spans="1:27" ht="14.1" hidden="1" customHeight="1">
      <c r="A5" s="310"/>
      <c r="B5" s="310"/>
      <c r="C5" s="310"/>
      <c r="D5" s="310"/>
      <c r="E5" s="310"/>
      <c r="F5" s="310"/>
      <c r="G5" s="310"/>
      <c r="H5" s="310"/>
      <c r="I5" s="310"/>
      <c r="J5" s="310"/>
      <c r="K5" s="310"/>
      <c r="L5" s="310"/>
      <c r="M5" s="310"/>
      <c r="N5" s="310"/>
      <c r="O5" s="310"/>
      <c r="P5" s="310"/>
      <c r="Q5" s="310"/>
      <c r="R5" s="310"/>
      <c r="S5" s="310"/>
      <c r="T5" s="310"/>
      <c r="U5" s="310"/>
      <c r="V5" s="310"/>
      <c r="W5" s="310"/>
      <c r="X5" s="310"/>
      <c r="Y5" s="310"/>
      <c r="Z5" s="310"/>
      <c r="AA5" s="310"/>
    </row>
    <row r="6" spans="1:27" ht="14.1" hidden="1" customHeight="1">
      <c r="A6" s="310"/>
      <c r="B6" s="310"/>
      <c r="C6" s="310"/>
      <c r="D6" s="310"/>
      <c r="E6" s="310"/>
      <c r="F6" s="310"/>
      <c r="G6" s="310"/>
      <c r="H6" s="310"/>
      <c r="I6" s="310"/>
      <c r="J6" s="310"/>
      <c r="K6" s="310"/>
      <c r="L6" s="310"/>
      <c r="M6" s="310"/>
      <c r="N6" s="310"/>
      <c r="O6" s="310"/>
      <c r="P6" s="310"/>
      <c r="Q6" s="310"/>
      <c r="R6" s="310"/>
      <c r="S6" s="310"/>
      <c r="T6" s="310"/>
      <c r="U6" s="310"/>
      <c r="V6" s="310"/>
      <c r="W6" s="310"/>
      <c r="X6" s="310"/>
      <c r="Y6" s="310"/>
      <c r="Z6" s="310"/>
      <c r="AA6" s="310"/>
    </row>
    <row r="7" spans="1:27" ht="14.1" customHeight="1">
      <c r="A7" s="310"/>
      <c r="B7" s="310"/>
      <c r="C7" s="310"/>
      <c r="D7" s="310"/>
      <c r="E7" s="310"/>
      <c r="F7" s="310"/>
      <c r="G7" s="310"/>
      <c r="H7" s="310"/>
      <c r="I7" s="310"/>
      <c r="J7" s="310"/>
      <c r="K7" s="310"/>
      <c r="L7" s="310"/>
      <c r="M7" s="310"/>
      <c r="N7" s="310"/>
      <c r="O7" s="310"/>
      <c r="P7" s="310"/>
      <c r="Q7" s="310"/>
      <c r="R7" s="310"/>
      <c r="S7" s="310"/>
      <c r="T7" s="310"/>
      <c r="U7" s="310"/>
      <c r="V7" s="310"/>
      <c r="W7" s="310"/>
      <c r="X7" s="310"/>
      <c r="Y7" s="310"/>
      <c r="Z7" s="310"/>
      <c r="AA7" s="310"/>
    </row>
    <row r="8" spans="1:27" ht="14.1" customHeight="1">
      <c r="A8" s="310"/>
      <c r="B8" s="310"/>
      <c r="C8" s="310"/>
      <c r="D8" s="310"/>
      <c r="E8" s="310"/>
      <c r="F8" s="310"/>
      <c r="G8" s="310"/>
      <c r="H8" s="310"/>
      <c r="I8" s="310"/>
      <c r="J8" s="310"/>
      <c r="K8" s="310"/>
      <c r="L8" s="310"/>
      <c r="M8" s="310"/>
      <c r="N8" s="310"/>
      <c r="O8" s="310"/>
      <c r="P8" s="310"/>
      <c r="Q8" s="310"/>
      <c r="R8" s="310"/>
      <c r="S8" s="310"/>
      <c r="T8" s="310"/>
      <c r="U8" s="310"/>
      <c r="V8" s="310"/>
      <c r="W8" s="310"/>
      <c r="X8" s="310"/>
      <c r="Y8" s="310"/>
      <c r="Z8" s="310"/>
      <c r="AA8" s="310"/>
    </row>
    <row r="9" spans="1:27">
      <c r="A9" s="310"/>
      <c r="B9" s="310"/>
      <c r="C9" s="310"/>
      <c r="D9" s="310"/>
      <c r="E9" s="310"/>
      <c r="F9" s="310"/>
      <c r="G9" s="310"/>
      <c r="H9" s="310"/>
      <c r="I9" s="310"/>
      <c r="J9" s="310"/>
      <c r="K9" s="310"/>
      <c r="L9" s="310"/>
      <c r="M9" s="310"/>
      <c r="N9" s="310"/>
      <c r="O9" s="310"/>
      <c r="P9" s="310"/>
      <c r="Q9" s="310"/>
      <c r="R9" s="310"/>
      <c r="S9" s="310"/>
      <c r="T9" s="310"/>
      <c r="U9" s="310"/>
      <c r="V9" s="310"/>
      <c r="W9" s="310"/>
      <c r="X9" s="310"/>
      <c r="Y9" s="310"/>
      <c r="Z9" s="310"/>
      <c r="AA9" s="310"/>
    </row>
    <row r="10" spans="1:27" ht="18">
      <c r="A10" s="310"/>
      <c r="B10" s="310"/>
      <c r="C10" s="310"/>
      <c r="D10" s="310"/>
      <c r="E10" s="310"/>
      <c r="F10" s="310"/>
      <c r="G10" s="440" t="str">
        <f>Translate!$A$275</f>
        <v>Insert your logo here</v>
      </c>
      <c r="H10" s="310"/>
      <c r="I10" s="310"/>
      <c r="J10" s="310"/>
      <c r="K10" s="310"/>
      <c r="L10" s="310"/>
      <c r="M10" s="310"/>
      <c r="N10" s="310"/>
      <c r="O10" s="310"/>
      <c r="P10" s="310"/>
      <c r="Q10" s="310"/>
      <c r="R10" s="310"/>
      <c r="S10" s="310"/>
      <c r="T10" s="310"/>
      <c r="U10" s="310"/>
      <c r="V10" s="310"/>
      <c r="W10" s="310"/>
      <c r="X10" s="310"/>
      <c r="Y10" s="310"/>
      <c r="Z10" s="310"/>
      <c r="AA10" s="310"/>
    </row>
    <row r="11" spans="1:27">
      <c r="A11" s="310"/>
      <c r="B11" s="310"/>
      <c r="C11" s="310"/>
      <c r="D11" s="310"/>
      <c r="E11" s="310"/>
      <c r="F11" s="310"/>
      <c r="G11" s="100"/>
      <c r="H11" s="101"/>
      <c r="I11" s="102"/>
      <c r="J11" s="310"/>
      <c r="K11" s="310"/>
      <c r="L11" s="310"/>
      <c r="M11" s="310"/>
      <c r="N11" s="310"/>
      <c r="O11" s="310"/>
      <c r="P11" s="310"/>
      <c r="Q11" s="310"/>
      <c r="R11" s="310"/>
      <c r="S11" s="310"/>
      <c r="T11" s="310"/>
      <c r="U11" s="310"/>
      <c r="V11" s="310"/>
      <c r="W11" s="310"/>
      <c r="X11" s="310"/>
      <c r="Y11" s="310"/>
      <c r="Z11" s="310"/>
      <c r="AA11" s="310"/>
    </row>
    <row r="12" spans="1:27" ht="15.75">
      <c r="A12" s="310"/>
      <c r="B12" s="310" t="str">
        <f>Translate!$A$274</f>
        <v>Size</v>
      </c>
      <c r="C12" s="311">
        <v>1</v>
      </c>
      <c r="D12" s="310"/>
      <c r="E12" s="310"/>
      <c r="F12" s="310"/>
      <c r="G12" s="103"/>
      <c r="H12" s="11"/>
      <c r="I12" s="104"/>
      <c r="J12" s="335" t="str">
        <f>Translate!$A$276</f>
        <v>The logo have to fit in the white box</v>
      </c>
      <c r="K12" s="310"/>
      <c r="L12" s="310"/>
      <c r="M12" s="310"/>
      <c r="N12" s="310"/>
      <c r="O12" s="310"/>
      <c r="P12" s="310"/>
      <c r="Q12" s="310"/>
      <c r="R12" s="310"/>
      <c r="S12" s="310"/>
      <c r="T12" s="310"/>
      <c r="U12" s="310"/>
      <c r="V12" s="310"/>
      <c r="W12" s="310"/>
      <c r="X12" s="310"/>
      <c r="Y12" s="310"/>
      <c r="Z12" s="310"/>
      <c r="AA12" s="310"/>
    </row>
    <row r="13" spans="1:27">
      <c r="A13" s="310"/>
      <c r="B13" s="310"/>
      <c r="C13" s="310"/>
      <c r="D13" s="310"/>
      <c r="E13" s="310"/>
      <c r="F13" s="310"/>
      <c r="G13" s="103"/>
      <c r="H13" s="11"/>
      <c r="I13" s="104"/>
      <c r="J13" s="310"/>
      <c r="K13" s="310"/>
      <c r="L13" s="310"/>
      <c r="M13" s="310"/>
      <c r="N13" s="310"/>
      <c r="O13" s="310"/>
      <c r="P13" s="310"/>
      <c r="Q13" s="310"/>
      <c r="R13" s="310"/>
      <c r="S13" s="310"/>
      <c r="T13" s="310"/>
      <c r="U13" s="310"/>
      <c r="V13" s="310"/>
      <c r="W13" s="310"/>
      <c r="X13" s="310"/>
      <c r="Y13" s="310"/>
      <c r="Z13" s="310"/>
      <c r="AA13" s="310"/>
    </row>
    <row r="14" spans="1:27">
      <c r="A14" s="310"/>
      <c r="B14" s="310"/>
      <c r="C14" s="310"/>
      <c r="D14" s="310"/>
      <c r="E14" s="310"/>
      <c r="F14" s="310"/>
      <c r="G14" s="106"/>
      <c r="H14" s="107"/>
      <c r="I14" s="108"/>
      <c r="J14" s="310"/>
      <c r="K14" s="310"/>
      <c r="L14" s="310"/>
      <c r="M14" s="310"/>
      <c r="N14" s="310"/>
      <c r="O14" s="310"/>
      <c r="P14" s="310"/>
      <c r="Q14" s="310"/>
      <c r="R14" s="310"/>
      <c r="S14" s="310"/>
      <c r="T14" s="310"/>
      <c r="U14" s="310"/>
      <c r="V14" s="310"/>
      <c r="W14" s="310"/>
      <c r="X14" s="310"/>
      <c r="Y14" s="310"/>
      <c r="Z14" s="310"/>
      <c r="AA14" s="310"/>
    </row>
    <row r="15" spans="1:27">
      <c r="A15" s="310"/>
      <c r="B15" s="310"/>
      <c r="C15" s="310"/>
      <c r="D15" s="310"/>
      <c r="E15" s="310"/>
      <c r="F15" s="310"/>
      <c r="G15" s="310"/>
      <c r="H15" s="310"/>
      <c r="I15" s="310"/>
      <c r="J15" s="310"/>
      <c r="K15" s="310"/>
      <c r="L15" s="310"/>
      <c r="M15" s="310"/>
      <c r="N15" s="310"/>
      <c r="O15" s="310"/>
      <c r="P15" s="310"/>
      <c r="Q15" s="310"/>
      <c r="R15" s="310"/>
      <c r="S15" s="310"/>
      <c r="T15" s="310"/>
      <c r="U15" s="310"/>
      <c r="V15" s="310"/>
      <c r="W15" s="310"/>
      <c r="X15" s="310"/>
      <c r="Y15" s="310"/>
      <c r="Z15" s="310"/>
      <c r="AA15" s="310"/>
    </row>
    <row r="16" spans="1:27">
      <c r="A16" s="310"/>
      <c r="B16" s="310"/>
      <c r="C16" s="310"/>
      <c r="D16" s="310"/>
      <c r="E16" s="310"/>
      <c r="F16" s="310"/>
      <c r="G16" s="310"/>
      <c r="H16" s="310"/>
      <c r="I16" s="310"/>
      <c r="J16" s="310"/>
      <c r="K16" s="310"/>
      <c r="L16" s="310"/>
      <c r="M16" s="310"/>
      <c r="N16" s="310"/>
      <c r="O16" s="310"/>
      <c r="P16" s="310"/>
      <c r="Q16" s="310"/>
      <c r="R16" s="310"/>
      <c r="S16" s="310"/>
      <c r="T16" s="310"/>
      <c r="U16" s="310"/>
      <c r="V16" s="310"/>
      <c r="W16" s="310"/>
      <c r="X16" s="310"/>
      <c r="Y16" s="310"/>
      <c r="Z16" s="310"/>
      <c r="AA16" s="310"/>
    </row>
    <row r="17" spans="1:27">
      <c r="A17" s="310"/>
      <c r="B17" s="310"/>
      <c r="C17" s="310"/>
      <c r="D17" s="310"/>
      <c r="E17" s="310"/>
      <c r="F17" s="310"/>
      <c r="G17" s="310"/>
      <c r="H17" s="310"/>
      <c r="I17" s="310"/>
      <c r="J17" s="310"/>
      <c r="K17" s="310"/>
      <c r="L17" s="310"/>
      <c r="M17" s="310"/>
      <c r="N17" s="310"/>
      <c r="O17" s="310"/>
      <c r="P17" s="310"/>
      <c r="Q17" s="310"/>
      <c r="R17" s="310"/>
      <c r="S17" s="310"/>
      <c r="T17" s="310"/>
      <c r="U17" s="310"/>
      <c r="V17" s="310"/>
      <c r="W17" s="310"/>
      <c r="X17" s="310"/>
      <c r="Y17" s="310"/>
      <c r="Z17" s="310"/>
      <c r="AA17" s="310"/>
    </row>
    <row r="18" spans="1:27">
      <c r="A18" s="310"/>
      <c r="B18" s="310"/>
      <c r="C18" s="310"/>
      <c r="D18" s="310"/>
      <c r="E18" s="310"/>
      <c r="F18" s="310"/>
      <c r="G18" s="310"/>
      <c r="H18" s="310"/>
      <c r="I18" s="310"/>
      <c r="J18" s="310"/>
      <c r="K18" s="310"/>
      <c r="L18" s="310"/>
      <c r="M18" s="310"/>
      <c r="N18" s="310"/>
      <c r="O18" s="310"/>
      <c r="P18" s="310"/>
      <c r="Q18" s="310"/>
      <c r="R18" s="310"/>
      <c r="S18" s="310"/>
      <c r="T18" s="310"/>
      <c r="U18" s="310"/>
      <c r="V18" s="310"/>
      <c r="W18" s="310"/>
      <c r="X18" s="310"/>
      <c r="Y18" s="310"/>
      <c r="Z18" s="310"/>
      <c r="AA18" s="310"/>
    </row>
    <row r="19" spans="1:27">
      <c r="A19" s="310"/>
      <c r="B19" s="310"/>
      <c r="C19" s="310"/>
      <c r="D19" s="310"/>
      <c r="E19" s="310"/>
      <c r="F19" s="310"/>
      <c r="G19" s="310"/>
      <c r="H19" s="310"/>
      <c r="I19" s="310"/>
      <c r="J19" s="310"/>
      <c r="K19" s="310"/>
      <c r="L19" s="310"/>
      <c r="M19" s="310"/>
      <c r="N19" s="310"/>
      <c r="O19" s="310"/>
      <c r="P19" s="310"/>
      <c r="Q19" s="310"/>
      <c r="R19" s="310"/>
      <c r="S19" s="310"/>
      <c r="T19" s="310"/>
      <c r="U19" s="310"/>
      <c r="V19" s="310"/>
      <c r="W19" s="310"/>
      <c r="X19" s="310"/>
      <c r="Y19" s="310"/>
      <c r="Z19" s="310"/>
      <c r="AA19" s="310"/>
    </row>
    <row r="20" spans="1:27">
      <c r="A20" s="310"/>
      <c r="B20" s="310"/>
      <c r="C20" s="310"/>
      <c r="D20" s="310"/>
      <c r="E20" s="310"/>
      <c r="F20" s="310"/>
      <c r="G20" s="310"/>
      <c r="H20" s="310"/>
      <c r="I20" s="310"/>
      <c r="J20" s="310"/>
      <c r="K20" s="310"/>
      <c r="L20" s="310"/>
      <c r="M20" s="310"/>
      <c r="N20" s="310"/>
      <c r="O20" s="310"/>
      <c r="P20" s="310"/>
      <c r="Q20" s="310"/>
      <c r="R20" s="310"/>
      <c r="S20" s="310"/>
      <c r="T20" s="310"/>
      <c r="U20" s="310"/>
      <c r="V20" s="310"/>
      <c r="W20" s="310"/>
      <c r="X20" s="310"/>
      <c r="Y20" s="310"/>
      <c r="Z20" s="310"/>
      <c r="AA20" s="310"/>
    </row>
    <row r="21" spans="1:27">
      <c r="A21" s="310"/>
      <c r="B21" s="310"/>
      <c r="C21" s="310"/>
      <c r="D21" s="310"/>
      <c r="E21" s="310"/>
      <c r="F21" s="310"/>
      <c r="G21" s="310"/>
      <c r="H21" s="310"/>
      <c r="I21" s="310"/>
      <c r="J21" s="310"/>
      <c r="K21" s="310"/>
      <c r="L21" s="310"/>
      <c r="M21" s="310"/>
      <c r="N21" s="310"/>
      <c r="O21" s="310"/>
      <c r="P21" s="310"/>
      <c r="Q21" s="310"/>
      <c r="R21" s="310"/>
      <c r="S21" s="310"/>
      <c r="T21" s="310"/>
      <c r="U21" s="310"/>
      <c r="V21" s="310"/>
      <c r="W21" s="310"/>
      <c r="X21" s="310"/>
      <c r="Y21" s="310"/>
      <c r="Z21" s="310"/>
      <c r="AA21" s="310"/>
    </row>
    <row r="22" spans="1:27">
      <c r="A22" s="310"/>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A22" s="310"/>
    </row>
    <row r="23" spans="1:27">
      <c r="A23" s="310"/>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A23" s="310"/>
    </row>
    <row r="24" spans="1:27">
      <c r="A24" s="310"/>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A24" s="310"/>
    </row>
    <row r="25" spans="1:27">
      <c r="A25" s="310"/>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A25" s="310"/>
    </row>
    <row r="26" spans="1:27">
      <c r="A26" s="310"/>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A26" s="310"/>
    </row>
    <row r="27" spans="1:27">
      <c r="A27" s="310"/>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A27" s="310"/>
    </row>
    <row r="28" spans="1:27">
      <c r="A28" s="310"/>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A28" s="310"/>
    </row>
    <row r="29" spans="1:27">
      <c r="A29" s="310"/>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A29" s="310"/>
    </row>
    <row r="30" spans="1:27">
      <c r="A30" s="310"/>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A30" s="310"/>
    </row>
    <row r="31" spans="1:27">
      <c r="A31" s="310"/>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A31" s="310"/>
    </row>
    <row r="32" spans="1:27">
      <c r="A32" s="310"/>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A32" s="310"/>
    </row>
    <row r="33" spans="1:27">
      <c r="A33" s="310"/>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A33" s="310"/>
    </row>
    <row r="34" spans="1:27">
      <c r="A34" s="310"/>
      <c r="B34" s="310"/>
      <c r="C34" s="310"/>
      <c r="D34" s="310"/>
      <c r="E34" s="310"/>
      <c r="F34" s="310"/>
      <c r="G34" s="310"/>
      <c r="H34" s="310"/>
      <c r="I34" s="310"/>
      <c r="J34" s="310"/>
      <c r="K34" s="310"/>
      <c r="L34" s="310"/>
      <c r="M34" s="310"/>
      <c r="N34" s="310"/>
      <c r="O34" s="310"/>
      <c r="P34" s="310"/>
      <c r="Q34" s="310"/>
      <c r="R34" s="310"/>
      <c r="S34" s="310"/>
      <c r="T34" s="310"/>
      <c r="U34" s="310"/>
      <c r="V34" s="310"/>
      <c r="W34" s="310"/>
      <c r="X34" s="310"/>
      <c r="Y34" s="310"/>
      <c r="Z34" s="310"/>
      <c r="AA34" s="310"/>
    </row>
    <row r="35" spans="1:27">
      <c r="A35" s="310"/>
      <c r="B35" s="310"/>
      <c r="C35" s="310"/>
      <c r="D35" s="310"/>
      <c r="E35" s="310"/>
      <c r="F35" s="310"/>
      <c r="G35" s="310"/>
      <c r="H35" s="310"/>
      <c r="I35" s="310"/>
      <c r="J35" s="310"/>
      <c r="K35" s="310"/>
      <c r="L35" s="310"/>
      <c r="M35" s="310"/>
      <c r="N35" s="310"/>
      <c r="O35" s="310"/>
      <c r="P35" s="310"/>
      <c r="Q35" s="310"/>
      <c r="R35" s="310"/>
      <c r="S35" s="310"/>
      <c r="T35" s="310"/>
      <c r="U35" s="310"/>
      <c r="V35" s="310"/>
      <c r="W35" s="310"/>
      <c r="X35" s="310"/>
      <c r="Y35" s="310"/>
      <c r="Z35" s="310"/>
      <c r="AA35" s="310"/>
    </row>
    <row r="36" spans="1:27">
      <c r="A36" s="310"/>
      <c r="B36" s="310"/>
      <c r="C36" s="310"/>
      <c r="D36" s="310"/>
      <c r="E36" s="310"/>
      <c r="F36" s="310"/>
      <c r="G36" s="310"/>
      <c r="H36" s="310"/>
      <c r="I36" s="310"/>
      <c r="J36" s="310"/>
      <c r="K36" s="310"/>
      <c r="L36" s="310"/>
      <c r="M36" s="310"/>
      <c r="N36" s="310"/>
      <c r="O36" s="310"/>
      <c r="P36" s="310"/>
      <c r="Q36" s="310"/>
      <c r="R36" s="310"/>
      <c r="S36" s="310"/>
      <c r="T36" s="310"/>
      <c r="U36" s="310"/>
      <c r="V36" s="310"/>
      <c r="W36" s="310"/>
      <c r="X36" s="310"/>
      <c r="Y36" s="310"/>
      <c r="Z36" s="310"/>
      <c r="AA36" s="310"/>
    </row>
    <row r="37" spans="1:27">
      <c r="A37" s="310"/>
      <c r="B37" s="310"/>
      <c r="C37" s="310"/>
      <c r="D37" s="310"/>
      <c r="E37" s="310"/>
      <c r="F37" s="310"/>
      <c r="G37" s="310"/>
      <c r="H37" s="310"/>
      <c r="I37" s="310"/>
      <c r="J37" s="310"/>
      <c r="K37" s="310"/>
      <c r="L37" s="310"/>
      <c r="M37" s="310"/>
      <c r="N37" s="310"/>
      <c r="O37" s="310"/>
      <c r="P37" s="310"/>
      <c r="Q37" s="310"/>
      <c r="R37" s="310"/>
      <c r="S37" s="310"/>
      <c r="T37" s="310"/>
      <c r="U37" s="310"/>
      <c r="V37" s="310"/>
      <c r="W37" s="310"/>
      <c r="X37" s="310"/>
      <c r="Y37" s="310"/>
      <c r="Z37" s="310"/>
      <c r="AA37" s="310"/>
    </row>
    <row r="38" spans="1:27">
      <c r="A38" s="310"/>
      <c r="B38" s="310"/>
      <c r="C38" s="310"/>
      <c r="D38" s="310"/>
      <c r="E38" s="310"/>
      <c r="F38" s="310"/>
      <c r="G38" s="310"/>
      <c r="H38" s="310"/>
      <c r="I38" s="310"/>
      <c r="J38" s="310"/>
      <c r="K38" s="310"/>
      <c r="L38" s="310"/>
      <c r="M38" s="310"/>
      <c r="N38" s="310"/>
      <c r="O38" s="310"/>
      <c r="P38" s="310"/>
      <c r="Q38" s="310"/>
      <c r="R38" s="310"/>
      <c r="S38" s="310"/>
      <c r="T38" s="310"/>
      <c r="U38" s="310"/>
      <c r="V38" s="310"/>
      <c r="W38" s="310"/>
      <c r="X38" s="310"/>
      <c r="Y38" s="310"/>
      <c r="Z38" s="310"/>
      <c r="AA38" s="310"/>
    </row>
    <row r="39" spans="1:27">
      <c r="A39" s="310"/>
      <c r="B39" s="310"/>
      <c r="C39" s="310"/>
      <c r="D39" s="310"/>
      <c r="E39" s="310"/>
      <c r="F39" s="310"/>
      <c r="G39" s="310"/>
      <c r="H39" s="310"/>
      <c r="I39" s="310"/>
      <c r="J39" s="310"/>
      <c r="K39" s="310"/>
      <c r="L39" s="310"/>
      <c r="M39" s="310"/>
      <c r="N39" s="310"/>
      <c r="O39" s="310"/>
      <c r="P39" s="310"/>
      <c r="Q39" s="310"/>
      <c r="R39" s="310"/>
      <c r="S39" s="310"/>
      <c r="T39" s="310"/>
      <c r="U39" s="310"/>
      <c r="V39" s="310"/>
      <c r="W39" s="310"/>
      <c r="X39" s="310"/>
      <c r="Y39" s="310"/>
      <c r="Z39" s="310"/>
      <c r="AA39" s="310"/>
    </row>
    <row r="40" spans="1:27">
      <c r="A40" s="310"/>
      <c r="B40" s="310"/>
      <c r="C40" s="310"/>
      <c r="D40" s="310"/>
      <c r="E40" s="310"/>
      <c r="F40" s="310"/>
      <c r="G40" s="310"/>
      <c r="H40" s="310"/>
      <c r="I40" s="310"/>
      <c r="J40" s="310"/>
      <c r="K40" s="310"/>
      <c r="L40" s="310"/>
      <c r="M40" s="310"/>
      <c r="N40" s="310"/>
      <c r="O40" s="310"/>
      <c r="P40" s="310"/>
      <c r="Q40" s="310"/>
      <c r="R40" s="310"/>
      <c r="S40" s="310"/>
      <c r="T40" s="310"/>
      <c r="U40" s="310"/>
      <c r="V40" s="310"/>
      <c r="W40" s="310"/>
      <c r="X40" s="310"/>
      <c r="Y40" s="310"/>
      <c r="Z40" s="310"/>
      <c r="AA40" s="310"/>
    </row>
    <row r="41" spans="1:27">
      <c r="A41" s="310"/>
      <c r="B41" s="310"/>
      <c r="C41" s="310"/>
      <c r="D41" s="310"/>
      <c r="E41" s="310"/>
      <c r="F41" s="310"/>
      <c r="G41" s="310"/>
      <c r="H41" s="310"/>
      <c r="I41" s="310"/>
      <c r="J41" s="310"/>
      <c r="K41" s="310"/>
      <c r="L41" s="310"/>
      <c r="M41" s="310"/>
      <c r="N41" s="310"/>
      <c r="O41" s="310"/>
      <c r="P41" s="310"/>
      <c r="Q41" s="310"/>
      <c r="R41" s="310"/>
      <c r="S41" s="310"/>
      <c r="T41" s="310"/>
      <c r="U41" s="310"/>
      <c r="V41" s="310"/>
      <c r="W41" s="310"/>
      <c r="X41" s="310"/>
      <c r="Y41" s="310"/>
      <c r="Z41" s="310"/>
      <c r="AA41" s="310"/>
    </row>
    <row r="42" spans="1:27">
      <c r="A42" s="310"/>
      <c r="B42" s="310"/>
      <c r="C42" s="310"/>
      <c r="D42" s="310"/>
      <c r="E42" s="310"/>
      <c r="F42" s="310"/>
      <c r="G42" s="310"/>
      <c r="H42" s="310"/>
      <c r="I42" s="310"/>
      <c r="J42" s="310"/>
      <c r="K42" s="310"/>
      <c r="L42" s="310"/>
      <c r="M42" s="310"/>
      <c r="N42" s="310"/>
      <c r="O42" s="310"/>
      <c r="P42" s="310"/>
      <c r="Q42" s="310"/>
      <c r="R42" s="310"/>
      <c r="S42" s="310"/>
      <c r="T42" s="310"/>
      <c r="U42" s="310"/>
      <c r="V42" s="310"/>
      <c r="W42" s="310"/>
      <c r="X42" s="310"/>
      <c r="Y42" s="310"/>
      <c r="Z42" s="310"/>
      <c r="AA42" s="310"/>
    </row>
    <row r="43" spans="1:27">
      <c r="A43" s="310"/>
      <c r="B43" s="310"/>
      <c r="C43" s="310"/>
      <c r="D43" s="310"/>
      <c r="E43" s="310"/>
      <c r="F43" s="310"/>
      <c r="G43" s="310"/>
      <c r="H43" s="310"/>
      <c r="I43" s="310"/>
      <c r="J43" s="310"/>
      <c r="K43" s="310"/>
      <c r="L43" s="310"/>
      <c r="M43" s="310"/>
      <c r="N43" s="310"/>
      <c r="O43" s="310"/>
      <c r="P43" s="310"/>
      <c r="Q43" s="310"/>
      <c r="R43" s="310"/>
      <c r="S43" s="310"/>
      <c r="T43" s="310"/>
      <c r="U43" s="310"/>
      <c r="V43" s="310"/>
      <c r="W43" s="310"/>
      <c r="X43" s="310"/>
      <c r="Y43" s="310"/>
      <c r="Z43" s="310"/>
      <c r="AA43" s="310"/>
    </row>
    <row r="44" spans="1:27">
      <c r="A44" s="310"/>
      <c r="B44" s="310"/>
      <c r="C44" s="310"/>
      <c r="D44" s="310"/>
      <c r="E44" s="310"/>
      <c r="F44" s="310"/>
      <c r="G44" s="310"/>
      <c r="H44" s="310"/>
      <c r="I44" s="310"/>
      <c r="J44" s="310"/>
      <c r="K44" s="310"/>
      <c r="L44" s="310"/>
      <c r="M44" s="310"/>
      <c r="N44" s="310"/>
      <c r="O44" s="310"/>
      <c r="P44" s="310"/>
      <c r="Q44" s="310"/>
      <c r="R44" s="310"/>
      <c r="S44" s="310"/>
      <c r="T44" s="310"/>
      <c r="U44" s="310"/>
      <c r="V44" s="310"/>
      <c r="W44" s="310"/>
      <c r="X44" s="310"/>
      <c r="Y44" s="310"/>
      <c r="Z44" s="310"/>
      <c r="AA44" s="310"/>
    </row>
    <row r="45" spans="1:27">
      <c r="A45" s="310"/>
      <c r="B45" s="310"/>
      <c r="C45" s="310"/>
      <c r="D45" s="310"/>
      <c r="E45" s="310"/>
      <c r="F45" s="310"/>
      <c r="G45" s="310"/>
      <c r="H45" s="310"/>
      <c r="I45" s="310"/>
      <c r="J45" s="310"/>
      <c r="K45" s="310"/>
      <c r="L45" s="310"/>
      <c r="M45" s="310"/>
      <c r="N45" s="310"/>
      <c r="O45" s="310"/>
      <c r="P45" s="310"/>
      <c r="Q45" s="310"/>
      <c r="R45" s="310"/>
      <c r="S45" s="310"/>
      <c r="T45" s="310"/>
      <c r="U45" s="310"/>
      <c r="V45" s="310"/>
      <c r="W45" s="310"/>
      <c r="X45" s="310"/>
      <c r="Y45" s="310"/>
      <c r="Z45" s="310"/>
      <c r="AA45" s="310"/>
    </row>
    <row r="46" spans="1:27">
      <c r="A46" s="310"/>
      <c r="B46" s="310"/>
      <c r="C46" s="310"/>
      <c r="D46" s="310"/>
      <c r="E46" s="310"/>
      <c r="F46" s="310"/>
      <c r="G46" s="310"/>
      <c r="H46" s="310"/>
      <c r="I46" s="310"/>
      <c r="J46" s="310"/>
      <c r="K46" s="310"/>
      <c r="L46" s="310"/>
      <c r="M46" s="310"/>
      <c r="N46" s="310"/>
      <c r="O46" s="310"/>
      <c r="P46" s="310"/>
      <c r="Q46" s="310"/>
      <c r="R46" s="310"/>
      <c r="S46" s="310"/>
      <c r="T46" s="310"/>
      <c r="U46" s="310"/>
      <c r="V46" s="310"/>
      <c r="W46" s="310"/>
      <c r="X46" s="310"/>
      <c r="Y46" s="310"/>
      <c r="Z46" s="310"/>
      <c r="AA46" s="310"/>
    </row>
    <row r="47" spans="1:27">
      <c r="A47" s="310"/>
      <c r="B47" s="310"/>
      <c r="C47" s="310"/>
      <c r="D47" s="310"/>
      <c r="E47" s="310"/>
      <c r="F47" s="310"/>
      <c r="G47" s="310"/>
      <c r="H47" s="310"/>
      <c r="I47" s="310"/>
      <c r="J47" s="310"/>
      <c r="K47" s="310"/>
      <c r="L47" s="310"/>
      <c r="M47" s="310"/>
      <c r="N47" s="310"/>
      <c r="O47" s="310"/>
      <c r="P47" s="310"/>
      <c r="Q47" s="310"/>
      <c r="R47" s="310"/>
      <c r="S47" s="310"/>
      <c r="T47" s="310"/>
      <c r="U47" s="310"/>
      <c r="V47" s="310"/>
      <c r="W47" s="310"/>
      <c r="X47" s="310"/>
      <c r="Y47" s="310"/>
      <c r="Z47" s="310"/>
      <c r="AA47" s="310"/>
    </row>
    <row r="48" spans="1:27">
      <c r="A48" s="310"/>
      <c r="B48" s="310"/>
      <c r="C48" s="310"/>
      <c r="D48" s="310"/>
      <c r="E48" s="310"/>
      <c r="F48" s="310"/>
      <c r="G48" s="310"/>
      <c r="H48" s="310"/>
      <c r="I48" s="310"/>
      <c r="J48" s="310"/>
      <c r="K48" s="310"/>
      <c r="L48" s="310"/>
      <c r="M48" s="310"/>
      <c r="N48" s="310"/>
      <c r="O48" s="310"/>
      <c r="P48" s="310"/>
      <c r="Q48" s="310"/>
      <c r="R48" s="310"/>
      <c r="S48" s="310"/>
      <c r="T48" s="310"/>
      <c r="U48" s="310"/>
      <c r="V48" s="310"/>
      <c r="W48" s="310"/>
      <c r="X48" s="310"/>
      <c r="Y48" s="310"/>
      <c r="Z48" s="310"/>
      <c r="AA48" s="310"/>
    </row>
    <row r="49" spans="1:27">
      <c r="A49" s="310"/>
      <c r="B49" s="310"/>
      <c r="C49" s="310"/>
      <c r="D49" s="310"/>
      <c r="E49" s="310"/>
      <c r="F49" s="310"/>
      <c r="G49" s="310"/>
      <c r="H49" s="310"/>
      <c r="I49" s="310"/>
      <c r="J49" s="310"/>
      <c r="K49" s="310"/>
      <c r="L49" s="310"/>
      <c r="M49" s="310"/>
      <c r="N49" s="310"/>
      <c r="O49" s="310"/>
      <c r="P49" s="310"/>
      <c r="Q49" s="310"/>
      <c r="R49" s="310"/>
      <c r="S49" s="310"/>
      <c r="T49" s="310"/>
      <c r="U49" s="310"/>
      <c r="V49" s="310"/>
      <c r="W49" s="310"/>
      <c r="X49" s="310"/>
      <c r="Y49" s="310"/>
      <c r="Z49" s="310"/>
      <c r="AA49" s="310"/>
    </row>
    <row r="50" spans="1:27">
      <c r="A50" s="310"/>
      <c r="B50" s="310"/>
      <c r="C50" s="310"/>
      <c r="D50" s="310"/>
      <c r="E50" s="310"/>
      <c r="F50" s="310"/>
      <c r="G50" s="310"/>
      <c r="H50" s="310"/>
      <c r="I50" s="310"/>
      <c r="J50" s="310"/>
      <c r="K50" s="310"/>
      <c r="L50" s="310"/>
      <c r="M50" s="310"/>
      <c r="N50" s="310"/>
      <c r="O50" s="310"/>
      <c r="P50" s="310"/>
      <c r="Q50" s="310"/>
      <c r="R50" s="310"/>
      <c r="S50" s="310"/>
      <c r="T50" s="310"/>
      <c r="U50" s="310"/>
      <c r="V50" s="310"/>
      <c r="W50" s="310"/>
      <c r="X50" s="310"/>
      <c r="Y50" s="310"/>
      <c r="Z50" s="310"/>
      <c r="AA50" s="310"/>
    </row>
    <row r="51" spans="1:27">
      <c r="A51" s="310"/>
      <c r="B51" s="310"/>
      <c r="C51" s="310"/>
      <c r="D51" s="310"/>
      <c r="E51" s="310"/>
      <c r="F51" s="310"/>
      <c r="G51" s="310"/>
      <c r="H51" s="310"/>
      <c r="I51" s="310"/>
      <c r="J51" s="310"/>
      <c r="K51" s="310"/>
      <c r="L51" s="310"/>
      <c r="M51" s="310"/>
      <c r="N51" s="310"/>
      <c r="O51" s="310"/>
      <c r="P51" s="310"/>
      <c r="Q51" s="310"/>
      <c r="R51" s="310"/>
      <c r="S51" s="310"/>
      <c r="T51" s="310"/>
      <c r="U51" s="310"/>
      <c r="V51" s="310"/>
      <c r="W51" s="310"/>
      <c r="X51" s="310"/>
      <c r="Y51" s="310"/>
      <c r="Z51" s="310"/>
      <c r="AA51" s="310"/>
    </row>
    <row r="52" spans="1:27">
      <c r="A52" s="310"/>
      <c r="B52" s="310"/>
      <c r="C52" s="310"/>
      <c r="D52" s="310"/>
      <c r="E52" s="310"/>
      <c r="F52" s="310"/>
      <c r="G52" s="310"/>
      <c r="H52" s="310"/>
      <c r="I52" s="310"/>
      <c r="J52" s="310"/>
      <c r="K52" s="310"/>
      <c r="L52" s="310"/>
      <c r="M52" s="310"/>
      <c r="N52" s="310"/>
      <c r="O52" s="310"/>
      <c r="P52" s="310"/>
      <c r="Q52" s="310"/>
      <c r="R52" s="310"/>
      <c r="S52" s="310"/>
      <c r="T52" s="310"/>
      <c r="U52" s="310"/>
      <c r="V52" s="310"/>
      <c r="W52" s="310"/>
      <c r="X52" s="310"/>
      <c r="Y52" s="310"/>
      <c r="Z52" s="310"/>
      <c r="AA52" s="310"/>
    </row>
    <row r="53" spans="1:27">
      <c r="A53" s="310"/>
      <c r="B53" s="310"/>
      <c r="C53" s="310"/>
      <c r="D53" s="310"/>
      <c r="E53" s="310"/>
      <c r="F53" s="310"/>
      <c r="G53" s="310"/>
      <c r="H53" s="310"/>
      <c r="I53" s="310"/>
      <c r="J53" s="310"/>
      <c r="K53" s="310"/>
      <c r="L53" s="310"/>
      <c r="M53" s="310"/>
      <c r="N53" s="310"/>
      <c r="O53" s="310"/>
      <c r="P53" s="310"/>
      <c r="Q53" s="310"/>
      <c r="R53" s="310"/>
      <c r="S53" s="310"/>
      <c r="T53" s="310"/>
      <c r="U53" s="310"/>
      <c r="V53" s="310"/>
      <c r="W53" s="310"/>
      <c r="X53" s="310"/>
      <c r="Y53" s="310"/>
      <c r="Z53" s="310"/>
      <c r="AA53" s="310"/>
    </row>
    <row r="54" spans="1:27">
      <c r="A54" s="310"/>
      <c r="B54" s="310"/>
      <c r="C54" s="310"/>
      <c r="D54" s="310"/>
      <c r="E54" s="310"/>
      <c r="F54" s="310"/>
      <c r="G54" s="310"/>
      <c r="H54" s="310"/>
      <c r="I54" s="310"/>
      <c r="J54" s="310"/>
      <c r="K54" s="310"/>
      <c r="L54" s="310"/>
      <c r="M54" s="310"/>
      <c r="N54" s="310"/>
      <c r="O54" s="310"/>
      <c r="P54" s="310"/>
      <c r="Q54" s="310"/>
      <c r="R54" s="310"/>
      <c r="S54" s="310"/>
      <c r="T54" s="310"/>
      <c r="U54" s="310"/>
      <c r="V54" s="310"/>
      <c r="W54" s="310"/>
      <c r="X54" s="310"/>
      <c r="Y54" s="310"/>
      <c r="Z54" s="310"/>
      <c r="AA54" s="310"/>
    </row>
    <row r="55" spans="1:27">
      <c r="A55" s="310"/>
      <c r="B55" s="310"/>
      <c r="C55" s="310"/>
      <c r="D55" s="310"/>
      <c r="E55" s="310"/>
      <c r="F55" s="310"/>
      <c r="G55" s="310"/>
      <c r="H55" s="310"/>
      <c r="I55" s="310"/>
      <c r="J55" s="310"/>
      <c r="K55" s="310"/>
      <c r="L55" s="310"/>
      <c r="M55" s="310"/>
      <c r="N55" s="310"/>
      <c r="O55" s="310"/>
      <c r="P55" s="310"/>
      <c r="Q55" s="310"/>
      <c r="R55" s="310"/>
      <c r="S55" s="310"/>
      <c r="T55" s="310"/>
      <c r="U55" s="310"/>
      <c r="V55" s="310"/>
      <c r="W55" s="310"/>
      <c r="X55" s="310"/>
      <c r="Y55" s="310"/>
      <c r="Z55" s="310"/>
      <c r="AA55" s="310"/>
    </row>
    <row r="56" spans="1:27">
      <c r="A56" s="310"/>
      <c r="B56" s="310"/>
      <c r="C56" s="310"/>
      <c r="D56" s="310"/>
      <c r="E56" s="310"/>
      <c r="F56" s="310"/>
      <c r="G56" s="310"/>
      <c r="H56" s="310"/>
      <c r="I56" s="310"/>
      <c r="J56" s="310"/>
      <c r="K56" s="310"/>
      <c r="L56" s="310"/>
      <c r="M56" s="310"/>
      <c r="N56" s="310"/>
      <c r="O56" s="310"/>
      <c r="P56" s="310"/>
      <c r="Q56" s="310"/>
      <c r="R56" s="310"/>
      <c r="S56" s="310"/>
      <c r="T56" s="310"/>
      <c r="U56" s="310"/>
      <c r="V56" s="310"/>
      <c r="W56" s="310"/>
      <c r="X56" s="310"/>
      <c r="Y56" s="310"/>
      <c r="Z56" s="310"/>
      <c r="AA56" s="310"/>
    </row>
    <row r="57" spans="1:27">
      <c r="A57" s="310"/>
      <c r="B57" s="310"/>
      <c r="C57" s="310"/>
      <c r="D57" s="310"/>
      <c r="E57" s="310"/>
      <c r="F57" s="310"/>
      <c r="G57" s="310"/>
      <c r="H57" s="310"/>
      <c r="I57" s="310"/>
      <c r="J57" s="310"/>
      <c r="K57" s="310"/>
      <c r="L57" s="310"/>
      <c r="M57" s="310"/>
      <c r="N57" s="310"/>
      <c r="O57" s="310"/>
      <c r="P57" s="310"/>
      <c r="Q57" s="310"/>
      <c r="R57" s="310"/>
      <c r="S57" s="310"/>
      <c r="T57" s="310"/>
      <c r="U57" s="310"/>
      <c r="V57" s="310"/>
      <c r="W57" s="310"/>
      <c r="X57" s="310"/>
      <c r="Y57" s="310"/>
      <c r="Z57" s="310"/>
      <c r="AA57" s="310"/>
    </row>
    <row r="58" spans="1:27">
      <c r="A58" s="310"/>
      <c r="B58" s="310"/>
      <c r="C58" s="310"/>
      <c r="D58" s="310"/>
      <c r="E58" s="310"/>
      <c r="F58" s="310"/>
      <c r="G58" s="310"/>
      <c r="H58" s="310"/>
      <c r="I58" s="310"/>
      <c r="J58" s="310"/>
      <c r="K58" s="310"/>
      <c r="L58" s="310"/>
      <c r="M58" s="310"/>
      <c r="N58" s="310"/>
      <c r="O58" s="310"/>
      <c r="P58" s="310"/>
      <c r="Q58" s="310"/>
      <c r="R58" s="310"/>
      <c r="S58" s="310"/>
      <c r="T58" s="310"/>
      <c r="U58" s="310"/>
      <c r="V58" s="310"/>
      <c r="W58" s="310"/>
      <c r="X58" s="310"/>
      <c r="Y58" s="310"/>
      <c r="Z58" s="310"/>
      <c r="AA58" s="310"/>
    </row>
    <row r="59" spans="1:27">
      <c r="A59" s="310"/>
      <c r="B59" s="310"/>
      <c r="C59" s="310"/>
      <c r="D59" s="310"/>
      <c r="E59" s="310"/>
      <c r="F59" s="310"/>
      <c r="G59" s="310"/>
      <c r="H59" s="310"/>
      <c r="I59" s="310"/>
      <c r="J59" s="310"/>
      <c r="K59" s="310"/>
      <c r="L59" s="310"/>
      <c r="M59" s="310"/>
      <c r="N59" s="310"/>
      <c r="O59" s="310"/>
      <c r="P59" s="310"/>
      <c r="Q59" s="310"/>
      <c r="R59" s="310"/>
      <c r="S59" s="310"/>
      <c r="T59" s="310"/>
      <c r="U59" s="310"/>
      <c r="V59" s="310"/>
      <c r="W59" s="310"/>
      <c r="X59" s="310"/>
      <c r="Y59" s="310"/>
      <c r="Z59" s="310"/>
      <c r="AA59" s="310"/>
    </row>
    <row r="60" spans="1:27">
      <c r="A60" s="310"/>
      <c r="B60" s="310"/>
      <c r="C60" s="310"/>
      <c r="D60" s="310"/>
      <c r="E60" s="310"/>
      <c r="F60" s="310"/>
      <c r="G60" s="310"/>
      <c r="H60" s="310"/>
      <c r="I60" s="310"/>
      <c r="J60" s="310"/>
      <c r="K60" s="310"/>
      <c r="L60" s="310"/>
      <c r="M60" s="310"/>
      <c r="N60" s="310"/>
      <c r="O60" s="310"/>
      <c r="P60" s="310"/>
      <c r="Q60" s="310"/>
      <c r="R60" s="310"/>
      <c r="S60" s="310"/>
      <c r="T60" s="310"/>
      <c r="U60" s="310"/>
      <c r="V60" s="310"/>
      <c r="W60" s="310"/>
      <c r="X60" s="310"/>
      <c r="Y60" s="310"/>
      <c r="Z60" s="310"/>
      <c r="AA60" s="310"/>
    </row>
    <row r="61" spans="1:27">
      <c r="A61" s="310"/>
      <c r="B61" s="310"/>
      <c r="C61" s="310"/>
      <c r="D61" s="310"/>
      <c r="E61" s="310"/>
      <c r="F61" s="310"/>
      <c r="G61" s="310"/>
      <c r="H61" s="310"/>
      <c r="I61" s="310"/>
      <c r="J61" s="310"/>
      <c r="K61" s="310"/>
      <c r="L61" s="310"/>
      <c r="M61" s="310"/>
      <c r="N61" s="310"/>
      <c r="O61" s="310"/>
      <c r="P61" s="310"/>
      <c r="Q61" s="310"/>
      <c r="R61" s="310"/>
      <c r="S61" s="310"/>
      <c r="T61" s="310"/>
      <c r="U61" s="310"/>
      <c r="V61" s="310"/>
      <c r="W61" s="310"/>
      <c r="X61" s="310"/>
      <c r="Y61" s="310"/>
      <c r="Z61" s="310"/>
      <c r="AA61" s="310"/>
    </row>
    <row r="62" spans="1:27">
      <c r="A62" s="310"/>
      <c r="B62" s="310"/>
      <c r="C62" s="310"/>
      <c r="D62" s="310"/>
      <c r="E62" s="310"/>
      <c r="F62" s="310"/>
      <c r="G62" s="310"/>
      <c r="H62" s="310"/>
      <c r="I62" s="310"/>
      <c r="J62" s="310"/>
      <c r="K62" s="310"/>
      <c r="L62" s="310"/>
      <c r="M62" s="310"/>
      <c r="N62" s="310"/>
      <c r="O62" s="310"/>
      <c r="P62" s="310"/>
      <c r="Q62" s="310"/>
      <c r="R62" s="310"/>
      <c r="S62" s="310"/>
      <c r="T62" s="310"/>
      <c r="U62" s="310"/>
      <c r="V62" s="310"/>
      <c r="W62" s="310"/>
      <c r="X62" s="310"/>
      <c r="Y62" s="310"/>
      <c r="Z62" s="310"/>
      <c r="AA62" s="310"/>
    </row>
    <row r="63" spans="1:27">
      <c r="A63" s="310"/>
      <c r="B63" s="310"/>
      <c r="C63" s="310"/>
      <c r="D63" s="310"/>
      <c r="E63" s="310"/>
      <c r="F63" s="310"/>
      <c r="G63" s="310"/>
      <c r="H63" s="310"/>
      <c r="I63" s="310"/>
      <c r="J63" s="310"/>
      <c r="K63" s="310"/>
      <c r="L63" s="310"/>
      <c r="M63" s="310"/>
      <c r="N63" s="310"/>
      <c r="O63" s="310"/>
      <c r="P63" s="310"/>
      <c r="Q63" s="310"/>
      <c r="R63" s="310"/>
      <c r="S63" s="310"/>
      <c r="T63" s="310"/>
      <c r="U63" s="310"/>
      <c r="V63" s="310"/>
      <c r="W63" s="310"/>
      <c r="X63" s="310"/>
      <c r="Y63" s="310"/>
      <c r="Z63" s="310"/>
      <c r="AA63" s="310"/>
    </row>
    <row r="64" spans="1:27">
      <c r="A64" s="310"/>
      <c r="B64" s="310"/>
      <c r="C64" s="310"/>
      <c r="D64" s="310"/>
      <c r="E64" s="310"/>
      <c r="F64" s="310"/>
      <c r="G64" s="310"/>
      <c r="H64" s="310"/>
      <c r="I64" s="310"/>
      <c r="J64" s="310"/>
      <c r="K64" s="310"/>
      <c r="L64" s="310"/>
      <c r="M64" s="310"/>
      <c r="N64" s="310"/>
      <c r="O64" s="310"/>
      <c r="P64" s="310"/>
      <c r="Q64" s="310"/>
      <c r="R64" s="310"/>
      <c r="S64" s="310"/>
      <c r="T64" s="310"/>
      <c r="U64" s="310"/>
      <c r="V64" s="310"/>
      <c r="W64" s="310"/>
      <c r="X64" s="310"/>
      <c r="Y64" s="310"/>
      <c r="Z64" s="310"/>
      <c r="AA64" s="310"/>
    </row>
    <row r="65" spans="1:27">
      <c r="A65" s="310"/>
      <c r="B65" s="310"/>
      <c r="C65" s="310"/>
      <c r="D65" s="310"/>
      <c r="E65" s="310"/>
      <c r="F65" s="310"/>
      <c r="G65" s="310"/>
      <c r="H65" s="310"/>
      <c r="I65" s="310"/>
      <c r="J65" s="310"/>
      <c r="K65" s="310"/>
      <c r="L65" s="310"/>
      <c r="M65" s="310"/>
      <c r="N65" s="310"/>
      <c r="O65" s="310"/>
      <c r="P65" s="310"/>
      <c r="Q65" s="310"/>
      <c r="R65" s="310"/>
      <c r="S65" s="310"/>
      <c r="T65" s="310"/>
      <c r="U65" s="310"/>
      <c r="V65" s="310"/>
      <c r="W65" s="310"/>
      <c r="X65" s="310"/>
      <c r="Y65" s="310"/>
      <c r="Z65" s="310"/>
      <c r="AA65" s="310"/>
    </row>
    <row r="66" spans="1:27">
      <c r="A66" s="310"/>
      <c r="B66" s="310"/>
      <c r="C66" s="310"/>
      <c r="D66" s="310"/>
      <c r="E66" s="310"/>
      <c r="F66" s="310"/>
      <c r="G66" s="310"/>
      <c r="H66" s="310"/>
      <c r="I66" s="310"/>
      <c r="J66" s="310"/>
      <c r="K66" s="310"/>
      <c r="L66" s="310"/>
      <c r="M66" s="310"/>
      <c r="N66" s="310"/>
      <c r="O66" s="310"/>
      <c r="P66" s="310"/>
      <c r="Q66" s="310"/>
      <c r="R66" s="310"/>
      <c r="S66" s="310"/>
      <c r="T66" s="310"/>
      <c r="U66" s="310"/>
      <c r="V66" s="310"/>
      <c r="W66" s="310"/>
      <c r="X66" s="310"/>
      <c r="Y66" s="310"/>
      <c r="Z66" s="310"/>
      <c r="AA66" s="310"/>
    </row>
    <row r="67" spans="1:27">
      <c r="A67" s="310"/>
      <c r="B67" s="310"/>
      <c r="C67" s="310"/>
      <c r="D67" s="310"/>
      <c r="E67" s="310"/>
      <c r="F67" s="310"/>
      <c r="G67" s="310"/>
      <c r="H67" s="310"/>
      <c r="I67" s="310"/>
      <c r="J67" s="310"/>
      <c r="K67" s="310"/>
      <c r="L67" s="310"/>
      <c r="M67" s="310"/>
      <c r="N67" s="310"/>
      <c r="O67" s="310"/>
      <c r="P67" s="310"/>
      <c r="Q67" s="310"/>
      <c r="R67" s="310"/>
      <c r="S67" s="310"/>
      <c r="T67" s="310"/>
      <c r="U67" s="310"/>
      <c r="V67" s="310"/>
      <c r="W67" s="310"/>
      <c r="X67" s="310"/>
      <c r="Y67" s="310"/>
      <c r="Z67" s="310"/>
      <c r="AA67" s="310"/>
    </row>
    <row r="68" spans="1:27">
      <c r="A68" s="310"/>
      <c r="B68" s="310"/>
      <c r="C68" s="310"/>
      <c r="D68" s="310"/>
      <c r="E68" s="310"/>
      <c r="F68" s="310"/>
      <c r="G68" s="310"/>
      <c r="H68" s="310"/>
      <c r="I68" s="310"/>
      <c r="J68" s="310"/>
      <c r="K68" s="310"/>
      <c r="L68" s="310"/>
      <c r="M68" s="310"/>
      <c r="N68" s="310"/>
      <c r="O68" s="310"/>
      <c r="P68" s="310"/>
      <c r="Q68" s="310"/>
      <c r="R68" s="310"/>
      <c r="S68" s="310"/>
      <c r="T68" s="310"/>
      <c r="U68" s="310"/>
      <c r="V68" s="310"/>
      <c r="W68" s="310"/>
      <c r="X68" s="310"/>
      <c r="Y68" s="310"/>
      <c r="Z68" s="310"/>
      <c r="AA68" s="310"/>
    </row>
    <row r="69" spans="1:27">
      <c r="A69" s="310"/>
      <c r="B69" s="310"/>
      <c r="C69" s="310"/>
      <c r="D69" s="310"/>
      <c r="E69" s="310"/>
      <c r="F69" s="310"/>
      <c r="G69" s="310"/>
      <c r="H69" s="310"/>
      <c r="I69" s="310"/>
      <c r="J69" s="310"/>
      <c r="K69" s="310"/>
      <c r="L69" s="310"/>
      <c r="M69" s="310"/>
      <c r="N69" s="310"/>
      <c r="O69" s="310"/>
      <c r="P69" s="310"/>
      <c r="Q69" s="310"/>
      <c r="R69" s="310"/>
      <c r="S69" s="310"/>
      <c r="T69" s="310"/>
      <c r="U69" s="310"/>
      <c r="V69" s="310"/>
      <c r="W69" s="310"/>
      <c r="X69" s="310"/>
      <c r="Y69" s="310"/>
      <c r="Z69" s="310"/>
      <c r="AA69" s="310"/>
    </row>
    <row r="70" spans="1:27">
      <c r="A70" s="310"/>
      <c r="B70" s="310"/>
      <c r="C70" s="310"/>
      <c r="D70" s="310"/>
      <c r="E70" s="310"/>
      <c r="F70" s="310"/>
      <c r="G70" s="310"/>
      <c r="H70" s="310"/>
      <c r="I70" s="310"/>
      <c r="J70" s="310"/>
      <c r="K70" s="310"/>
      <c r="L70" s="310"/>
      <c r="M70" s="310"/>
      <c r="N70" s="310"/>
      <c r="O70" s="310"/>
      <c r="P70" s="310"/>
      <c r="Q70" s="310"/>
      <c r="R70" s="310"/>
      <c r="S70" s="310"/>
      <c r="T70" s="310"/>
      <c r="U70" s="310"/>
      <c r="V70" s="310"/>
      <c r="W70" s="310"/>
      <c r="X70" s="310"/>
      <c r="Y70" s="310"/>
      <c r="Z70" s="310"/>
      <c r="AA70" s="310"/>
    </row>
    <row r="71" spans="1:27">
      <c r="A71" s="310"/>
      <c r="B71" s="310"/>
      <c r="C71" s="310"/>
      <c r="D71" s="310"/>
      <c r="E71" s="310"/>
      <c r="F71" s="310"/>
      <c r="G71" s="310"/>
      <c r="H71" s="310"/>
      <c r="I71" s="310"/>
      <c r="J71" s="310"/>
      <c r="K71" s="310"/>
      <c r="L71" s="310"/>
      <c r="M71" s="310"/>
      <c r="N71" s="310"/>
      <c r="O71" s="310"/>
      <c r="P71" s="310"/>
      <c r="Q71" s="310"/>
      <c r="R71" s="310"/>
      <c r="S71" s="310"/>
      <c r="T71" s="310"/>
      <c r="U71" s="310"/>
      <c r="V71" s="310"/>
      <c r="W71" s="310"/>
      <c r="X71" s="310"/>
      <c r="Y71" s="310"/>
      <c r="Z71" s="310"/>
      <c r="AA71" s="310"/>
    </row>
    <row r="72" spans="1:27">
      <c r="A72" s="310"/>
      <c r="B72" s="310"/>
      <c r="C72" s="310"/>
      <c r="D72" s="310"/>
      <c r="E72" s="310"/>
      <c r="F72" s="310"/>
      <c r="G72" s="310"/>
      <c r="H72" s="310"/>
      <c r="I72" s="310"/>
      <c r="J72" s="310"/>
      <c r="K72" s="310"/>
      <c r="L72" s="310"/>
      <c r="M72" s="310"/>
      <c r="N72" s="310"/>
      <c r="O72" s="310"/>
      <c r="P72" s="310"/>
      <c r="Q72" s="310"/>
      <c r="R72" s="310"/>
      <c r="S72" s="310"/>
      <c r="T72" s="310"/>
      <c r="U72" s="310"/>
      <c r="V72" s="310"/>
      <c r="W72" s="310"/>
      <c r="X72" s="310"/>
      <c r="Y72" s="310"/>
      <c r="Z72" s="310"/>
      <c r="AA72" s="310"/>
    </row>
    <row r="73" spans="1:27">
      <c r="A73" s="310"/>
      <c r="B73" s="310"/>
      <c r="C73" s="310"/>
      <c r="D73" s="310"/>
      <c r="E73" s="310"/>
      <c r="F73" s="310"/>
      <c r="G73" s="310"/>
      <c r="H73" s="310"/>
      <c r="I73" s="310"/>
      <c r="J73" s="310"/>
      <c r="K73" s="310"/>
      <c r="L73" s="310"/>
      <c r="M73" s="310"/>
      <c r="N73" s="310"/>
      <c r="O73" s="310"/>
      <c r="P73" s="310"/>
      <c r="Q73" s="310"/>
      <c r="R73" s="310"/>
      <c r="S73" s="310"/>
      <c r="T73" s="310"/>
      <c r="U73" s="310"/>
      <c r="V73" s="310"/>
      <c r="W73" s="310"/>
      <c r="X73" s="310"/>
      <c r="Y73" s="310"/>
      <c r="Z73" s="310"/>
      <c r="AA73" s="310"/>
    </row>
    <row r="74" spans="1:27">
      <c r="A74" s="310"/>
      <c r="B74" s="310"/>
      <c r="C74" s="310"/>
      <c r="D74" s="310"/>
      <c r="E74" s="310"/>
      <c r="F74" s="310"/>
      <c r="G74" s="310"/>
      <c r="H74" s="310"/>
      <c r="I74" s="310"/>
      <c r="J74" s="310"/>
      <c r="K74" s="310"/>
      <c r="L74" s="310"/>
      <c r="M74" s="310"/>
      <c r="N74" s="310"/>
      <c r="O74" s="310"/>
      <c r="P74" s="310"/>
      <c r="Q74" s="310"/>
      <c r="R74" s="310"/>
      <c r="S74" s="310"/>
      <c r="T74" s="310"/>
      <c r="U74" s="310"/>
      <c r="V74" s="310"/>
      <c r="W74" s="310"/>
      <c r="X74" s="310"/>
      <c r="Y74" s="310"/>
      <c r="Z74" s="310"/>
      <c r="AA74" s="310"/>
    </row>
    <row r="75" spans="1:27">
      <c r="A75" s="310"/>
      <c r="B75" s="310"/>
      <c r="C75" s="310"/>
      <c r="D75" s="310"/>
      <c r="E75" s="310"/>
      <c r="F75" s="310"/>
      <c r="G75" s="310"/>
      <c r="H75" s="310"/>
      <c r="I75" s="310"/>
      <c r="J75" s="310"/>
      <c r="K75" s="310"/>
      <c r="L75" s="310"/>
      <c r="M75" s="310"/>
      <c r="N75" s="310"/>
      <c r="O75" s="310"/>
      <c r="P75" s="310"/>
      <c r="Q75" s="310"/>
      <c r="R75" s="310"/>
      <c r="S75" s="310"/>
      <c r="T75" s="310"/>
      <c r="U75" s="310"/>
      <c r="V75" s="310"/>
      <c r="W75" s="310"/>
      <c r="X75" s="310"/>
      <c r="Y75" s="310"/>
      <c r="Z75" s="310"/>
      <c r="AA75" s="310"/>
    </row>
    <row r="76" spans="1:27">
      <c r="A76" s="310"/>
      <c r="B76" s="310"/>
      <c r="C76" s="310"/>
      <c r="D76" s="310"/>
      <c r="E76" s="310"/>
      <c r="F76" s="310"/>
      <c r="G76" s="310"/>
      <c r="H76" s="310"/>
      <c r="I76" s="310"/>
      <c r="J76" s="310"/>
      <c r="K76" s="310"/>
      <c r="L76" s="310"/>
      <c r="M76" s="310"/>
      <c r="N76" s="310"/>
      <c r="O76" s="310"/>
      <c r="P76" s="310"/>
      <c r="Q76" s="310"/>
      <c r="R76" s="310"/>
      <c r="S76" s="310"/>
      <c r="T76" s="310"/>
      <c r="U76" s="310"/>
      <c r="V76" s="310"/>
      <c r="W76" s="310"/>
      <c r="X76" s="310"/>
      <c r="Y76" s="310"/>
      <c r="Z76" s="310"/>
      <c r="AA76" s="310"/>
    </row>
    <row r="77" spans="1:27">
      <c r="A77" s="310"/>
      <c r="B77" s="310"/>
      <c r="C77" s="310"/>
      <c r="D77" s="310"/>
      <c r="E77" s="310"/>
      <c r="F77" s="310"/>
      <c r="G77" s="310"/>
      <c r="H77" s="310"/>
      <c r="I77" s="310"/>
      <c r="J77" s="310"/>
      <c r="K77" s="310"/>
      <c r="L77" s="310"/>
      <c r="M77" s="310"/>
      <c r="N77" s="310"/>
      <c r="O77" s="310"/>
      <c r="P77" s="310"/>
      <c r="Q77" s="310"/>
      <c r="R77" s="310"/>
      <c r="S77" s="310"/>
      <c r="T77" s="310"/>
      <c r="U77" s="310"/>
      <c r="V77" s="310"/>
      <c r="W77" s="310"/>
      <c r="X77" s="310"/>
      <c r="Y77" s="310"/>
      <c r="Z77" s="310"/>
      <c r="AA77" s="310"/>
    </row>
    <row r="78" spans="1:27">
      <c r="A78" s="310"/>
      <c r="B78" s="310"/>
      <c r="C78" s="310"/>
      <c r="D78" s="310"/>
      <c r="E78" s="310"/>
      <c r="F78" s="310"/>
      <c r="G78" s="310"/>
      <c r="H78" s="310"/>
      <c r="I78" s="310"/>
      <c r="J78" s="310"/>
      <c r="K78" s="310"/>
      <c r="L78" s="310"/>
      <c r="M78" s="310"/>
      <c r="N78" s="310"/>
      <c r="O78" s="310"/>
      <c r="P78" s="310"/>
      <c r="Q78" s="310"/>
      <c r="R78" s="310"/>
      <c r="S78" s="310"/>
      <c r="T78" s="310"/>
      <c r="U78" s="310"/>
      <c r="V78" s="310"/>
      <c r="W78" s="310"/>
      <c r="X78" s="310"/>
      <c r="Y78" s="310"/>
      <c r="Z78" s="310"/>
      <c r="AA78" s="310"/>
    </row>
    <row r="79" spans="1:27">
      <c r="A79" s="310"/>
      <c r="B79" s="310"/>
      <c r="C79" s="310"/>
      <c r="D79" s="310"/>
      <c r="E79" s="310"/>
      <c r="F79" s="310"/>
      <c r="G79" s="310"/>
      <c r="H79" s="310"/>
      <c r="I79" s="310"/>
      <c r="J79" s="310"/>
      <c r="K79" s="310"/>
      <c r="L79" s="310"/>
      <c r="M79" s="310"/>
      <c r="N79" s="310"/>
      <c r="O79" s="310"/>
      <c r="P79" s="310"/>
      <c r="Q79" s="310"/>
      <c r="R79" s="310"/>
      <c r="S79" s="310"/>
      <c r="T79" s="310"/>
      <c r="U79" s="310"/>
      <c r="V79" s="310"/>
      <c r="W79" s="310"/>
      <c r="X79" s="310"/>
      <c r="Y79" s="310"/>
      <c r="Z79" s="310"/>
      <c r="AA79" s="310"/>
    </row>
    <row r="80" spans="1:27">
      <c r="A80" s="310"/>
      <c r="B80" s="310"/>
      <c r="C80" s="310"/>
      <c r="D80" s="310"/>
      <c r="E80" s="310"/>
      <c r="F80" s="310"/>
      <c r="G80" s="310"/>
      <c r="H80" s="310"/>
      <c r="I80" s="310"/>
      <c r="J80" s="310"/>
      <c r="K80" s="310"/>
      <c r="L80" s="310"/>
      <c r="M80" s="310"/>
      <c r="N80" s="310"/>
      <c r="O80" s="310"/>
      <c r="P80" s="310"/>
      <c r="Q80" s="310"/>
      <c r="R80" s="310"/>
      <c r="S80" s="310"/>
      <c r="T80" s="310"/>
      <c r="U80" s="310"/>
      <c r="V80" s="310"/>
      <c r="W80" s="310"/>
      <c r="X80" s="310"/>
      <c r="Y80" s="310"/>
      <c r="Z80" s="310"/>
      <c r="AA80" s="310"/>
    </row>
    <row r="81" spans="1:27">
      <c r="A81" s="310"/>
      <c r="B81" s="310"/>
      <c r="C81" s="310"/>
      <c r="D81" s="310"/>
      <c r="E81" s="310"/>
      <c r="F81" s="310"/>
      <c r="G81" s="310"/>
      <c r="H81" s="310"/>
      <c r="I81" s="310"/>
      <c r="J81" s="310"/>
      <c r="K81" s="310"/>
      <c r="L81" s="310"/>
      <c r="M81" s="310"/>
      <c r="N81" s="310"/>
      <c r="O81" s="310"/>
      <c r="P81" s="310"/>
      <c r="Q81" s="310"/>
      <c r="R81" s="310"/>
      <c r="S81" s="310"/>
      <c r="T81" s="310"/>
      <c r="U81" s="310"/>
      <c r="V81" s="310"/>
      <c r="W81" s="310"/>
      <c r="X81" s="310"/>
      <c r="Y81" s="310"/>
      <c r="Z81" s="310"/>
      <c r="AA81" s="310"/>
    </row>
    <row r="82" spans="1:27">
      <c r="A82" s="310"/>
      <c r="B82" s="310"/>
      <c r="C82" s="310"/>
      <c r="D82" s="310"/>
      <c r="E82" s="310"/>
      <c r="F82" s="310"/>
      <c r="G82" s="310"/>
      <c r="H82" s="310"/>
      <c r="I82" s="310"/>
      <c r="J82" s="310"/>
      <c r="K82" s="310"/>
      <c r="L82" s="310"/>
      <c r="M82" s="310"/>
      <c r="N82" s="310"/>
      <c r="O82" s="310"/>
      <c r="P82" s="310"/>
      <c r="Q82" s="310"/>
      <c r="R82" s="310"/>
      <c r="S82" s="310"/>
      <c r="T82" s="310"/>
      <c r="U82" s="310"/>
      <c r="V82" s="310"/>
      <c r="W82" s="310"/>
      <c r="X82" s="310"/>
      <c r="Y82" s="310"/>
      <c r="Z82" s="310"/>
      <c r="AA82" s="310"/>
    </row>
    <row r="83" spans="1:27">
      <c r="A83" s="310"/>
      <c r="B83" s="310"/>
      <c r="C83" s="310"/>
      <c r="D83" s="310"/>
      <c r="E83" s="310"/>
      <c r="F83" s="310"/>
      <c r="G83" s="310"/>
      <c r="H83" s="310"/>
      <c r="I83" s="310"/>
      <c r="J83" s="310"/>
      <c r="K83" s="310"/>
      <c r="L83" s="310"/>
      <c r="M83" s="310"/>
      <c r="N83" s="310"/>
      <c r="O83" s="310"/>
      <c r="P83" s="310"/>
      <c r="Q83" s="310"/>
      <c r="R83" s="310"/>
      <c r="S83" s="310"/>
      <c r="T83" s="310"/>
      <c r="U83" s="310"/>
      <c r="V83" s="310"/>
      <c r="W83" s="310"/>
      <c r="X83" s="310"/>
      <c r="Y83" s="310"/>
      <c r="Z83" s="310"/>
      <c r="AA83" s="310"/>
    </row>
    <row r="84" spans="1:27">
      <c r="A84" s="310"/>
      <c r="B84" s="310"/>
      <c r="C84" s="310"/>
      <c r="D84" s="310"/>
      <c r="E84" s="310"/>
      <c r="F84" s="310"/>
      <c r="G84" s="310"/>
      <c r="H84" s="310"/>
      <c r="I84" s="310"/>
      <c r="J84" s="310"/>
      <c r="K84" s="310"/>
      <c r="L84" s="310"/>
      <c r="M84" s="310"/>
      <c r="N84" s="310"/>
      <c r="O84" s="310"/>
      <c r="P84" s="310"/>
      <c r="Q84" s="310"/>
      <c r="R84" s="310"/>
      <c r="S84" s="310"/>
      <c r="T84" s="310"/>
      <c r="U84" s="310"/>
      <c r="V84" s="310"/>
      <c r="W84" s="310"/>
      <c r="X84" s="310"/>
      <c r="Y84" s="310"/>
      <c r="Z84" s="310"/>
      <c r="AA84" s="310"/>
    </row>
    <row r="85" spans="1:27">
      <c r="A85" s="310"/>
      <c r="B85" s="310"/>
      <c r="C85" s="310"/>
      <c r="D85" s="310"/>
      <c r="E85" s="310"/>
      <c r="F85" s="310"/>
      <c r="G85" s="310"/>
      <c r="H85" s="310"/>
      <c r="I85" s="310"/>
      <c r="J85" s="310"/>
      <c r="K85" s="310"/>
      <c r="L85" s="310"/>
      <c r="M85" s="310"/>
      <c r="N85" s="310"/>
      <c r="O85" s="310"/>
      <c r="P85" s="310"/>
      <c r="Q85" s="310"/>
      <c r="R85" s="310"/>
      <c r="S85" s="310"/>
      <c r="T85" s="310"/>
      <c r="U85" s="310"/>
      <c r="V85" s="310"/>
      <c r="W85" s="310"/>
      <c r="X85" s="310"/>
      <c r="Y85" s="310"/>
      <c r="Z85" s="310"/>
      <c r="AA85" s="310"/>
    </row>
    <row r="86" spans="1:27">
      <c r="A86" s="310"/>
      <c r="B86" s="310"/>
      <c r="C86" s="310"/>
      <c r="D86" s="310"/>
      <c r="E86" s="310"/>
      <c r="F86" s="310"/>
      <c r="G86" s="310"/>
      <c r="H86" s="310"/>
      <c r="I86" s="310"/>
      <c r="J86" s="310"/>
      <c r="K86" s="310"/>
      <c r="L86" s="310"/>
      <c r="M86" s="310"/>
      <c r="N86" s="310"/>
      <c r="O86" s="310"/>
      <c r="P86" s="310"/>
      <c r="Q86" s="310"/>
      <c r="R86" s="310"/>
      <c r="S86" s="310"/>
      <c r="T86" s="310"/>
      <c r="U86" s="310"/>
      <c r="V86" s="310"/>
      <c r="W86" s="310"/>
      <c r="X86" s="310"/>
      <c r="Y86" s="310"/>
      <c r="Z86" s="310"/>
      <c r="AA86" s="310"/>
    </row>
    <row r="87" spans="1:27">
      <c r="A87" s="310"/>
      <c r="B87" s="310"/>
      <c r="C87" s="310"/>
      <c r="D87" s="310"/>
      <c r="E87" s="310"/>
      <c r="F87" s="310"/>
      <c r="G87" s="310"/>
      <c r="H87" s="310"/>
      <c r="I87" s="310"/>
      <c r="J87" s="310"/>
      <c r="K87" s="310"/>
      <c r="L87" s="310"/>
      <c r="M87" s="310"/>
      <c r="N87" s="310"/>
      <c r="O87" s="310"/>
      <c r="P87" s="310"/>
      <c r="Q87" s="310"/>
      <c r="R87" s="310"/>
      <c r="S87" s="310"/>
      <c r="T87" s="310"/>
      <c r="U87" s="310"/>
      <c r="V87" s="310"/>
      <c r="W87" s="310"/>
      <c r="X87" s="310"/>
      <c r="Y87" s="310"/>
      <c r="Z87" s="310"/>
      <c r="AA87" s="310"/>
    </row>
    <row r="88" spans="1:27">
      <c r="A88" s="310"/>
      <c r="B88" s="310"/>
      <c r="C88" s="310"/>
      <c r="D88" s="310"/>
      <c r="E88" s="310"/>
      <c r="F88" s="310"/>
      <c r="G88" s="310"/>
      <c r="H88" s="310"/>
      <c r="I88" s="310"/>
      <c r="J88" s="310"/>
      <c r="K88" s="310"/>
      <c r="L88" s="310"/>
      <c r="M88" s="310"/>
      <c r="N88" s="310"/>
      <c r="O88" s="310"/>
      <c r="P88" s="310"/>
      <c r="Q88" s="310"/>
      <c r="R88" s="310"/>
      <c r="S88" s="310"/>
      <c r="T88" s="310"/>
      <c r="U88" s="310"/>
      <c r="V88" s="310"/>
      <c r="W88" s="310"/>
      <c r="X88" s="310"/>
      <c r="Y88" s="310"/>
      <c r="Z88" s="310"/>
      <c r="AA88" s="310"/>
    </row>
    <row r="89" spans="1:27">
      <c r="A89" s="310"/>
      <c r="B89" s="310"/>
      <c r="C89" s="310"/>
      <c r="D89" s="310"/>
      <c r="E89" s="310"/>
      <c r="F89" s="310"/>
      <c r="G89" s="310"/>
      <c r="H89" s="310"/>
      <c r="I89" s="310"/>
      <c r="J89" s="310"/>
      <c r="K89" s="310"/>
      <c r="L89" s="310"/>
      <c r="M89" s="310"/>
      <c r="N89" s="310"/>
      <c r="O89" s="310"/>
      <c r="P89" s="310"/>
      <c r="Q89" s="310"/>
      <c r="R89" s="310"/>
      <c r="S89" s="310"/>
      <c r="T89" s="310"/>
      <c r="U89" s="310"/>
      <c r="V89" s="310"/>
      <c r="W89" s="310"/>
      <c r="X89" s="310"/>
      <c r="Y89" s="310"/>
      <c r="Z89" s="310"/>
      <c r="AA89" s="310"/>
    </row>
    <row r="90" spans="1:27">
      <c r="A90" s="310"/>
      <c r="B90" s="310"/>
      <c r="C90" s="310"/>
      <c r="D90" s="310"/>
      <c r="E90" s="310"/>
      <c r="F90" s="310"/>
      <c r="G90" s="310"/>
      <c r="H90" s="310"/>
      <c r="I90" s="310"/>
      <c r="J90" s="310"/>
      <c r="K90" s="310"/>
      <c r="L90" s="310"/>
      <c r="M90" s="310"/>
      <c r="N90" s="310"/>
      <c r="O90" s="310"/>
      <c r="P90" s="310"/>
      <c r="Q90" s="310"/>
      <c r="R90" s="310"/>
      <c r="S90" s="310"/>
      <c r="T90" s="310"/>
      <c r="U90" s="310"/>
      <c r="V90" s="310"/>
      <c r="W90" s="310"/>
      <c r="X90" s="310"/>
      <c r="Y90" s="310"/>
      <c r="Z90" s="310"/>
      <c r="AA90" s="310"/>
    </row>
    <row r="91" spans="1:27">
      <c r="A91" s="310"/>
      <c r="B91" s="310"/>
      <c r="C91" s="310"/>
      <c r="D91" s="310"/>
      <c r="E91" s="310"/>
      <c r="F91" s="310"/>
      <c r="G91" s="310"/>
      <c r="H91" s="310"/>
      <c r="I91" s="310"/>
      <c r="J91" s="310"/>
      <c r="K91" s="310"/>
      <c r="L91" s="310"/>
      <c r="M91" s="310"/>
      <c r="N91" s="310"/>
      <c r="O91" s="310"/>
      <c r="P91" s="310"/>
      <c r="Q91" s="310"/>
      <c r="R91" s="310"/>
      <c r="S91" s="310"/>
      <c r="T91" s="310"/>
      <c r="U91" s="310"/>
      <c r="V91" s="310"/>
      <c r="W91" s="310"/>
      <c r="X91" s="310"/>
      <c r="Y91" s="310"/>
      <c r="Z91" s="310"/>
      <c r="AA91" s="310"/>
    </row>
    <row r="92" spans="1:27">
      <c r="A92" s="310"/>
      <c r="B92" s="310"/>
      <c r="C92" s="310"/>
      <c r="D92" s="310"/>
      <c r="E92" s="310"/>
      <c r="F92" s="310"/>
      <c r="G92" s="310"/>
      <c r="H92" s="310"/>
      <c r="I92" s="310"/>
      <c r="J92" s="310"/>
      <c r="K92" s="310"/>
      <c r="L92" s="310"/>
      <c r="M92" s="310"/>
      <c r="N92" s="310"/>
      <c r="O92" s="310"/>
      <c r="P92" s="310"/>
      <c r="Q92" s="310"/>
      <c r="R92" s="310"/>
      <c r="S92" s="310"/>
      <c r="T92" s="310"/>
      <c r="U92" s="310"/>
      <c r="V92" s="310"/>
      <c r="W92" s="310"/>
      <c r="X92" s="310"/>
      <c r="Y92" s="310"/>
      <c r="Z92" s="310"/>
      <c r="AA92" s="310"/>
    </row>
    <row r="93" spans="1:27">
      <c r="A93" s="310"/>
      <c r="B93" s="310"/>
      <c r="C93" s="310"/>
      <c r="D93" s="310"/>
      <c r="E93" s="310"/>
      <c r="F93" s="310"/>
      <c r="G93" s="310"/>
      <c r="H93" s="310"/>
      <c r="I93" s="310"/>
      <c r="J93" s="310"/>
      <c r="K93" s="310"/>
      <c r="L93" s="310"/>
      <c r="M93" s="310"/>
      <c r="N93" s="310"/>
      <c r="O93" s="310"/>
      <c r="P93" s="310"/>
      <c r="Q93" s="310"/>
      <c r="R93" s="310"/>
      <c r="S93" s="310"/>
      <c r="T93" s="310"/>
      <c r="U93" s="310"/>
      <c r="V93" s="310"/>
      <c r="W93" s="310"/>
      <c r="X93" s="310"/>
      <c r="Y93" s="310"/>
      <c r="Z93" s="310"/>
      <c r="AA93" s="310"/>
    </row>
    <row r="94" spans="1:27">
      <c r="A94" s="310"/>
      <c r="B94" s="310"/>
      <c r="C94" s="310"/>
      <c r="D94" s="310"/>
      <c r="E94" s="310"/>
      <c r="F94" s="310"/>
      <c r="G94" s="310"/>
      <c r="H94" s="310"/>
      <c r="I94" s="310"/>
      <c r="J94" s="310"/>
      <c r="K94" s="310"/>
      <c r="L94" s="310"/>
      <c r="M94" s="310"/>
      <c r="N94" s="310"/>
      <c r="O94" s="310"/>
      <c r="P94" s="310"/>
      <c r="Q94" s="310"/>
      <c r="R94" s="310"/>
      <c r="S94" s="310"/>
      <c r="T94" s="310"/>
      <c r="U94" s="310"/>
      <c r="V94" s="310"/>
      <c r="W94" s="310"/>
      <c r="X94" s="310"/>
      <c r="Y94" s="310"/>
      <c r="Z94" s="310"/>
      <c r="AA94" s="310"/>
    </row>
    <row r="95" spans="1:27">
      <c r="A95" s="310"/>
      <c r="B95" s="310"/>
      <c r="C95" s="310"/>
      <c r="D95" s="310"/>
      <c r="E95" s="310"/>
      <c r="F95" s="310"/>
      <c r="G95" s="310"/>
      <c r="H95" s="310"/>
      <c r="I95" s="310"/>
      <c r="J95" s="310"/>
      <c r="K95" s="310"/>
      <c r="L95" s="310"/>
      <c r="M95" s="310"/>
      <c r="N95" s="310"/>
      <c r="O95" s="310"/>
      <c r="P95" s="310"/>
      <c r="Q95" s="310"/>
      <c r="R95" s="310"/>
      <c r="S95" s="310"/>
      <c r="T95" s="310"/>
      <c r="U95" s="310"/>
      <c r="V95" s="310"/>
      <c r="W95" s="310"/>
      <c r="X95" s="310"/>
      <c r="Y95" s="310"/>
      <c r="Z95" s="310"/>
      <c r="AA95" s="310"/>
    </row>
    <row r="96" spans="1:27">
      <c r="A96" s="310"/>
      <c r="B96" s="310"/>
      <c r="C96" s="310"/>
      <c r="D96" s="310"/>
      <c r="E96" s="310"/>
      <c r="F96" s="310"/>
      <c r="G96" s="310"/>
      <c r="H96" s="310"/>
      <c r="I96" s="310"/>
      <c r="J96" s="310"/>
      <c r="K96" s="310"/>
      <c r="L96" s="310"/>
      <c r="M96" s="310"/>
      <c r="N96" s="310"/>
      <c r="O96" s="310"/>
      <c r="P96" s="310"/>
      <c r="Q96" s="310"/>
      <c r="R96" s="310"/>
      <c r="S96" s="310"/>
      <c r="T96" s="310"/>
      <c r="U96" s="310"/>
      <c r="V96" s="310"/>
      <c r="W96" s="310"/>
      <c r="X96" s="310"/>
      <c r="Y96" s="310"/>
      <c r="Z96" s="310"/>
      <c r="AA96" s="310"/>
    </row>
    <row r="97" spans="1:27">
      <c r="A97" s="310"/>
      <c r="B97" s="310"/>
      <c r="C97" s="310"/>
      <c r="D97" s="310"/>
      <c r="E97" s="310"/>
      <c r="F97" s="310"/>
      <c r="G97" s="310"/>
      <c r="H97" s="310"/>
      <c r="I97" s="310"/>
      <c r="J97" s="310"/>
      <c r="K97" s="310"/>
      <c r="L97" s="310"/>
      <c r="M97" s="310"/>
      <c r="N97" s="310"/>
      <c r="O97" s="310"/>
      <c r="P97" s="310"/>
      <c r="Q97" s="310"/>
      <c r="R97" s="310"/>
      <c r="S97" s="310"/>
      <c r="T97" s="310"/>
      <c r="U97" s="310"/>
      <c r="V97" s="310"/>
      <c r="W97" s="310"/>
      <c r="X97" s="310"/>
      <c r="Y97" s="310"/>
      <c r="Z97" s="310"/>
      <c r="AA97" s="310"/>
    </row>
    <row r="98" spans="1:27">
      <c r="A98" s="310"/>
      <c r="B98" s="310"/>
      <c r="C98" s="310"/>
      <c r="D98" s="310"/>
      <c r="E98" s="310"/>
      <c r="F98" s="310"/>
      <c r="G98" s="310"/>
      <c r="H98" s="310"/>
      <c r="I98" s="310"/>
      <c r="J98" s="310"/>
      <c r="K98" s="310"/>
      <c r="L98" s="310"/>
      <c r="M98" s="310"/>
      <c r="N98" s="310"/>
      <c r="O98" s="310"/>
      <c r="P98" s="310"/>
      <c r="Q98" s="310"/>
      <c r="R98" s="310"/>
      <c r="S98" s="310"/>
      <c r="T98" s="310"/>
      <c r="U98" s="310"/>
      <c r="V98" s="310"/>
      <c r="W98" s="310"/>
      <c r="X98" s="310"/>
      <c r="Y98" s="310"/>
      <c r="Z98" s="310"/>
      <c r="AA98" s="310"/>
    </row>
    <row r="99" spans="1:27">
      <c r="A99" s="310"/>
      <c r="B99" s="310"/>
      <c r="C99" s="310"/>
      <c r="D99" s="310"/>
      <c r="E99" s="310"/>
      <c r="F99" s="310"/>
      <c r="G99" s="310"/>
      <c r="H99" s="310"/>
      <c r="I99" s="310"/>
      <c r="J99" s="310"/>
      <c r="K99" s="310"/>
      <c r="L99" s="310"/>
      <c r="M99" s="310"/>
      <c r="N99" s="310"/>
      <c r="O99" s="310"/>
      <c r="P99" s="310"/>
      <c r="Q99" s="310"/>
      <c r="R99" s="310"/>
      <c r="S99" s="310"/>
      <c r="T99" s="310"/>
      <c r="U99" s="310"/>
      <c r="V99" s="310"/>
      <c r="W99" s="310"/>
      <c r="X99" s="310"/>
      <c r="Y99" s="310"/>
      <c r="Z99" s="310"/>
      <c r="AA99" s="310"/>
    </row>
    <row r="100" spans="1:27">
      <c r="A100" s="310"/>
      <c r="B100" s="310"/>
      <c r="C100" s="310"/>
      <c r="D100" s="310"/>
      <c r="E100" s="310"/>
      <c r="F100" s="310"/>
      <c r="G100" s="310"/>
      <c r="H100" s="310"/>
      <c r="I100" s="310"/>
      <c r="J100" s="310"/>
      <c r="K100" s="310"/>
      <c r="L100" s="310"/>
      <c r="M100" s="310"/>
      <c r="N100" s="310"/>
      <c r="O100" s="310"/>
      <c r="P100" s="310"/>
      <c r="Q100" s="310"/>
      <c r="R100" s="310"/>
      <c r="S100" s="310"/>
      <c r="T100" s="310"/>
      <c r="U100" s="310"/>
      <c r="V100" s="310"/>
      <c r="W100" s="310"/>
      <c r="X100" s="310"/>
      <c r="Y100" s="310"/>
      <c r="Z100" s="310"/>
      <c r="AA100" s="310"/>
    </row>
    <row r="101" spans="1:27">
      <c r="A101" s="310"/>
      <c r="B101" s="310"/>
      <c r="C101" s="310"/>
      <c r="D101" s="310"/>
      <c r="E101" s="310"/>
      <c r="F101" s="310"/>
      <c r="G101" s="310"/>
      <c r="H101" s="310"/>
      <c r="I101" s="310"/>
      <c r="J101" s="310"/>
      <c r="K101" s="310"/>
      <c r="L101" s="310"/>
      <c r="M101" s="310"/>
      <c r="N101" s="310"/>
      <c r="O101" s="310"/>
      <c r="P101" s="310"/>
      <c r="Q101" s="310"/>
      <c r="R101" s="310"/>
      <c r="S101" s="310"/>
      <c r="T101" s="310"/>
      <c r="U101" s="310"/>
      <c r="V101" s="310"/>
      <c r="W101" s="310"/>
      <c r="X101" s="310"/>
      <c r="Y101" s="310"/>
      <c r="Z101" s="310"/>
      <c r="AA101" s="310"/>
    </row>
    <row r="102" spans="1:27">
      <c r="A102" s="310"/>
      <c r="B102" s="310"/>
      <c r="C102" s="310"/>
      <c r="D102" s="310"/>
      <c r="E102" s="310"/>
      <c r="F102" s="310"/>
      <c r="G102" s="310"/>
      <c r="H102" s="310"/>
      <c r="I102" s="310"/>
      <c r="J102" s="310"/>
      <c r="K102" s="310"/>
      <c r="L102" s="310"/>
      <c r="M102" s="310"/>
      <c r="N102" s="310"/>
      <c r="O102" s="310"/>
      <c r="P102" s="310"/>
      <c r="Q102" s="310"/>
      <c r="R102" s="310"/>
      <c r="S102" s="310"/>
      <c r="T102" s="310"/>
      <c r="U102" s="310"/>
      <c r="V102" s="310"/>
      <c r="W102" s="310"/>
      <c r="X102" s="310"/>
      <c r="Y102" s="310"/>
      <c r="Z102" s="310"/>
      <c r="AA102" s="310"/>
    </row>
    <row r="103" spans="1:27">
      <c r="A103" s="310"/>
      <c r="B103" s="310"/>
      <c r="C103" s="310"/>
      <c r="D103" s="310"/>
      <c r="E103" s="310"/>
      <c r="F103" s="310"/>
      <c r="G103" s="310"/>
      <c r="H103" s="310"/>
      <c r="I103" s="310"/>
      <c r="J103" s="310"/>
      <c r="K103" s="310"/>
      <c r="L103" s="310"/>
      <c r="M103" s="310"/>
      <c r="N103" s="310"/>
      <c r="O103" s="310"/>
      <c r="P103" s="310"/>
      <c r="Q103" s="310"/>
      <c r="R103" s="310"/>
      <c r="S103" s="310"/>
      <c r="T103" s="310"/>
      <c r="U103" s="310"/>
      <c r="V103" s="310"/>
      <c r="W103" s="310"/>
      <c r="X103" s="310"/>
      <c r="Y103" s="310"/>
      <c r="Z103" s="310"/>
      <c r="AA103" s="310"/>
    </row>
    <row r="104" spans="1:27">
      <c r="A104" s="310"/>
      <c r="B104" s="310"/>
      <c r="C104" s="310"/>
      <c r="D104" s="310"/>
      <c r="E104" s="310"/>
      <c r="F104" s="310"/>
      <c r="G104" s="310"/>
      <c r="H104" s="310"/>
      <c r="I104" s="310"/>
      <c r="J104" s="310"/>
      <c r="K104" s="310"/>
      <c r="L104" s="310"/>
      <c r="M104" s="310"/>
      <c r="N104" s="310"/>
      <c r="O104" s="310"/>
      <c r="P104" s="310"/>
      <c r="Q104" s="310"/>
      <c r="R104" s="310"/>
      <c r="S104" s="310"/>
      <c r="T104" s="310"/>
      <c r="U104" s="310"/>
      <c r="V104" s="310"/>
      <c r="W104" s="310"/>
      <c r="X104" s="310"/>
      <c r="Y104" s="310"/>
      <c r="Z104" s="310"/>
      <c r="AA104" s="310"/>
    </row>
    <row r="105" spans="1:27">
      <c r="A105" s="310"/>
      <c r="B105" s="310"/>
      <c r="C105" s="310"/>
      <c r="D105" s="310"/>
      <c r="E105" s="310"/>
      <c r="F105" s="310"/>
      <c r="G105" s="310"/>
      <c r="H105" s="310"/>
      <c r="I105" s="310"/>
      <c r="J105" s="310"/>
      <c r="K105" s="310"/>
      <c r="L105" s="310"/>
      <c r="M105" s="310"/>
      <c r="N105" s="310"/>
      <c r="O105" s="310"/>
      <c r="P105" s="310"/>
      <c r="Q105" s="310"/>
      <c r="R105" s="310"/>
      <c r="S105" s="310"/>
      <c r="T105" s="310"/>
      <c r="U105" s="310"/>
      <c r="V105" s="310"/>
      <c r="W105" s="310"/>
      <c r="X105" s="310"/>
      <c r="Y105" s="310"/>
      <c r="Z105" s="310"/>
      <c r="AA105" s="310"/>
    </row>
    <row r="106" spans="1:27">
      <c r="A106" s="310"/>
      <c r="B106" s="310"/>
      <c r="C106" s="310"/>
      <c r="D106" s="310"/>
      <c r="E106" s="310"/>
      <c r="F106" s="310"/>
      <c r="G106" s="310"/>
      <c r="H106" s="310"/>
      <c r="I106" s="310"/>
      <c r="J106" s="310"/>
      <c r="K106" s="310"/>
      <c r="L106" s="310"/>
      <c r="M106" s="310"/>
      <c r="N106" s="310"/>
      <c r="O106" s="310"/>
      <c r="P106" s="310"/>
      <c r="Q106" s="310"/>
      <c r="R106" s="310"/>
      <c r="S106" s="310"/>
      <c r="T106" s="310"/>
      <c r="U106" s="310"/>
      <c r="V106" s="310"/>
      <c r="W106" s="310"/>
      <c r="X106" s="310"/>
      <c r="Y106" s="310"/>
      <c r="Z106" s="310"/>
      <c r="AA106" s="310"/>
    </row>
    <row r="107" spans="1:27">
      <c r="A107" s="310"/>
      <c r="B107" s="310"/>
      <c r="C107" s="310"/>
      <c r="D107" s="310"/>
      <c r="E107" s="310"/>
      <c r="F107" s="310"/>
      <c r="G107" s="310"/>
      <c r="H107" s="310"/>
      <c r="I107" s="310"/>
      <c r="J107" s="310"/>
      <c r="K107" s="310"/>
      <c r="L107" s="310"/>
      <c r="M107" s="310"/>
      <c r="N107" s="310"/>
      <c r="O107" s="310"/>
      <c r="P107" s="310"/>
      <c r="Q107" s="310"/>
      <c r="R107" s="310"/>
      <c r="S107" s="310"/>
      <c r="T107" s="310"/>
      <c r="U107" s="310"/>
      <c r="V107" s="310"/>
      <c r="W107" s="310"/>
      <c r="X107" s="310"/>
      <c r="Y107" s="310"/>
      <c r="Z107" s="310"/>
      <c r="AA107" s="310"/>
    </row>
    <row r="108" spans="1:27">
      <c r="A108" s="310"/>
      <c r="B108" s="310"/>
      <c r="C108" s="310"/>
      <c r="D108" s="310"/>
      <c r="E108" s="310"/>
      <c r="F108" s="310"/>
      <c r="G108" s="310"/>
      <c r="H108" s="310"/>
      <c r="I108" s="310"/>
      <c r="J108" s="310"/>
      <c r="K108" s="310"/>
      <c r="L108" s="310"/>
      <c r="M108" s="310"/>
      <c r="N108" s="310"/>
      <c r="O108" s="310"/>
      <c r="P108" s="310"/>
      <c r="Q108" s="310"/>
      <c r="R108" s="310"/>
      <c r="S108" s="310"/>
      <c r="T108" s="310"/>
      <c r="U108" s="310"/>
      <c r="V108" s="310"/>
      <c r="W108" s="310"/>
      <c r="X108" s="310"/>
      <c r="Y108" s="310"/>
      <c r="Z108" s="310"/>
      <c r="AA108" s="310"/>
    </row>
    <row r="109" spans="1:27">
      <c r="A109" s="310"/>
      <c r="B109" s="310"/>
      <c r="C109" s="310"/>
      <c r="D109" s="310"/>
      <c r="E109" s="310"/>
      <c r="F109" s="310"/>
      <c r="G109" s="310"/>
      <c r="H109" s="310"/>
      <c r="I109" s="310"/>
      <c r="J109" s="310"/>
      <c r="K109" s="310"/>
      <c r="L109" s="310"/>
      <c r="M109" s="310"/>
      <c r="N109" s="310"/>
      <c r="O109" s="310"/>
      <c r="P109" s="310"/>
      <c r="Q109" s="310"/>
      <c r="R109" s="310"/>
      <c r="S109" s="310"/>
      <c r="T109" s="310"/>
      <c r="U109" s="310"/>
      <c r="V109" s="310"/>
      <c r="W109" s="310"/>
      <c r="X109" s="310"/>
      <c r="Y109" s="310"/>
      <c r="Z109" s="310"/>
      <c r="AA109" s="310"/>
    </row>
    <row r="110" spans="1:27">
      <c r="A110" s="310"/>
      <c r="B110" s="310"/>
      <c r="C110" s="310"/>
      <c r="D110" s="310"/>
      <c r="E110" s="310"/>
      <c r="F110" s="310"/>
      <c r="G110" s="310"/>
      <c r="H110" s="310"/>
      <c r="I110" s="310"/>
      <c r="J110" s="310"/>
      <c r="K110" s="310"/>
      <c r="L110" s="310"/>
      <c r="M110" s="310"/>
      <c r="N110" s="310"/>
      <c r="O110" s="310"/>
      <c r="P110" s="310"/>
      <c r="Q110" s="310"/>
      <c r="R110" s="310"/>
      <c r="S110" s="310"/>
      <c r="T110" s="310"/>
      <c r="U110" s="310"/>
      <c r="V110" s="310"/>
      <c r="W110" s="310"/>
      <c r="X110" s="310"/>
      <c r="Y110" s="310"/>
      <c r="Z110" s="310"/>
      <c r="AA110" s="310"/>
    </row>
    <row r="111" spans="1:27">
      <c r="A111" s="310"/>
      <c r="B111" s="310"/>
      <c r="C111" s="310"/>
      <c r="D111" s="310"/>
      <c r="E111" s="310"/>
      <c r="F111" s="310"/>
      <c r="G111" s="310"/>
      <c r="H111" s="310"/>
      <c r="I111" s="310"/>
      <c r="J111" s="310"/>
      <c r="K111" s="310"/>
      <c r="L111" s="310"/>
      <c r="M111" s="310"/>
      <c r="N111" s="310"/>
      <c r="O111" s="310"/>
      <c r="P111" s="310"/>
      <c r="Q111" s="310"/>
      <c r="R111" s="310"/>
      <c r="S111" s="310"/>
      <c r="T111" s="310"/>
      <c r="U111" s="310"/>
      <c r="V111" s="310"/>
      <c r="W111" s="310"/>
      <c r="X111" s="310"/>
      <c r="Y111" s="310"/>
      <c r="Z111" s="310"/>
      <c r="AA111" s="310"/>
    </row>
    <row r="112" spans="1:27">
      <c r="A112" s="310"/>
      <c r="B112" s="310"/>
      <c r="C112" s="310"/>
      <c r="D112" s="310"/>
      <c r="E112" s="310"/>
      <c r="F112" s="310"/>
      <c r="G112" s="310"/>
      <c r="H112" s="310"/>
      <c r="I112" s="310"/>
      <c r="J112" s="310"/>
      <c r="K112" s="310"/>
      <c r="L112" s="310"/>
      <c r="M112" s="310"/>
      <c r="N112" s="310"/>
      <c r="O112" s="310"/>
      <c r="P112" s="310"/>
      <c r="Q112" s="310"/>
      <c r="R112" s="310"/>
      <c r="S112" s="310"/>
      <c r="T112" s="310"/>
      <c r="U112" s="310"/>
      <c r="V112" s="310"/>
      <c r="W112" s="310"/>
      <c r="X112" s="310"/>
      <c r="Y112" s="310"/>
      <c r="Z112" s="310"/>
      <c r="AA112" s="310"/>
    </row>
    <row r="113" spans="1:27">
      <c r="A113" s="310"/>
      <c r="B113" s="310"/>
      <c r="C113" s="310"/>
      <c r="D113" s="310"/>
      <c r="E113" s="310"/>
      <c r="F113" s="310"/>
      <c r="G113" s="310"/>
      <c r="H113" s="310"/>
      <c r="I113" s="310"/>
      <c r="J113" s="310"/>
      <c r="K113" s="310"/>
      <c r="L113" s="310"/>
      <c r="M113" s="310"/>
      <c r="N113" s="310"/>
      <c r="O113" s="310"/>
      <c r="P113" s="310"/>
      <c r="Q113" s="310"/>
      <c r="R113" s="310"/>
      <c r="S113" s="310"/>
      <c r="T113" s="310"/>
      <c r="U113" s="310"/>
      <c r="V113" s="310"/>
      <c r="W113" s="310"/>
      <c r="X113" s="310"/>
      <c r="Y113" s="310"/>
      <c r="Z113" s="310"/>
      <c r="AA113" s="310"/>
    </row>
    <row r="114" spans="1:27">
      <c r="A114" s="310"/>
      <c r="B114" s="310"/>
      <c r="C114" s="310"/>
      <c r="D114" s="310"/>
      <c r="E114" s="310"/>
      <c r="F114" s="310"/>
      <c r="G114" s="310"/>
      <c r="H114" s="310"/>
      <c r="I114" s="310"/>
      <c r="J114" s="310"/>
      <c r="K114" s="310"/>
      <c r="L114" s="310"/>
      <c r="M114" s="310"/>
      <c r="N114" s="310"/>
      <c r="O114" s="310"/>
      <c r="P114" s="310"/>
      <c r="Q114" s="310"/>
      <c r="R114" s="310"/>
      <c r="S114" s="310"/>
      <c r="T114" s="310"/>
      <c r="U114" s="310"/>
      <c r="V114" s="310"/>
      <c r="W114" s="310"/>
      <c r="X114" s="310"/>
      <c r="Y114" s="310"/>
      <c r="Z114" s="310"/>
      <c r="AA114" s="310"/>
    </row>
    <row r="115" spans="1:27">
      <c r="A115" s="310"/>
      <c r="B115" s="310"/>
      <c r="C115" s="310"/>
      <c r="D115" s="310"/>
      <c r="E115" s="310"/>
      <c r="F115" s="310"/>
      <c r="G115" s="310"/>
      <c r="H115" s="310"/>
      <c r="I115" s="310"/>
      <c r="J115" s="310"/>
      <c r="K115" s="310"/>
      <c r="L115" s="310"/>
      <c r="M115" s="310"/>
      <c r="N115" s="310"/>
      <c r="O115" s="310"/>
      <c r="P115" s="310"/>
      <c r="Q115" s="310"/>
      <c r="R115" s="310"/>
      <c r="S115" s="310"/>
      <c r="T115" s="310"/>
      <c r="U115" s="310"/>
      <c r="V115" s="310"/>
      <c r="W115" s="310"/>
      <c r="X115" s="310"/>
      <c r="Y115" s="310"/>
      <c r="Z115" s="310"/>
      <c r="AA115" s="310"/>
    </row>
    <row r="116" spans="1:27">
      <c r="A116" s="310"/>
      <c r="B116" s="310"/>
      <c r="C116" s="310"/>
      <c r="D116" s="310"/>
      <c r="E116" s="310"/>
      <c r="F116" s="310"/>
      <c r="G116" s="310"/>
      <c r="H116" s="310"/>
      <c r="I116" s="310"/>
      <c r="J116" s="310"/>
      <c r="K116" s="310"/>
      <c r="L116" s="310"/>
      <c r="M116" s="310"/>
      <c r="N116" s="310"/>
      <c r="O116" s="310"/>
      <c r="P116" s="310"/>
      <c r="Q116" s="310"/>
      <c r="R116" s="310"/>
      <c r="S116" s="310"/>
      <c r="T116" s="310"/>
      <c r="U116" s="310"/>
      <c r="V116" s="310"/>
      <c r="W116" s="310"/>
      <c r="X116" s="310"/>
      <c r="Y116" s="310"/>
      <c r="Z116" s="310"/>
      <c r="AA116" s="310"/>
    </row>
    <row r="117" spans="1:27">
      <c r="A117" s="310"/>
      <c r="B117" s="310"/>
      <c r="C117" s="310"/>
      <c r="D117" s="310"/>
      <c r="E117" s="310"/>
      <c r="F117" s="310"/>
      <c r="G117" s="310"/>
      <c r="H117" s="310"/>
      <c r="I117" s="310"/>
      <c r="J117" s="310"/>
      <c r="K117" s="310"/>
      <c r="L117" s="310"/>
      <c r="M117" s="310"/>
      <c r="N117" s="310"/>
      <c r="O117" s="310"/>
      <c r="P117" s="310"/>
      <c r="Q117" s="310"/>
      <c r="R117" s="310"/>
      <c r="S117" s="310"/>
      <c r="T117" s="310"/>
      <c r="U117" s="310"/>
      <c r="V117" s="310"/>
      <c r="W117" s="310"/>
      <c r="X117" s="310"/>
      <c r="Y117" s="310"/>
      <c r="Z117" s="310"/>
      <c r="AA117" s="310"/>
    </row>
    <row r="118" spans="1:27">
      <c r="A118" s="310"/>
      <c r="B118" s="310"/>
      <c r="C118" s="310"/>
      <c r="D118" s="310"/>
      <c r="E118" s="310"/>
      <c r="F118" s="310"/>
      <c r="G118" s="310"/>
      <c r="H118" s="310"/>
      <c r="I118" s="310"/>
      <c r="J118" s="310"/>
      <c r="K118" s="310"/>
      <c r="L118" s="310"/>
      <c r="M118" s="310"/>
      <c r="N118" s="310"/>
      <c r="O118" s="310"/>
      <c r="P118" s="310"/>
      <c r="Q118" s="310"/>
      <c r="R118" s="310"/>
      <c r="S118" s="310"/>
      <c r="T118" s="310"/>
      <c r="U118" s="310"/>
      <c r="V118" s="310"/>
      <c r="W118" s="310"/>
      <c r="X118" s="310"/>
      <c r="Y118" s="310"/>
      <c r="Z118" s="310"/>
      <c r="AA118" s="310"/>
    </row>
    <row r="119" spans="1:27">
      <c r="A119" s="310"/>
      <c r="B119" s="310"/>
      <c r="C119" s="310"/>
      <c r="D119" s="310"/>
      <c r="E119" s="310"/>
      <c r="F119" s="310"/>
      <c r="G119" s="310"/>
      <c r="H119" s="310"/>
      <c r="I119" s="310"/>
      <c r="J119" s="310"/>
      <c r="K119" s="310"/>
      <c r="L119" s="310"/>
      <c r="M119" s="310"/>
      <c r="N119" s="310"/>
      <c r="O119" s="310"/>
      <c r="P119" s="310"/>
      <c r="Q119" s="310"/>
      <c r="R119" s="310"/>
      <c r="S119" s="310"/>
      <c r="T119" s="310"/>
      <c r="U119" s="310"/>
      <c r="V119" s="310"/>
      <c r="W119" s="310"/>
      <c r="X119" s="310"/>
      <c r="Y119" s="310"/>
      <c r="Z119" s="310"/>
      <c r="AA119" s="310"/>
    </row>
    <row r="120" spans="1:27">
      <c r="A120" s="310"/>
      <c r="B120" s="310"/>
      <c r="C120" s="310"/>
      <c r="D120" s="310"/>
      <c r="E120" s="310"/>
      <c r="F120" s="310"/>
      <c r="G120" s="310"/>
      <c r="H120" s="310"/>
      <c r="I120" s="310"/>
      <c r="J120" s="310"/>
      <c r="K120" s="310"/>
      <c r="L120" s="310"/>
      <c r="M120" s="310"/>
      <c r="N120" s="310"/>
      <c r="O120" s="310"/>
      <c r="P120" s="310"/>
      <c r="Q120" s="310"/>
      <c r="R120" s="310"/>
      <c r="S120" s="310"/>
      <c r="T120" s="310"/>
      <c r="U120" s="310"/>
      <c r="V120" s="310"/>
      <c r="W120" s="310"/>
      <c r="X120" s="310"/>
      <c r="Y120" s="310"/>
      <c r="Z120" s="310"/>
      <c r="AA120" s="310"/>
    </row>
  </sheetData>
  <pageMargins left="0.7" right="0.7" top="0.75" bottom="0.75"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8"/>
  <dimension ref="A1:E3"/>
  <sheetViews>
    <sheetView workbookViewId="0"/>
  </sheetViews>
  <sheetFormatPr baseColWidth="10" defaultColWidth="11.5546875" defaultRowHeight="15"/>
  <sheetData>
    <row r="1" spans="1:5">
      <c r="A1" t="str">
        <f>Translate!$A$277</f>
        <v>Subprojects</v>
      </c>
      <c r="B1" t="str">
        <f>Translate!$A$278</f>
        <v>Projects</v>
      </c>
      <c r="C1" t="str">
        <f>Translate!$A$279</f>
        <v>Both</v>
      </c>
      <c r="D1" t="str">
        <f>Translate!$A$36</f>
        <v>Results</v>
      </c>
      <c r="E1" t="str">
        <f>Translate!$A$37</f>
        <v>Comparison</v>
      </c>
    </row>
    <row r="2" spans="1:5">
      <c r="A2" t="s">
        <v>2735</v>
      </c>
      <c r="D2" t="s">
        <v>94</v>
      </c>
      <c r="E2" t="s">
        <v>285</v>
      </c>
    </row>
    <row r="3" spans="1:5">
      <c r="C3" t="s">
        <v>2735</v>
      </c>
    </row>
  </sheetData>
  <pageMargins left="0.7" right="0.7" top="0.75" bottom="0.75"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J183"/>
  <sheetViews>
    <sheetView workbookViewId="0">
      <selection activeCell="A17" sqref="A17"/>
    </sheetView>
  </sheetViews>
  <sheetFormatPr baseColWidth="10" defaultColWidth="11.5546875" defaultRowHeight="15"/>
  <cols>
    <col min="1" max="2" width="34.88671875" customWidth="1"/>
    <col min="3" max="3" width="42" customWidth="1"/>
    <col min="4" max="4" width="34.88671875" customWidth="1"/>
  </cols>
  <sheetData>
    <row r="1" spans="1:10">
      <c r="A1" t="str">
        <f>Translate!$A$280</f>
        <v>Techniques</v>
      </c>
      <c r="B1" t="str">
        <f>Translate!$A$299</f>
        <v>Countries</v>
      </c>
      <c r="C1" t="str">
        <f>Translate!$A$473</f>
        <v>RailFreightElectric</v>
      </c>
      <c r="D1" t="str">
        <f>Translate!$A$254</f>
        <v>Material type</v>
      </c>
      <c r="G1" t="str">
        <f>Translate!$A$477</f>
        <v>new_recycled_reused</v>
      </c>
    </row>
    <row r="2" spans="1:10">
      <c r="A2" s="117" t="str">
        <f>Translate!A281</f>
        <v>Bored piles</v>
      </c>
      <c r="B2" s="233" t="str">
        <f>Translate!$A$300</f>
        <v>-Select the project country</v>
      </c>
      <c r="C2" t="str">
        <f>Translate!$A$474&amp;B2</f>
        <v>Rail - Average freight - electric - -Select the project country</v>
      </c>
      <c r="D2" t="str">
        <f>Translate!$A$73</f>
        <v>Concrete / Slurry / Grout mix</v>
      </c>
      <c r="E2" t="str">
        <f>Translate!$A$117</f>
        <v>made on site</v>
      </c>
      <c r="F2" t="str">
        <f>Translate!$A$91</f>
        <v>Default</v>
      </c>
      <c r="G2" t="str">
        <f>Translate!$A$478</f>
        <v>-new or recycled-</v>
      </c>
      <c r="H2" t="str">
        <f>Translate!$A$479</f>
        <v xml:space="preserve">Enter the number of working days
</v>
      </c>
      <c r="I2" t="str">
        <f>Translate!A163</f>
        <v>Yes</v>
      </c>
      <c r="J2" t="s">
        <v>1250</v>
      </c>
    </row>
    <row r="3" spans="1:10">
      <c r="A3" s="117" t="str">
        <f>Translate!A282</f>
        <v>Displacement piles</v>
      </c>
      <c r="B3" s="233" t="str">
        <f>Translate!$A$301</f>
        <v>---OECD Europe</v>
      </c>
      <c r="C3" t="str">
        <f>Translate!$A$474&amp;B3</f>
        <v>Rail - Average freight - electric - ---OECD Europe</v>
      </c>
      <c r="D3" t="str">
        <f>Translate!$A$138</f>
        <v>Steel</v>
      </c>
      <c r="E3" t="str">
        <f>Translate!$A$475</f>
        <v>made at plant</v>
      </c>
      <c r="F3" t="str">
        <f>Translate!$A$476</f>
        <v>Manually turned OFF</v>
      </c>
      <c r="G3" t="str">
        <f>Translate!$A$111</f>
        <v>-reused-</v>
      </c>
      <c r="H3" t="str">
        <f>Translate!$A$480</f>
        <v xml:space="preserve">Enter the average number of people working on the project
</v>
      </c>
      <c r="I3" t="str">
        <f>Translate!A164</f>
        <v>No</v>
      </c>
      <c r="J3" t="s">
        <v>486</v>
      </c>
    </row>
    <row r="4" spans="1:10">
      <c r="A4" s="117" t="str">
        <f>Translate!A283</f>
        <v>Micropiles/Minipiles</v>
      </c>
      <c r="B4" s="234" t="str">
        <f>Translate!$A$302</f>
        <v>Austria</v>
      </c>
      <c r="C4" t="str">
        <f>Translate!$A$474&amp;B4</f>
        <v>Rail - Average freight - electric - Austria</v>
      </c>
      <c r="D4" t="str">
        <f>Translate!$A$118</f>
        <v>Other</v>
      </c>
      <c r="H4" t="str">
        <f>Translate!$A$481</f>
        <v xml:space="preserve">Select a country
</v>
      </c>
      <c r="J4" t="s">
        <v>487</v>
      </c>
    </row>
    <row r="5" spans="1:10">
      <c r="A5" s="117" t="str">
        <f>Translate!A284</f>
        <v>Diaphragm and slurry walls</v>
      </c>
      <c r="B5" s="234" t="str">
        <f>Translate!$A$303</f>
        <v>Belgium</v>
      </c>
      <c r="C5" t="str">
        <f>Translate!$A$474&amp;B5</f>
        <v>Rail - Average freight - electric - Belgium</v>
      </c>
      <c r="H5" t="str">
        <f>Translate!$A$482</f>
        <v xml:space="preserve"> emissions are relatively high
</v>
      </c>
      <c r="J5" t="s">
        <v>1252</v>
      </c>
    </row>
    <row r="6" spans="1:10">
      <c r="A6" s="117" t="str">
        <f>Translate!A285</f>
        <v>Sheet pile walls</v>
      </c>
      <c r="B6" s="234" t="str">
        <f>Translate!$A$304</f>
        <v>Czech Republic</v>
      </c>
      <c r="C6" t="str">
        <f>Translate!$A$474&amp;B6</f>
        <v>Rail - Average freight - electric - Czech Republic</v>
      </c>
      <c r="H6" t="str">
        <f>Translate!$A$483</f>
        <v xml:space="preserve"> emissions are relatively low
</v>
      </c>
      <c r="J6" t="s">
        <v>1468</v>
      </c>
    </row>
    <row r="7" spans="1:10">
      <c r="A7" s="117" t="str">
        <f>Translate!A286</f>
        <v>Pile walls</v>
      </c>
      <c r="B7" s="234" t="str">
        <f>Translate!$A$305</f>
        <v>Denmark</v>
      </c>
      <c r="C7" t="str">
        <f>Translate!$A$474&amp;B7</f>
        <v>Rail - Average freight - electric - Denmark</v>
      </c>
      <c r="H7" t="str">
        <f>Translate!$A$484</f>
        <v xml:space="preserve">    (Primary source)</v>
      </c>
      <c r="J7" t="s">
        <v>1251</v>
      </c>
    </row>
    <row r="8" spans="1:10">
      <c r="A8" s="117" t="str">
        <f>Translate!A287</f>
        <v>Anchors</v>
      </c>
      <c r="B8" s="234" t="str">
        <f>Translate!$A$306</f>
        <v>Estonia</v>
      </c>
      <c r="C8" t="str">
        <f>Translate!$A$474&amp;B8</f>
        <v>Rail - Average freight - electric - Estonia</v>
      </c>
      <c r="H8" t="str">
        <f>Translate!$A$485</f>
        <v xml:space="preserve">    (Secondary source)</v>
      </c>
    </row>
    <row r="9" spans="1:10">
      <c r="A9" s="117" t="str">
        <f>Translate!A288</f>
        <v>Soil Nails</v>
      </c>
      <c r="B9" s="234" t="str">
        <f>Translate!$A$307</f>
        <v>Finland</v>
      </c>
      <c r="C9" t="str">
        <f>Translate!$A$474&amp;B9</f>
        <v>Rail - Average freight - electric - Finland</v>
      </c>
      <c r="H9" t="str">
        <f>Translate!A486</f>
        <v>General Principles :  emission sources are split into two categories :
 - primary emission sources (represented in colors)
  - secondary emission sources (represented in gray)
The method recommends to start with the primary emission sources,with the secondary emission sources being automatically estimated. Then you may want to fine tune the calculation using specific activity data for the secondary emission sources also.</v>
      </c>
    </row>
    <row r="10" spans="1:10">
      <c r="A10" s="117" t="str">
        <f>Translate!A289</f>
        <v>Dynamic compaction</v>
      </c>
      <c r="B10" s="234" t="str">
        <f>Translate!$A$308</f>
        <v>France</v>
      </c>
      <c r="C10" t="str">
        <f>Translate!$A$474&amp;B10</f>
        <v>Rail - Average freight - electric - France</v>
      </c>
      <c r="H10" t="str">
        <f>Translate!A487</f>
        <v>New Subproject sheet</v>
      </c>
    </row>
    <row r="11" spans="1:10">
      <c r="A11" s="117" t="str">
        <f>Translate!A290</f>
        <v>Vibro compaction</v>
      </c>
      <c r="B11" s="234" t="str">
        <f>Translate!$A$309</f>
        <v>Germany</v>
      </c>
      <c r="C11" t="str">
        <f>Translate!$A$474&amp;B11</f>
        <v>Rail - Average freight - electric - Germany</v>
      </c>
      <c r="H11" t="str">
        <f>Translate!A488</f>
        <v>New Project sheet</v>
      </c>
    </row>
    <row r="12" spans="1:10">
      <c r="A12" s="117" t="str">
        <f>Translate!A291</f>
        <v>Grouting</v>
      </c>
      <c r="B12" s="234" t="str">
        <f>Translate!$A$310</f>
        <v>Greece</v>
      </c>
      <c r="C12" t="str">
        <f>Translate!$A$474&amp;B12</f>
        <v>Rail - Average freight - electric - Greece</v>
      </c>
      <c r="H12" t="str">
        <f>Translate!A489</f>
        <v>New Comparison sheet</v>
      </c>
    </row>
    <row r="13" spans="1:10">
      <c r="A13" s="117" t="str">
        <f>Translate!A292</f>
        <v>Jet Grouting</v>
      </c>
      <c r="B13" s="234" t="str">
        <f>Translate!$A$311</f>
        <v>Hungary</v>
      </c>
      <c r="C13" t="str">
        <f>Translate!$A$474&amp;B13</f>
        <v>Rail - Average freight - electric - Hungary</v>
      </c>
      <c r="H13" t="str">
        <f>Translate!A490</f>
        <v>New Results sheet</v>
      </c>
    </row>
    <row r="14" spans="1:10">
      <c r="A14" s="117" t="str">
        <f>Translate!A293</f>
        <v>Stone Columns</v>
      </c>
      <c r="B14" s="234" t="str">
        <f>Translate!$A$312</f>
        <v>Iceland</v>
      </c>
      <c r="C14" t="str">
        <f>Translate!$A$474&amp;B14</f>
        <v>Rail - Average freight - electric - Iceland</v>
      </c>
      <c r="H14" t="str">
        <f>Translate!A491</f>
        <v>Load your logo</v>
      </c>
    </row>
    <row r="15" spans="1:10">
      <c r="A15" s="117" t="str">
        <f>Translate!A294</f>
        <v>Soil Mixing</v>
      </c>
      <c r="B15" s="234" t="str">
        <f>Translate!$A$313</f>
        <v>Ireland</v>
      </c>
      <c r="C15" t="str">
        <f>Translate!$A$474&amp;B15</f>
        <v>Rail - Average freight - electric - Ireland</v>
      </c>
      <c r="H15" t="str">
        <f>Translate!A492</f>
        <v>Set the size</v>
      </c>
    </row>
    <row r="16" spans="1:10">
      <c r="A16" s="117" t="str">
        <f>Translate!A295</f>
        <v>Vertical Drains</v>
      </c>
      <c r="B16" s="234" t="str">
        <f>Translate!$A$314</f>
        <v>Italy</v>
      </c>
      <c r="C16" t="str">
        <f>Translate!$A$474&amp;B16</f>
        <v>Rail - Average freight - electric - Italy</v>
      </c>
      <c r="H16" t="str">
        <f>Translate!A493</f>
        <v>When your image fit in the white box, click here to import the logo</v>
      </c>
    </row>
    <row r="17" spans="1:8">
      <c r="A17" s="117" t="str">
        <f>Translate!A296</f>
        <v>Dewatering</v>
      </c>
      <c r="B17" s="234" t="str">
        <f>Translate!$A$315</f>
        <v>Luxembourg</v>
      </c>
      <c r="C17" t="str">
        <f>Translate!$A$474&amp;B17</f>
        <v>Rail - Average freight - electric - Luxembourg</v>
      </c>
      <c r="H17" t="str">
        <f>Translate!A494</f>
        <v>Start</v>
      </c>
    </row>
    <row r="18" spans="1:8">
      <c r="A18" s="117" t="str">
        <f>Translate!A118</f>
        <v>Other</v>
      </c>
      <c r="B18" s="234" t="str">
        <f>Translate!$A$316</f>
        <v>Netherlands</v>
      </c>
      <c r="C18" t="str">
        <f>Translate!$A$474&amp;B18</f>
        <v>Rail - Average freight - electric - Netherlands</v>
      </c>
      <c r="H18" t="str">
        <f>Translate!A495</f>
        <v>ACCEPT</v>
      </c>
    </row>
    <row r="19" spans="1:8">
      <c r="B19" s="234" t="str">
        <f>Translate!$A$317</f>
        <v>Norway</v>
      </c>
      <c r="C19" t="str">
        <f>Translate!$A$474&amp;B19</f>
        <v>Rail - Average freight - electric - Norway</v>
      </c>
    </row>
    <row r="20" spans="1:8">
      <c r="B20" s="234" t="str">
        <f>Translate!$A$318</f>
        <v>Poland</v>
      </c>
      <c r="C20" t="str">
        <f>Translate!$A$474&amp;B20</f>
        <v>Rail - Average freight - electric - Poland</v>
      </c>
    </row>
    <row r="21" spans="1:8">
      <c r="B21" s="234" t="str">
        <f>Translate!$A$319</f>
        <v>Portugal</v>
      </c>
      <c r="C21" t="str">
        <f>Translate!$A$474&amp;B21</f>
        <v>Rail - Average freight - electric - Portugal</v>
      </c>
    </row>
    <row r="22" spans="1:8">
      <c r="B22" s="234" t="str">
        <f>Translate!$A$320</f>
        <v>Slovak Republic</v>
      </c>
      <c r="C22" t="str">
        <f>Translate!$A$474&amp;B22</f>
        <v>Rail - Average freight - electric - Slovak Republic</v>
      </c>
    </row>
    <row r="23" spans="1:8">
      <c r="B23" s="234" t="str">
        <f>Translate!$A$321</f>
        <v>Slovenia</v>
      </c>
      <c r="C23" t="str">
        <f>Translate!$A$474&amp;B23</f>
        <v>Rail - Average freight - electric - Slovenia</v>
      </c>
    </row>
    <row r="24" spans="1:8">
      <c r="B24" s="235" t="str">
        <f>Translate!$A$322</f>
        <v>Spain</v>
      </c>
      <c r="C24" t="str">
        <f>Translate!$A$474&amp;B24</f>
        <v>Rail - Average freight - electric - Spain</v>
      </c>
    </row>
    <row r="25" spans="1:8">
      <c r="B25" s="234" t="str">
        <f>Translate!$A$323</f>
        <v>Sweden</v>
      </c>
      <c r="C25" t="str">
        <f>Translate!$A$474&amp;B25</f>
        <v>Rail - Average freight - electric - Sweden</v>
      </c>
    </row>
    <row r="26" spans="1:8">
      <c r="B26" s="234" t="str">
        <f>Translate!$A$324</f>
        <v>Switzerland</v>
      </c>
      <c r="C26" t="str">
        <f>Translate!$A$474&amp;B26</f>
        <v>Rail - Average freight - electric - Switzerland</v>
      </c>
    </row>
    <row r="27" spans="1:8">
      <c r="B27" s="234" t="str">
        <f>Translate!$A$325</f>
        <v>Turkey</v>
      </c>
      <c r="C27" t="str">
        <f>Translate!$A$474&amp;B27</f>
        <v>Rail - Average freight - electric - Turkey</v>
      </c>
    </row>
    <row r="28" spans="1:8">
      <c r="B28" s="234" t="str">
        <f>Translate!$A$326</f>
        <v>United Kingdom</v>
      </c>
      <c r="C28" t="str">
        <f>Translate!$A$474&amp;B28</f>
        <v>Rail - Average freight - electric - United Kingdom</v>
      </c>
    </row>
    <row r="29" spans="1:8">
      <c r="B29" s="234"/>
      <c r="C29" t="str">
        <f>Translate!$A$474&amp;B29</f>
        <v xml:space="preserve">Rail - Average freight - electric - </v>
      </c>
    </row>
    <row r="30" spans="1:8">
      <c r="B30" s="233" t="str">
        <f>Translate!$A$327</f>
        <v>---Non-OECD Europe and Eurasia</v>
      </c>
      <c r="C30" t="str">
        <f>Translate!$A$474&amp;B30</f>
        <v>Rail - Average freight - electric - ---Non-OECD Europe and Eurasia</v>
      </c>
    </row>
    <row r="31" spans="1:8">
      <c r="B31" s="234" t="str">
        <f>Translate!$A$328</f>
        <v>Albania</v>
      </c>
      <c r="C31" t="str">
        <f>Translate!$A$474&amp;B31</f>
        <v>Rail - Average freight - electric - Albania</v>
      </c>
    </row>
    <row r="32" spans="1:8">
      <c r="B32" s="234" t="str">
        <f>Translate!$A$329</f>
        <v>Armenia</v>
      </c>
      <c r="C32" t="str">
        <f>Translate!$A$474&amp;B32</f>
        <v>Rail - Average freight - electric - Armenia</v>
      </c>
    </row>
    <row r="33" spans="2:3">
      <c r="B33" s="234" t="str">
        <f>Translate!$A$330</f>
        <v>Azerbaijan</v>
      </c>
      <c r="C33" t="str">
        <f>Translate!$A$474&amp;B33</f>
        <v>Rail - Average freight - electric - Azerbaijan</v>
      </c>
    </row>
    <row r="34" spans="2:3">
      <c r="B34" s="234" t="str">
        <f>Translate!$A$331</f>
        <v>Belarus</v>
      </c>
      <c r="C34" t="str">
        <f>Translate!$A$474&amp;B34</f>
        <v>Rail - Average freight - electric - Belarus</v>
      </c>
    </row>
    <row r="35" spans="2:3">
      <c r="B35" s="234" t="str">
        <f>Translate!$A$332</f>
        <v>Bosnia and Herzegovina</v>
      </c>
      <c r="C35" t="str">
        <f>Translate!$A$474&amp;B35</f>
        <v>Rail - Average freight - electric - Bosnia and Herzegovina</v>
      </c>
    </row>
    <row r="36" spans="2:3">
      <c r="B36" s="234" t="str">
        <f>Translate!$A$333</f>
        <v>Bulgaria</v>
      </c>
      <c r="C36" t="str">
        <f>Translate!$A$474&amp;B36</f>
        <v>Rail - Average freight - electric - Bulgaria</v>
      </c>
    </row>
    <row r="37" spans="2:3">
      <c r="B37" s="234" t="str">
        <f>Translate!$A$334</f>
        <v>Croatia</v>
      </c>
      <c r="C37" t="str">
        <f>Translate!$A$474&amp;B37</f>
        <v>Rail - Average freight - electric - Croatia</v>
      </c>
    </row>
    <row r="38" spans="2:3">
      <c r="B38" s="234" t="str">
        <f>Translate!$A$335</f>
        <v>Cyprus</v>
      </c>
      <c r="C38" t="str">
        <f>Translate!$A$474&amp;B38</f>
        <v>Rail - Average freight - electric - Cyprus</v>
      </c>
    </row>
    <row r="39" spans="2:3">
      <c r="B39" s="234" t="str">
        <f>Translate!$A$336</f>
        <v>Georgia</v>
      </c>
      <c r="C39" t="str">
        <f>Translate!$A$474&amp;B39</f>
        <v>Rail - Average freight - electric - Georgia</v>
      </c>
    </row>
    <row r="40" spans="2:3">
      <c r="B40" s="234" t="str">
        <f>Translate!$A$337</f>
        <v>Gibraltar</v>
      </c>
      <c r="C40" t="str">
        <f>Translate!$A$474&amp;B40</f>
        <v>Rail - Average freight - electric - Gibraltar</v>
      </c>
    </row>
    <row r="41" spans="2:3">
      <c r="B41" s="234" t="str">
        <f>Translate!$A$338</f>
        <v>Kazakhstan</v>
      </c>
      <c r="C41" t="str">
        <f>Translate!$A$474&amp;B41</f>
        <v>Rail - Average freight - electric - Kazakhstan</v>
      </c>
    </row>
    <row r="42" spans="2:3">
      <c r="B42" s="234" t="str">
        <f>Translate!$A$339</f>
        <v>Kyrgyzstan</v>
      </c>
      <c r="C42" t="str">
        <f>Translate!$A$474&amp;B42</f>
        <v>Rail - Average freight - electric - Kyrgyzstan</v>
      </c>
    </row>
    <row r="43" spans="2:3">
      <c r="B43" s="234" t="str">
        <f>Translate!$A$340</f>
        <v>Latvia</v>
      </c>
      <c r="C43" t="str">
        <f>Translate!$A$474&amp;B43</f>
        <v>Rail - Average freight - electric - Latvia</v>
      </c>
    </row>
    <row r="44" spans="2:3">
      <c r="B44" s="234" t="str">
        <f>Translate!$A$341</f>
        <v>Lithuania</v>
      </c>
      <c r="C44" t="str">
        <f>Translate!$A$474&amp;B44</f>
        <v>Rail - Average freight - electric - Lithuania</v>
      </c>
    </row>
    <row r="45" spans="2:3">
      <c r="B45" s="234" t="str">
        <f>Translate!$A$342</f>
        <v>FYR of Macedonia</v>
      </c>
      <c r="C45" t="str">
        <f>Translate!$A$474&amp;B45</f>
        <v>Rail - Average freight - electric - FYR of Macedonia</v>
      </c>
    </row>
    <row r="46" spans="2:3">
      <c r="B46" s="234" t="str">
        <f>Translate!$A$343</f>
        <v>Malta</v>
      </c>
      <c r="C46" t="str">
        <f>Translate!$A$474&amp;B46</f>
        <v>Rail - Average freight - electric - Malta</v>
      </c>
    </row>
    <row r="47" spans="2:3">
      <c r="B47" s="234" t="str">
        <f>Translate!$A$344</f>
        <v>Republic of Moldova</v>
      </c>
      <c r="C47" t="str">
        <f>Translate!$A$474&amp;B47</f>
        <v>Rail - Average freight - electric - Republic of Moldova</v>
      </c>
    </row>
    <row r="48" spans="2:3">
      <c r="B48" s="235" t="str">
        <f>Translate!$A$345</f>
        <v>Romania</v>
      </c>
      <c r="C48" t="str">
        <f>Translate!$A$474&amp;B48</f>
        <v>Rail - Average freight - electric - Romania</v>
      </c>
    </row>
    <row r="49" spans="2:3">
      <c r="B49" s="234" t="str">
        <f>Translate!$A$346</f>
        <v>Russian Federation</v>
      </c>
      <c r="C49" t="str">
        <f>Translate!$A$474&amp;B49</f>
        <v>Rail - Average freight - electric - Russian Federation</v>
      </c>
    </row>
    <row r="50" spans="2:3">
      <c r="B50" s="234" t="str">
        <f>Translate!$A$347</f>
        <v>Serbia</v>
      </c>
      <c r="C50" t="str">
        <f>Translate!$A$474&amp;B50</f>
        <v>Rail - Average freight - electric - Serbia</v>
      </c>
    </row>
    <row r="51" spans="2:3">
      <c r="B51" s="234" t="str">
        <f>Translate!$A$348</f>
        <v>Tajikistan</v>
      </c>
      <c r="C51" t="str">
        <f>Translate!$A$474&amp;B51</f>
        <v>Rail - Average freight - electric - Tajikistan</v>
      </c>
    </row>
    <row r="52" spans="2:3">
      <c r="B52" s="234" t="str">
        <f>Translate!$A$349</f>
        <v>Turkmenistan</v>
      </c>
      <c r="C52" t="str">
        <f>Translate!$A$474&amp;B52</f>
        <v>Rail - Average freight - electric - Turkmenistan</v>
      </c>
    </row>
    <row r="53" spans="2:3">
      <c r="B53" s="236" t="str">
        <f>Translate!$A$350</f>
        <v>Ukraine</v>
      </c>
      <c r="C53" t="str">
        <f>Translate!$A$474&amp;B53</f>
        <v>Rail - Average freight - electric - Ukraine</v>
      </c>
    </row>
    <row r="54" spans="2:3">
      <c r="B54" s="236" t="str">
        <f>Translate!$A$351</f>
        <v>Uzbekistan</v>
      </c>
      <c r="C54" t="str">
        <f>Translate!$A$474&amp;B54</f>
        <v>Rail - Average freight - electric - Uzbekistan</v>
      </c>
    </row>
    <row r="55" spans="2:3">
      <c r="B55" s="234"/>
      <c r="C55" t="str">
        <f>Translate!$A$474&amp;B55</f>
        <v xml:space="preserve">Rail - Average freight - electric - </v>
      </c>
    </row>
    <row r="56" spans="2:3">
      <c r="B56" s="233" t="str">
        <f>Translate!$A$352</f>
        <v>---OECD America</v>
      </c>
      <c r="C56" t="str">
        <f>Translate!$A$474&amp;B56</f>
        <v>Rail - Average freight - electric - ---OECD America</v>
      </c>
    </row>
    <row r="57" spans="2:3">
      <c r="B57" s="234" t="str">
        <f>Translate!$A$353</f>
        <v>Canada</v>
      </c>
      <c r="C57" t="str">
        <f>Translate!$A$474&amp;B57</f>
        <v>Rail - Average freight - electric - Canada</v>
      </c>
    </row>
    <row r="58" spans="2:3">
      <c r="B58" s="234" t="str">
        <f>Translate!$A$354</f>
        <v>Chile</v>
      </c>
      <c r="C58" t="str">
        <f>Translate!$A$474&amp;B58</f>
        <v>Rail - Average freight - electric - Chile</v>
      </c>
    </row>
    <row r="59" spans="2:3">
      <c r="B59" s="234" t="str">
        <f>Translate!$A$355</f>
        <v>Mexico</v>
      </c>
      <c r="C59" t="str">
        <f>Translate!$A$474&amp;B59</f>
        <v>Rail - Average freight - electric - Mexico</v>
      </c>
    </row>
    <row r="60" spans="2:3">
      <c r="B60" s="234" t="str">
        <f>Translate!$A356</f>
        <v>United States</v>
      </c>
      <c r="C60" t="str">
        <f>Translate!$A$474&amp;B60</f>
        <v>Rail - Average freight - electric - United States</v>
      </c>
    </row>
    <row r="61" spans="2:3">
      <c r="B61" s="234" t="str">
        <f>Translate!$A357</f>
        <v>AKGD (ASCC Alaska Grid)</v>
      </c>
      <c r="C61" t="str">
        <f>Translate!$A$474&amp;B88</f>
        <v>Rail - Average freight - electric - ---OECD Asia Oceania</v>
      </c>
    </row>
    <row r="62" spans="2:3">
      <c r="B62" s="234" t="str">
        <f>Translate!$A358</f>
        <v>AKMS (ASCC Miscellaneous)</v>
      </c>
      <c r="C62" t="str">
        <f>Translate!$A$474&amp;B89</f>
        <v>Rail - Average freight - electric - Australia</v>
      </c>
    </row>
    <row r="63" spans="2:3">
      <c r="B63" s="234" t="str">
        <f>Translate!$A359</f>
        <v>AZNM (WECC Southwest)</v>
      </c>
      <c r="C63" t="str">
        <f>Translate!$A$474&amp;B90</f>
        <v>Rail - Average freight - electric - Israel</v>
      </c>
    </row>
    <row r="64" spans="2:3">
      <c r="B64" s="234" t="str">
        <f>Translate!$A360</f>
        <v>CAMX (WECC California)</v>
      </c>
      <c r="C64" t="str">
        <f>Translate!$A$474&amp;B91</f>
        <v>Rail - Average freight - electric - Japan</v>
      </c>
    </row>
    <row r="65" spans="2:3">
      <c r="B65" s="234" t="str">
        <f>Translate!$A361</f>
        <v>ERCT (ERCOT All)</v>
      </c>
      <c r="C65" t="str">
        <f>Translate!$A$474&amp;B92</f>
        <v>Rail - Average freight - electric - Korea</v>
      </c>
    </row>
    <row r="66" spans="2:3">
      <c r="B66" s="234" t="str">
        <f>Translate!$A362</f>
        <v>FRCC (FRCC All)</v>
      </c>
      <c r="C66" t="str">
        <f>Translate!$A$474&amp;B93</f>
        <v>Rail - Average freight - electric - New Zealand</v>
      </c>
    </row>
    <row r="67" spans="2:3">
      <c r="B67" s="234" t="str">
        <f>Translate!$A363</f>
        <v>HIMS (HICC Miscellaneous)</v>
      </c>
      <c r="C67" t="str">
        <f>Translate!$A$474&amp;B94</f>
        <v xml:space="preserve">Rail - Average freight - electric - </v>
      </c>
    </row>
    <row r="68" spans="2:3">
      <c r="B68" s="234" t="str">
        <f>Translate!$A364</f>
        <v>HIOA (HICC Oahu)</v>
      </c>
      <c r="C68" t="str">
        <f>Translate!$A$474&amp;B95</f>
        <v>Rail - Average freight - electric - ---Africa</v>
      </c>
    </row>
    <row r="69" spans="2:3">
      <c r="B69" s="234" t="str">
        <f>Translate!$A365</f>
        <v>MROE (MRO East)</v>
      </c>
      <c r="C69" t="str">
        <f>Translate!$A$474&amp;B96</f>
        <v>Rail - Average freight - electric - Algeria</v>
      </c>
    </row>
    <row r="70" spans="2:3">
      <c r="B70" s="234" t="str">
        <f>Translate!$A366</f>
        <v>MROW (MRO West)</v>
      </c>
      <c r="C70" t="str">
        <f>Translate!$A$474&amp;B97</f>
        <v>Rail - Average freight - electric - Angola</v>
      </c>
    </row>
    <row r="71" spans="2:3">
      <c r="B71" s="234" t="str">
        <f>Translate!$A367</f>
        <v>NEWE (NPCC New England)</v>
      </c>
      <c r="C71" t="str">
        <f>Translate!$A$474&amp;B98</f>
        <v>Rail - Average freight - electric - Benin</v>
      </c>
    </row>
    <row r="72" spans="2:3">
      <c r="B72" s="234" t="str">
        <f>Translate!$A368</f>
        <v>NWPP (WECC Northwest)</v>
      </c>
      <c r="C72" t="str">
        <f>Translate!$A$474&amp;B99</f>
        <v>Rail - Average freight - electric - Botswana</v>
      </c>
    </row>
    <row r="73" spans="2:3">
      <c r="B73" s="234" t="str">
        <f>Translate!$A369</f>
        <v>NYCW (NPCC NYC/Westchester)</v>
      </c>
      <c r="C73" t="str">
        <f>Translate!$A$474&amp;B100</f>
        <v>Rail - Average freight - electric - Cameroon</v>
      </c>
    </row>
    <row r="74" spans="2:3">
      <c r="B74" s="234" t="str">
        <f>Translate!$A370</f>
        <v>NYLI (NPCC Long Island)</v>
      </c>
      <c r="C74" t="str">
        <f>Translate!$A$474&amp;B101</f>
        <v>Rail - Average freight - electric - Congo</v>
      </c>
    </row>
    <row r="75" spans="2:3">
      <c r="B75" s="234" t="str">
        <f>Translate!$A371</f>
        <v>NYUP (NPCC Upstate NY)</v>
      </c>
      <c r="C75" t="str">
        <f>Translate!$A$474&amp;B102</f>
        <v>Rail - Average freight - electric - Dem. Rep. of Congo</v>
      </c>
    </row>
    <row r="76" spans="2:3">
      <c r="B76" s="234" t="str">
        <f>Translate!$A372</f>
        <v>RFCE (RFC East)</v>
      </c>
      <c r="C76" t="str">
        <f>Translate!$A$474&amp;B103</f>
        <v>Rail - Average freight - electric - Côte d'Ivoire</v>
      </c>
    </row>
    <row r="77" spans="2:3">
      <c r="B77" s="234" t="str">
        <f>Translate!$A373</f>
        <v>RFCM (RFC Michigan)</v>
      </c>
      <c r="C77" t="str">
        <f>Translate!$A$474&amp;B104</f>
        <v>Rail - Average freight - electric - Egypt</v>
      </c>
    </row>
    <row r="78" spans="2:3">
      <c r="B78" s="234" t="str">
        <f>Translate!$A374</f>
        <v>RFCW (RFC West)</v>
      </c>
      <c r="C78" t="str">
        <f>Translate!$A$474&amp;B105</f>
        <v>Rail - Average freight - electric - Eritrea</v>
      </c>
    </row>
    <row r="79" spans="2:3">
      <c r="B79" s="234" t="str">
        <f>Translate!$A375</f>
        <v>RMPA (WECC Rockies)</v>
      </c>
      <c r="C79" t="str">
        <f>Translate!$A$474&amp;B106</f>
        <v>Rail - Average freight - electric - Ethiopia</v>
      </c>
    </row>
    <row r="80" spans="2:3">
      <c r="B80" s="234" t="str">
        <f>Translate!$A376</f>
        <v>SPNO (SPP North)</v>
      </c>
      <c r="C80" t="str">
        <f>Translate!$A$474&amp;B107</f>
        <v>Rail - Average freight - electric - Gabon</v>
      </c>
    </row>
    <row r="81" spans="2:3">
      <c r="B81" s="234" t="str">
        <f>Translate!$A377</f>
        <v>SPSO (SPP South)</v>
      </c>
      <c r="C81" t="str">
        <f>Translate!$A$474&amp;B108</f>
        <v>Rail - Average freight - electric - Ghana</v>
      </c>
    </row>
    <row r="82" spans="2:3">
      <c r="B82" s="234" t="str">
        <f>Translate!$A378</f>
        <v>SRMV (SERC Mississippi Valley)</v>
      </c>
      <c r="C82" t="str">
        <f>Translate!$A$474&amp;B109</f>
        <v>Rail - Average freight - electric - Kenya</v>
      </c>
    </row>
    <row r="83" spans="2:3">
      <c r="B83" s="234" t="str">
        <f>Translate!$A379</f>
        <v>SRMW (SERC Midwest)</v>
      </c>
      <c r="C83" t="str">
        <f>Translate!$A$474&amp;B110</f>
        <v>Rail - Average freight - electric - Libyan Arab Jamahiriya</v>
      </c>
    </row>
    <row r="84" spans="2:3">
      <c r="B84" s="234" t="str">
        <f>Translate!$A380</f>
        <v>SRSO (SERC South)</v>
      </c>
      <c r="C84" t="str">
        <f>Translate!$A$474&amp;B111</f>
        <v>Rail - Average freight - electric - Morocco</v>
      </c>
    </row>
    <row r="85" spans="2:3">
      <c r="B85" s="234" t="str">
        <f>Translate!$A381</f>
        <v>SRTV (SERC Tennessee Valley)</v>
      </c>
      <c r="C85" t="str">
        <f>Translate!$A$474&amp;B112</f>
        <v>Rail - Average freight - electric - Mozambique</v>
      </c>
    </row>
    <row r="86" spans="2:3">
      <c r="B86" s="234" t="str">
        <f>Translate!$A382</f>
        <v>SRVC (SERC Virginia/Carolina)</v>
      </c>
      <c r="C86" t="str">
        <f>Translate!$A$474&amp;B113</f>
        <v>Rail - Average freight - electric - Namibia</v>
      </c>
    </row>
    <row r="87" spans="2:3">
      <c r="B87" s="234" t="s">
        <v>2733</v>
      </c>
      <c r="C87" t="str">
        <f>Translate!$A$474&amp;B115</f>
        <v>Rail - Average freight - electric - Nigeria</v>
      </c>
    </row>
    <row r="88" spans="2:3">
      <c r="B88" s="233" t="str">
        <f>Translate!$A$383</f>
        <v>---OECD Asia Oceania</v>
      </c>
      <c r="C88" t="str">
        <f>Translate!$A$474&amp;B116</f>
        <v>Rail - Average freight - electric - Senegal</v>
      </c>
    </row>
    <row r="89" spans="2:3">
      <c r="B89" s="234" t="str">
        <f>Translate!$A$384</f>
        <v>Australia</v>
      </c>
      <c r="C89" t="str">
        <f>Translate!$A$474&amp;B117</f>
        <v>Rail - Average freight - electric - South Africa</v>
      </c>
    </row>
    <row r="90" spans="2:3">
      <c r="B90" s="234" t="str">
        <f>Translate!$A$385</f>
        <v>Israel</v>
      </c>
      <c r="C90" t="str">
        <f>Translate!$A$474&amp;B119</f>
        <v>Rail - Average freight - electric - Sudan</v>
      </c>
    </row>
    <row r="91" spans="2:3">
      <c r="B91" s="234" t="str">
        <f>Translate!$A$386</f>
        <v>Japan</v>
      </c>
      <c r="C91" t="str">
        <f>Translate!$A$474&amp;B120</f>
        <v>Rail - Average freight - electric - United Rep. of Tanzania</v>
      </c>
    </row>
    <row r="92" spans="2:3">
      <c r="B92" s="234" t="str">
        <f>Translate!$A$387</f>
        <v>Korea</v>
      </c>
      <c r="C92" t="str">
        <f>Translate!$A$474&amp;B121</f>
        <v>Rail - Average freight - electric - Togo</v>
      </c>
    </row>
    <row r="93" spans="2:3">
      <c r="B93" s="234" t="str">
        <f>Translate!$A$388</f>
        <v>New Zealand</v>
      </c>
      <c r="C93" t="str">
        <f>Translate!$A$474&amp;B122</f>
        <v>Rail - Average freight - electric - Tunisia</v>
      </c>
    </row>
    <row r="94" spans="2:3">
      <c r="B94" s="234"/>
      <c r="C94" t="str">
        <f>Translate!$A$474&amp;B123</f>
        <v>Rail - Average freight - electric - Zambia</v>
      </c>
    </row>
    <row r="95" spans="2:3">
      <c r="B95" s="233" t="str">
        <f>Translate!$A$389</f>
        <v>---Africa</v>
      </c>
      <c r="C95" t="str">
        <f>Translate!$A$474&amp;B124</f>
        <v>Rail - Average freight - electric - Zimbabwe</v>
      </c>
    </row>
    <row r="96" spans="2:3">
      <c r="B96" s="234" t="str">
        <f>Translate!$A$390</f>
        <v>Algeria</v>
      </c>
      <c r="C96" t="str">
        <f>Translate!$A$474&amp;B125</f>
        <v>Rail - Average freight - electric - Other Africa</v>
      </c>
    </row>
    <row r="97" spans="2:3">
      <c r="B97" s="234" t="str">
        <f>Translate!$A$391</f>
        <v>Angola</v>
      </c>
      <c r="C97" t="str">
        <f>Translate!$A$474&amp;B126</f>
        <v xml:space="preserve">Rail - Average freight - electric - </v>
      </c>
    </row>
    <row r="98" spans="2:3">
      <c r="B98" s="234" t="str">
        <f>Translate!$A$392</f>
        <v>Benin</v>
      </c>
      <c r="C98" t="str">
        <f>Translate!$A$474&amp;B127</f>
        <v>Rail - Average freight - electric - ---Middle East</v>
      </c>
    </row>
    <row r="99" spans="2:3">
      <c r="B99" s="234" t="str">
        <f>Translate!$A$393</f>
        <v>Botswana</v>
      </c>
      <c r="C99" t="str">
        <f>Translate!$A$474&amp;B128</f>
        <v>Rail - Average freight - electric - Bahrain</v>
      </c>
    </row>
    <row r="100" spans="2:3">
      <c r="B100" s="234" t="str">
        <f>Translate!$A$394</f>
        <v>Cameroon</v>
      </c>
      <c r="C100" t="str">
        <f>Translate!$A$474&amp;B129</f>
        <v>Rail - Average freight - electric - Islamic Rep. of Iran</v>
      </c>
    </row>
    <row r="101" spans="2:3">
      <c r="B101" s="234" t="str">
        <f>Translate!$A$395</f>
        <v>Congo</v>
      </c>
      <c r="C101" t="str">
        <f>Translate!$A$474&amp;B130</f>
        <v>Rail - Average freight - electric - Iraq</v>
      </c>
    </row>
    <row r="102" spans="2:3">
      <c r="B102" s="234" t="str">
        <f>Translate!$A$396</f>
        <v>Dem. Rep. of Congo</v>
      </c>
      <c r="C102" t="str">
        <f>Translate!$A$474&amp;B131</f>
        <v>Rail - Average freight - electric - Jordan</v>
      </c>
    </row>
    <row r="103" spans="2:3">
      <c r="B103" s="234" t="str">
        <f>Translate!$A$397</f>
        <v>Côte d'Ivoire</v>
      </c>
      <c r="C103" t="str">
        <f>Translate!$A$474&amp;B132</f>
        <v>Rail - Average freight - electric - Kuwait</v>
      </c>
    </row>
    <row r="104" spans="2:3">
      <c r="B104" s="234" t="str">
        <f>Translate!$A$398</f>
        <v>Egypt</v>
      </c>
      <c r="C104" t="str">
        <f>Translate!$A$474&amp;B133</f>
        <v>Rail - Average freight - electric - Lebanon</v>
      </c>
    </row>
    <row r="105" spans="2:3">
      <c r="B105" s="234" t="str">
        <f>Translate!$A$399</f>
        <v>Eritrea</v>
      </c>
      <c r="C105" t="str">
        <f>Translate!$A$474&amp;B134</f>
        <v>Rail - Average freight - electric - Oman</v>
      </c>
    </row>
    <row r="106" spans="2:3">
      <c r="B106" s="234" t="str">
        <f>Translate!$A$400</f>
        <v>Ethiopia</v>
      </c>
      <c r="C106" t="str">
        <f>Translate!$A$474&amp;B135</f>
        <v>Rail - Average freight - electric - Qatar</v>
      </c>
    </row>
    <row r="107" spans="2:3">
      <c r="B107" s="234" t="str">
        <f>Translate!$A$401</f>
        <v>Gabon</v>
      </c>
      <c r="C107" t="str">
        <f>Translate!$A$474&amp;B136</f>
        <v>Rail - Average freight - electric - Saudi Arabia</v>
      </c>
    </row>
    <row r="108" spans="2:3">
      <c r="B108" s="234" t="str">
        <f>Translate!$A$402</f>
        <v>Ghana</v>
      </c>
      <c r="C108" t="str">
        <f>Translate!$A$474&amp;B137</f>
        <v xml:space="preserve">Rail - Average freight - electric - Syrian Arab Republic </v>
      </c>
    </row>
    <row r="109" spans="2:3">
      <c r="B109" s="234" t="str">
        <f>Translate!$A$403</f>
        <v>Kenya</v>
      </c>
      <c r="C109" t="str">
        <f>Translate!$A$474&amp;B138</f>
        <v>Rail - Average freight - electric - United Arab Emirates</v>
      </c>
    </row>
    <row r="110" spans="2:3">
      <c r="B110" s="234" t="str">
        <f>Translate!$A$404</f>
        <v>Libyan Arab Jamahiriya</v>
      </c>
      <c r="C110" t="str">
        <f>Translate!$A$474&amp;B139</f>
        <v>Rail - Average freight - electric - Yemen</v>
      </c>
    </row>
    <row r="111" spans="2:3">
      <c r="B111" s="234" t="str">
        <f>Translate!$A$405</f>
        <v>Morocco</v>
      </c>
      <c r="C111" t="str">
        <f>Translate!$A$474&amp;B140</f>
        <v xml:space="preserve">Rail - Average freight - electric - </v>
      </c>
    </row>
    <row r="112" spans="2:3">
      <c r="B112" s="234" t="str">
        <f>Translate!$A$406</f>
        <v>Mozambique</v>
      </c>
      <c r="C112" t="str">
        <f>Translate!$A$474&amp;B141</f>
        <v>Rail - Average freight - electric - ---Latin America</v>
      </c>
    </row>
    <row r="113" spans="2:3">
      <c r="B113" s="234" t="str">
        <f>Translate!$A$407</f>
        <v>Namibia</v>
      </c>
      <c r="C113" t="str">
        <f>Translate!$A$474&amp;B142</f>
        <v>Rail - Average freight - electric - Argentina</v>
      </c>
    </row>
    <row r="114" spans="2:3">
      <c r="B114" s="234" t="s">
        <v>2584</v>
      </c>
      <c r="C114" t="str">
        <f>Translate!$A$474&amp;B143</f>
        <v>Rail - Average freight - electric - Bolivia</v>
      </c>
    </row>
    <row r="115" spans="2:3">
      <c r="B115" s="234" t="str">
        <f>Translate!$A$408</f>
        <v>Nigeria</v>
      </c>
      <c r="C115" t="str">
        <f>Translate!$A$474&amp;B144</f>
        <v>Rail - Average freight - electric - Brazil</v>
      </c>
    </row>
    <row r="116" spans="2:3">
      <c r="B116" s="234" t="str">
        <f>Translate!$A$409</f>
        <v>Senegal</v>
      </c>
      <c r="C116" t="str">
        <f>Translate!$A$474&amp;B145</f>
        <v>Rail - Average freight - electric - Colombia</v>
      </c>
    </row>
    <row r="117" spans="2:3">
      <c r="B117" s="234" t="str">
        <f>Translate!$A$410</f>
        <v>South Africa</v>
      </c>
      <c r="C117" t="str">
        <f>Translate!$A$474&amp;B146</f>
        <v>Rail - Average freight - electric - Costa Rica</v>
      </c>
    </row>
    <row r="118" spans="2:3">
      <c r="B118" s="234" t="s">
        <v>2585</v>
      </c>
      <c r="C118" t="str">
        <f>Translate!$A$474&amp;B147</f>
        <v>Rail - Average freight - electric - Cuba</v>
      </c>
    </row>
    <row r="119" spans="2:3">
      <c r="B119" s="234" t="str">
        <f>Translate!$A$411</f>
        <v>Sudan</v>
      </c>
      <c r="C119" t="str">
        <f>Translate!$A$474&amp;B148</f>
        <v>Rail - Average freight - electric - Dominican Republic</v>
      </c>
    </row>
    <row r="120" spans="2:3">
      <c r="B120" s="234" t="str">
        <f>Translate!$A$412</f>
        <v>United Rep. of Tanzania</v>
      </c>
      <c r="C120" t="str">
        <f>Translate!$A$474&amp;B149</f>
        <v>Rail - Average freight - electric - Ecuador</v>
      </c>
    </row>
    <row r="121" spans="2:3">
      <c r="B121" s="235" t="str">
        <f>Translate!$A$413</f>
        <v>Togo</v>
      </c>
      <c r="C121" t="str">
        <f>Translate!$A$474&amp;B150</f>
        <v>Rail - Average freight - electric - El Salvador</v>
      </c>
    </row>
    <row r="122" spans="2:3">
      <c r="B122" s="234" t="str">
        <f>Translate!$A$414</f>
        <v>Tunisia</v>
      </c>
      <c r="C122" t="str">
        <f>Translate!$A$474&amp;B151</f>
        <v>Rail - Average freight - electric - Guatemala</v>
      </c>
    </row>
    <row r="123" spans="2:3">
      <c r="B123" s="234" t="str">
        <f>Translate!$A$415</f>
        <v>Zambia</v>
      </c>
      <c r="C123" t="str">
        <f>Translate!$A$474&amp;B152</f>
        <v>Rail - Average freight - electric - Haiti</v>
      </c>
    </row>
    <row r="124" spans="2:3">
      <c r="B124" s="234" t="str">
        <f>Translate!$A$416</f>
        <v>Zimbabwe</v>
      </c>
      <c r="C124" t="str">
        <f>Translate!$A$474&amp;B153</f>
        <v>Rail - Average freight - electric - Honduras</v>
      </c>
    </row>
    <row r="125" spans="2:3">
      <c r="B125" s="234" t="str">
        <f>Translate!$A$417</f>
        <v>Other Africa</v>
      </c>
      <c r="C125" t="str">
        <f>Translate!$A$474&amp;B154</f>
        <v>Rail - Average freight - electric - Jamaica</v>
      </c>
    </row>
    <row r="126" spans="2:3">
      <c r="B126" s="234"/>
      <c r="C126" t="str">
        <f>Translate!$A$474&amp;B155</f>
        <v>Rail - Average freight - electric - Nicaragua</v>
      </c>
    </row>
    <row r="127" spans="2:3">
      <c r="B127" s="233" t="str">
        <f>Translate!$A$418</f>
        <v>---Middle East</v>
      </c>
      <c r="C127" t="str">
        <f>Translate!$A$474&amp;B156</f>
        <v>Rail - Average freight - electric - Panama</v>
      </c>
    </row>
    <row r="128" spans="2:3">
      <c r="B128" s="234" t="str">
        <f>Translate!$A$419</f>
        <v>Bahrain</v>
      </c>
      <c r="C128" t="str">
        <f>Translate!$A$474&amp;B158</f>
        <v>Rail - Average freight - electric - Peru</v>
      </c>
    </row>
    <row r="129" spans="2:3">
      <c r="B129" s="234" t="str">
        <f>Translate!$A$420</f>
        <v>Islamic Rep. of Iran</v>
      </c>
      <c r="C129" t="str">
        <f>Translate!$A$474&amp;B159</f>
        <v>Rail - Average freight - electric - Trinidad and Tobago</v>
      </c>
    </row>
    <row r="130" spans="2:3">
      <c r="B130" s="234" t="str">
        <f>Translate!$A$421</f>
        <v>Iraq</v>
      </c>
      <c r="C130" t="str">
        <f>Translate!$A$474&amp;B160</f>
        <v>Rail - Average freight - electric - Uruguay</v>
      </c>
    </row>
    <row r="131" spans="2:3">
      <c r="B131" s="234" t="str">
        <f>Translate!$A$422</f>
        <v>Jordan</v>
      </c>
      <c r="C131" t="str">
        <f>Translate!$A$474&amp;B161</f>
        <v>Rail - Average freight - electric - Venezuela</v>
      </c>
    </row>
    <row r="132" spans="2:3">
      <c r="B132" s="234" t="str">
        <f>Translate!$A$423</f>
        <v>Kuwait</v>
      </c>
      <c r="C132" t="str">
        <f>Translate!$A$474&amp;B162</f>
        <v>Rail - Average freight - electric - Other Latin America</v>
      </c>
    </row>
    <row r="133" spans="2:3">
      <c r="B133" s="234" t="str">
        <f>Translate!$A$424</f>
        <v>Lebanon</v>
      </c>
      <c r="C133" t="str">
        <f>Translate!$A$474&amp;B163</f>
        <v xml:space="preserve">Rail - Average freight - electric - </v>
      </c>
    </row>
    <row r="134" spans="2:3">
      <c r="B134" s="235" t="str">
        <f>Translate!$A$425</f>
        <v>Oman</v>
      </c>
      <c r="C134" t="str">
        <f>Translate!$A$474&amp;B164</f>
        <v>Rail - Average freight - electric - ---Asia</v>
      </c>
    </row>
    <row r="135" spans="2:3">
      <c r="B135" s="234" t="str">
        <f>Translate!$A$426</f>
        <v>Qatar</v>
      </c>
      <c r="C135" t="str">
        <f>Translate!$A$474&amp;B165</f>
        <v>Rail - Average freight - electric - Bangladesh</v>
      </c>
    </row>
    <row r="136" spans="2:3">
      <c r="B136" s="234" t="str">
        <f>Translate!$A$427</f>
        <v>Saudi Arabia</v>
      </c>
      <c r="C136" t="str">
        <f>Translate!$A$474&amp;B166</f>
        <v>Rail - Average freight - electric - Brunei Darussalam</v>
      </c>
    </row>
    <row r="137" spans="2:3">
      <c r="B137" s="234" t="str">
        <f>Translate!$A$428</f>
        <v xml:space="preserve">Syrian Arab Republic </v>
      </c>
      <c r="C137" t="str">
        <f>Translate!$A$474&amp;B167</f>
        <v>Rail - Average freight - electric - Cambodia</v>
      </c>
    </row>
    <row r="138" spans="2:3">
      <c r="B138" s="234" t="str">
        <f>Translate!$A$429</f>
        <v>United Arab Emirates</v>
      </c>
      <c r="C138" t="str">
        <f>Translate!$A$474&amp;B168</f>
        <v>Rail - Average freight - electric - China</v>
      </c>
    </row>
    <row r="139" spans="2:3">
      <c r="B139" s="234" t="str">
        <f>Translate!$A$430</f>
        <v>Yemen</v>
      </c>
      <c r="C139" t="str">
        <f>Translate!$A$474&amp;B169</f>
        <v>Rail - Average freight - electric - Chinese Taipei</v>
      </c>
    </row>
    <row r="140" spans="2:3">
      <c r="B140" s="234"/>
      <c r="C140" t="str">
        <f>Translate!$A$474&amp;B170</f>
        <v>Rail - Average freight - electric - India</v>
      </c>
    </row>
    <row r="141" spans="2:3">
      <c r="B141" s="233" t="str">
        <f>Translate!$A$431</f>
        <v>---Latin America</v>
      </c>
      <c r="C141" t="str">
        <f>Translate!$A$474&amp;B171</f>
        <v>Rail - Average freight - electric - Indonesia</v>
      </c>
    </row>
    <row r="142" spans="2:3">
      <c r="B142" s="234" t="str">
        <f>Translate!$A$432</f>
        <v>Argentina</v>
      </c>
      <c r="C142" t="str">
        <f>Translate!$A$474&amp;B172</f>
        <v>Rail - Average freight - electric - DPR of Korea</v>
      </c>
    </row>
    <row r="143" spans="2:3">
      <c r="B143" s="234" t="str">
        <f>Translate!$A$433</f>
        <v>Bolivia</v>
      </c>
      <c r="C143" t="str">
        <f>Translate!$A$474&amp;B173</f>
        <v>Rail - Average freight - electric - Malaysia</v>
      </c>
    </row>
    <row r="144" spans="2:3">
      <c r="B144" s="234" t="str">
        <f>Translate!$A$434</f>
        <v>Brazil</v>
      </c>
      <c r="C144" t="str">
        <f>Translate!$A$474&amp;B174</f>
        <v>Rail - Average freight - electric - Mongolia</v>
      </c>
    </row>
    <row r="145" spans="2:3">
      <c r="B145" s="234" t="str">
        <f>Translate!$A$435</f>
        <v>Colombia</v>
      </c>
      <c r="C145" t="str">
        <f>Translate!$A$474&amp;B175</f>
        <v>Rail - Average freight - electric - Myanmar</v>
      </c>
    </row>
    <row r="146" spans="2:3">
      <c r="B146" s="234" t="str">
        <f>Translate!$A$436</f>
        <v>Costa Rica</v>
      </c>
      <c r="C146" t="str">
        <f>Translate!$A$474&amp;B176</f>
        <v>Rail - Average freight - electric - Nepal</v>
      </c>
    </row>
    <row r="147" spans="2:3">
      <c r="B147" s="234" t="str">
        <f>Translate!$A$437</f>
        <v>Cuba</v>
      </c>
      <c r="C147" t="str">
        <f>Translate!$A$474&amp;B177</f>
        <v>Rail - Average freight - electric - Pakistan</v>
      </c>
    </row>
    <row r="148" spans="2:3">
      <c r="B148" s="235" t="str">
        <f>Translate!$A$438</f>
        <v>Dominican Republic</v>
      </c>
      <c r="C148" t="str">
        <f>Translate!$A$474&amp;B178</f>
        <v>Rail - Average freight - electric - Philippines</v>
      </c>
    </row>
    <row r="149" spans="2:3">
      <c r="B149" s="234" t="str">
        <f>Translate!$A$439</f>
        <v>Ecuador</v>
      </c>
      <c r="C149" t="str">
        <f>Translate!$A$474&amp;B179</f>
        <v>Rail - Average freight - electric - Singapore</v>
      </c>
    </row>
    <row r="150" spans="2:3">
      <c r="B150" s="234" t="str">
        <f>Translate!$A$440</f>
        <v>El Salvador</v>
      </c>
      <c r="C150" t="str">
        <f>Translate!$A$474&amp;B180</f>
        <v>Rail - Average freight - electric - Sri Lanka</v>
      </c>
    </row>
    <row r="151" spans="2:3">
      <c r="B151" s="234" t="str">
        <f>Translate!$A$441</f>
        <v>Guatemala</v>
      </c>
      <c r="C151" t="str">
        <f>Translate!$A$474&amp;B181</f>
        <v>Rail - Average freight - electric - Thailand</v>
      </c>
    </row>
    <row r="152" spans="2:3">
      <c r="B152" s="234" t="str">
        <f>Translate!$A$442</f>
        <v>Haiti</v>
      </c>
      <c r="C152" t="str">
        <f>Translate!$A$474&amp;B182</f>
        <v>Rail - Average freight - electric - Vietnam</v>
      </c>
    </row>
    <row r="153" spans="2:3">
      <c r="B153" s="234" t="str">
        <f>Translate!$A$443</f>
        <v>Honduras</v>
      </c>
      <c r="C153" t="str">
        <f>Translate!$A$474&amp;B183</f>
        <v>Rail - Average freight - electric - Other Asia</v>
      </c>
    </row>
    <row r="154" spans="2:3">
      <c r="B154" s="234" t="str">
        <f>Translate!$A$444</f>
        <v>Jamaica</v>
      </c>
    </row>
    <row r="155" spans="2:3">
      <c r="B155" s="234" t="str">
        <f>Translate!$A$446</f>
        <v>Nicaragua</v>
      </c>
    </row>
    <row r="156" spans="2:3">
      <c r="B156" s="234" t="str">
        <f>Translate!$A$447</f>
        <v>Panama</v>
      </c>
    </row>
    <row r="157" spans="2:3">
      <c r="B157" s="234" t="s">
        <v>2586</v>
      </c>
    </row>
    <row r="158" spans="2:3">
      <c r="B158" s="234" t="str">
        <f>Translate!$A$448</f>
        <v>Peru</v>
      </c>
    </row>
    <row r="159" spans="2:3">
      <c r="B159" s="234" t="str">
        <f>Translate!$A$449</f>
        <v>Trinidad and Tobago</v>
      </c>
    </row>
    <row r="160" spans="2:3">
      <c r="B160" s="234" t="str">
        <f>Translate!$A$450</f>
        <v>Uruguay</v>
      </c>
    </row>
    <row r="161" spans="2:2">
      <c r="B161" s="235" t="str">
        <f>Translate!$A$451</f>
        <v>Venezuela</v>
      </c>
    </row>
    <row r="162" spans="2:2">
      <c r="B162" s="234" t="str">
        <f>Translate!$A$452</f>
        <v>Other Latin America</v>
      </c>
    </row>
    <row r="163" spans="2:2">
      <c r="B163" s="234"/>
    </row>
    <row r="164" spans="2:2">
      <c r="B164" s="233" t="str">
        <f>Translate!$A$453</f>
        <v>---Asia</v>
      </c>
    </row>
    <row r="165" spans="2:2">
      <c r="B165" s="234" t="str">
        <f>Translate!$A$454</f>
        <v>Bangladesh</v>
      </c>
    </row>
    <row r="166" spans="2:2">
      <c r="B166" s="234" t="str">
        <f>Translate!$A$455</f>
        <v>Brunei Darussalam</v>
      </c>
    </row>
    <row r="167" spans="2:2">
      <c r="B167" s="234" t="str">
        <f>Translate!$A$456</f>
        <v>Cambodia</v>
      </c>
    </row>
    <row r="168" spans="2:2">
      <c r="B168" s="234" t="str">
        <f>Translate!$A$457</f>
        <v>China</v>
      </c>
    </row>
    <row r="169" spans="2:2">
      <c r="B169" s="234" t="str">
        <f>Translate!$A$458</f>
        <v>Chinese Taipei</v>
      </c>
    </row>
    <row r="170" spans="2:2">
      <c r="B170" s="234" t="str">
        <f>Translate!$A$459</f>
        <v>India</v>
      </c>
    </row>
    <row r="171" spans="2:2">
      <c r="B171" s="234" t="str">
        <f>Translate!$A$460</f>
        <v>Indonesia</v>
      </c>
    </row>
    <row r="172" spans="2:2">
      <c r="B172" s="234" t="str">
        <f>Translate!$A$461</f>
        <v>DPR of Korea</v>
      </c>
    </row>
    <row r="173" spans="2:2">
      <c r="B173" s="234" t="str">
        <f>Translate!$A$462</f>
        <v>Malaysia</v>
      </c>
    </row>
    <row r="174" spans="2:2">
      <c r="B174" s="234" t="str">
        <f>Translate!$A$463</f>
        <v>Mongolia</v>
      </c>
    </row>
    <row r="175" spans="2:2">
      <c r="B175" s="234" t="str">
        <f>Translate!$A$464</f>
        <v>Myanmar</v>
      </c>
    </row>
    <row r="176" spans="2:2">
      <c r="B176" s="234" t="str">
        <f>Translate!$A$465</f>
        <v>Nepal</v>
      </c>
    </row>
    <row r="177" spans="2:2">
      <c r="B177" s="234" t="str">
        <f>Translate!$A$466</f>
        <v>Pakistan</v>
      </c>
    </row>
    <row r="178" spans="2:2">
      <c r="B178" s="234" t="str">
        <f>Translate!$A$467</f>
        <v>Philippines</v>
      </c>
    </row>
    <row r="179" spans="2:2">
      <c r="B179" s="234" t="str">
        <f>Translate!$A$468</f>
        <v>Singapore</v>
      </c>
    </row>
    <row r="180" spans="2:2">
      <c r="B180" s="234" t="str">
        <f>Translate!$A$469</f>
        <v>Sri Lanka</v>
      </c>
    </row>
    <row r="181" spans="2:2">
      <c r="B181" s="235" t="str">
        <f>Translate!$A$470</f>
        <v>Thailand</v>
      </c>
    </row>
    <row r="182" spans="2:2">
      <c r="B182" s="234" t="str">
        <f>Translate!$A$471</f>
        <v>Vietnam</v>
      </c>
    </row>
    <row r="183" spans="2:2">
      <c r="B183" s="234" t="str">
        <f>Translate!$A$472</f>
        <v>Other Asia</v>
      </c>
    </row>
  </sheetData>
  <dataConsolidate/>
  <pageMargins left="0.7" right="0.7" top="0.75" bottom="0.75"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2"/>
  <dimension ref="A1:J550"/>
  <sheetViews>
    <sheetView topLeftCell="A264" workbookViewId="0">
      <selection activeCell="B296" sqref="B296:G296"/>
    </sheetView>
  </sheetViews>
  <sheetFormatPr baseColWidth="10" defaultColWidth="11.5546875" defaultRowHeight="15"/>
  <cols>
    <col min="1" max="1" width="56" style="611" customWidth="1"/>
    <col min="2" max="2" width="53.109375" style="626" customWidth="1"/>
    <col min="3" max="4" width="53.109375" customWidth="1"/>
    <col min="5" max="5" width="71" style="629" bestFit="1" customWidth="1"/>
    <col min="6" max="8" width="53.109375" customWidth="1"/>
  </cols>
  <sheetData>
    <row r="1" spans="1:10" ht="23.25" hidden="1">
      <c r="A1" s="624">
        <v>2</v>
      </c>
      <c r="E1" s="628" t="s">
        <v>1252</v>
      </c>
    </row>
    <row r="2" spans="1:10" ht="33.75" customHeight="1">
      <c r="A2" s="619" t="s">
        <v>485</v>
      </c>
      <c r="B2" s="627" t="s">
        <v>1250</v>
      </c>
      <c r="C2" s="627" t="s">
        <v>486</v>
      </c>
      <c r="D2" s="627" t="s">
        <v>487</v>
      </c>
      <c r="E2" s="627" t="s">
        <v>1252</v>
      </c>
      <c r="F2" s="627" t="s">
        <v>1468</v>
      </c>
      <c r="G2" s="627" t="s">
        <v>1251</v>
      </c>
      <c r="H2" s="620"/>
      <c r="I2" s="620"/>
    </row>
    <row r="3" spans="1:10" ht="19.5">
      <c r="A3" s="617" t="str">
        <f t="shared" ref="A3:A66" si="0">INDEX(B3:I3,1,$A$1)</f>
        <v>EFFC DFI Carbon Calculator Tool</v>
      </c>
      <c r="B3" s="630" t="s">
        <v>2026</v>
      </c>
      <c r="C3" s="630" t="s">
        <v>1281</v>
      </c>
      <c r="D3" s="630" t="s">
        <v>2027</v>
      </c>
      <c r="E3" s="630" t="s">
        <v>2028</v>
      </c>
      <c r="F3" s="630" t="s">
        <v>2029</v>
      </c>
      <c r="G3" s="630" t="s">
        <v>1281</v>
      </c>
      <c r="H3" s="621"/>
      <c r="I3" s="466"/>
      <c r="J3">
        <v>1</v>
      </c>
    </row>
    <row r="4" spans="1:10">
      <c r="A4" s="617" t="str">
        <f t="shared" si="0"/>
        <v>TITLE</v>
      </c>
      <c r="B4" s="630" t="s">
        <v>490</v>
      </c>
      <c r="C4" s="630" t="s">
        <v>466</v>
      </c>
      <c r="D4" s="630" t="s">
        <v>489</v>
      </c>
      <c r="E4" s="630" t="s">
        <v>491</v>
      </c>
      <c r="F4" s="630" t="s">
        <v>1282</v>
      </c>
      <c r="G4" s="630" t="s">
        <v>490</v>
      </c>
      <c r="H4" s="621"/>
      <c r="I4" s="466"/>
      <c r="J4">
        <v>1</v>
      </c>
    </row>
    <row r="5" spans="1:10">
      <c r="A5" s="617" t="str">
        <f t="shared" si="0"/>
        <v>AUTHORS</v>
      </c>
      <c r="B5" s="630" t="s">
        <v>493</v>
      </c>
      <c r="C5" s="630" t="s">
        <v>467</v>
      </c>
      <c r="D5" s="630" t="s">
        <v>492</v>
      </c>
      <c r="E5" s="630" t="s">
        <v>494</v>
      </c>
      <c r="F5" s="630" t="s">
        <v>1283</v>
      </c>
      <c r="G5" s="630" t="s">
        <v>492</v>
      </c>
      <c r="H5" s="621"/>
      <c r="I5" s="466"/>
      <c r="J5">
        <v>1</v>
      </c>
    </row>
    <row r="6" spans="1:10">
      <c r="A6" s="617" t="str">
        <f t="shared" si="0"/>
        <v>VERSION NUMBER</v>
      </c>
      <c r="B6" s="630" t="s">
        <v>2522</v>
      </c>
      <c r="C6" s="630" t="s">
        <v>468</v>
      </c>
      <c r="D6" s="630" t="s">
        <v>1469</v>
      </c>
      <c r="E6" s="630" t="s">
        <v>495</v>
      </c>
      <c r="F6" s="630" t="s">
        <v>1807</v>
      </c>
      <c r="G6" s="630" t="s">
        <v>496</v>
      </c>
      <c r="H6" s="621"/>
      <c r="I6" s="466"/>
      <c r="J6">
        <v>1</v>
      </c>
    </row>
    <row r="7" spans="1:10">
      <c r="A7" s="617" t="str">
        <f t="shared" si="0"/>
        <v>Copyright</v>
      </c>
      <c r="B7" s="630" t="s">
        <v>2523</v>
      </c>
      <c r="C7" s="630" t="s">
        <v>427</v>
      </c>
      <c r="D7" s="630" t="s">
        <v>497</v>
      </c>
      <c r="E7" s="630" t="s">
        <v>498</v>
      </c>
      <c r="F7" s="630" t="s">
        <v>427</v>
      </c>
      <c r="G7" s="630" t="s">
        <v>2039</v>
      </c>
      <c r="H7" s="621"/>
      <c r="I7" s="466"/>
      <c r="J7">
        <v>1</v>
      </c>
    </row>
    <row r="8" spans="1:10">
      <c r="A8" s="617" t="str">
        <f t="shared" si="0"/>
        <v>DATE</v>
      </c>
      <c r="B8" s="630" t="s">
        <v>500</v>
      </c>
      <c r="C8" s="630" t="s">
        <v>102</v>
      </c>
      <c r="D8" s="630" t="s">
        <v>102</v>
      </c>
      <c r="E8" s="630" t="s">
        <v>499</v>
      </c>
      <c r="F8" s="630" t="s">
        <v>1284</v>
      </c>
      <c r="G8" s="630" t="s">
        <v>500</v>
      </c>
      <c r="H8" s="621"/>
      <c r="I8" s="466"/>
      <c r="J8">
        <v>1</v>
      </c>
    </row>
    <row r="9" spans="1:10">
      <c r="A9" s="617" t="str">
        <f t="shared" si="0"/>
        <v>WHAT IS THIS TOOL ?</v>
      </c>
      <c r="B9" s="630" t="s">
        <v>1574</v>
      </c>
      <c r="C9" s="630" t="s">
        <v>103</v>
      </c>
      <c r="D9" s="630" t="s">
        <v>1471</v>
      </c>
      <c r="E9" s="630" t="s">
        <v>501</v>
      </c>
      <c r="F9" s="630" t="s">
        <v>1285</v>
      </c>
      <c r="G9" s="630" t="s">
        <v>1999</v>
      </c>
      <c r="H9" s="621"/>
      <c r="I9" s="466"/>
      <c r="J9">
        <v>1</v>
      </c>
    </row>
    <row r="10" spans="1:10" ht="30">
      <c r="A10" s="617" t="str">
        <f t="shared" si="0"/>
        <v>HOW TO USE THIS TOOL ? SOME QUICK TIPS</v>
      </c>
      <c r="B10" s="630" t="s">
        <v>2524</v>
      </c>
      <c r="C10" s="630" t="s">
        <v>104</v>
      </c>
      <c r="D10" s="630" t="s">
        <v>502</v>
      </c>
      <c r="E10" s="630" t="s">
        <v>503</v>
      </c>
      <c r="F10" s="630" t="s">
        <v>1808</v>
      </c>
      <c r="G10" s="630" t="s">
        <v>2068</v>
      </c>
      <c r="H10" s="621"/>
      <c r="I10" s="466"/>
      <c r="J10">
        <v>1</v>
      </c>
    </row>
    <row r="11" spans="1:10">
      <c r="A11" s="617" t="str">
        <f>INDEX(B11:I11,1,$A$1)</f>
        <v>Activities covered</v>
      </c>
      <c r="B11" s="630" t="s">
        <v>2525</v>
      </c>
      <c r="C11" s="630" t="s">
        <v>2038</v>
      </c>
      <c r="D11" s="630" t="s">
        <v>2410</v>
      </c>
      <c r="E11" s="630" t="s">
        <v>2411</v>
      </c>
      <c r="F11" s="630" t="s">
        <v>2079</v>
      </c>
      <c r="G11" s="630" t="s">
        <v>2412</v>
      </c>
      <c r="H11" s="621"/>
      <c r="I11" s="466"/>
      <c r="J11">
        <v>1</v>
      </c>
    </row>
    <row r="12" spans="1:10">
      <c r="A12" s="617" t="str">
        <f t="shared" si="0"/>
        <v>Color code</v>
      </c>
      <c r="B12" s="630" t="s">
        <v>2526</v>
      </c>
      <c r="C12" s="630" t="s">
        <v>105</v>
      </c>
      <c r="D12" s="630" t="s">
        <v>504</v>
      </c>
      <c r="E12" s="630" t="s">
        <v>505</v>
      </c>
      <c r="F12" s="630" t="s">
        <v>1286</v>
      </c>
      <c r="G12" s="630" t="s">
        <v>506</v>
      </c>
      <c r="H12" s="621"/>
      <c r="I12" s="466"/>
      <c r="J12">
        <v>1</v>
      </c>
    </row>
    <row r="13" spans="1:10">
      <c r="A13" s="617" t="str">
        <f t="shared" si="0"/>
        <v>In all worksheets</v>
      </c>
      <c r="B13" s="630" t="s">
        <v>2527</v>
      </c>
      <c r="C13" s="630" t="s">
        <v>106</v>
      </c>
      <c r="D13" s="630" t="s">
        <v>507</v>
      </c>
      <c r="E13" s="630" t="s">
        <v>1673</v>
      </c>
      <c r="F13" s="630" t="s">
        <v>1287</v>
      </c>
      <c r="G13" s="630" t="s">
        <v>508</v>
      </c>
      <c r="H13" s="621"/>
      <c r="I13" s="466"/>
      <c r="J13">
        <v>1</v>
      </c>
    </row>
    <row r="14" spans="1:10" ht="30">
      <c r="A14" s="617" t="str">
        <f t="shared" si="0"/>
        <v>This excel spreadsheet is a carbon emission calculator for deep foundation techniques and projects.</v>
      </c>
      <c r="B14" s="630" t="s">
        <v>2578</v>
      </c>
      <c r="C14" s="630" t="s">
        <v>429</v>
      </c>
      <c r="D14" s="630" t="s">
        <v>1470</v>
      </c>
      <c r="E14" s="630" t="s">
        <v>1674</v>
      </c>
      <c r="F14" s="630" t="s">
        <v>1809</v>
      </c>
      <c r="G14" s="630" t="s">
        <v>2040</v>
      </c>
      <c r="H14" s="621"/>
      <c r="I14" s="466"/>
      <c r="J14">
        <v>1</v>
      </c>
    </row>
    <row r="15" spans="1:10" ht="75">
      <c r="A15" s="617" t="str">
        <f t="shared" si="0"/>
        <v>It has been developed to support EFFC and DFI members in calculating the carbon footprint of their projects, compare solutions and value technical innovation to reduce GHG emissions.</v>
      </c>
      <c r="B15" s="630" t="s">
        <v>2579</v>
      </c>
      <c r="C15" s="630" t="s">
        <v>452</v>
      </c>
      <c r="D15" s="630" t="s">
        <v>1472</v>
      </c>
      <c r="E15" s="630" t="s">
        <v>1675</v>
      </c>
      <c r="F15" s="630" t="s">
        <v>1810</v>
      </c>
      <c r="G15" s="630" t="s">
        <v>2041</v>
      </c>
      <c r="H15" s="621"/>
      <c r="I15" s="466"/>
      <c r="J15">
        <v>1</v>
      </c>
    </row>
    <row r="16" spans="1:10" ht="60">
      <c r="A16" s="617" t="str">
        <f t="shared" si="0"/>
        <v>On behalf of EFFC DFI, Carbone 4 developed a specific methodology and this tool to ensure coherence and comparability between  various companies calculation</v>
      </c>
      <c r="B16" s="630" t="s">
        <v>2528</v>
      </c>
      <c r="C16" s="630" t="s">
        <v>453</v>
      </c>
      <c r="D16" s="630" t="s">
        <v>1473</v>
      </c>
      <c r="E16" s="630" t="s">
        <v>1676</v>
      </c>
      <c r="F16" s="630" t="s">
        <v>1811</v>
      </c>
      <c r="G16" s="630" t="s">
        <v>2000</v>
      </c>
      <c r="H16" s="621"/>
      <c r="I16" s="466"/>
      <c r="J16">
        <v>1</v>
      </c>
    </row>
    <row r="17" spans="1:10" ht="60">
      <c r="A17" s="617" t="str">
        <f t="shared" si="0"/>
        <v>Functionalities: calculation of the carbon footprint using standard or specific values, comparisons of projects, construction of complex project by adding simple techniques one to another.</v>
      </c>
      <c r="B17" s="630" t="s">
        <v>2580</v>
      </c>
      <c r="C17" s="630" t="s">
        <v>454</v>
      </c>
      <c r="D17" s="630" t="s">
        <v>1474</v>
      </c>
      <c r="E17" s="630" t="s">
        <v>1677</v>
      </c>
      <c r="F17" s="630" t="s">
        <v>2080</v>
      </c>
      <c r="G17" s="630" t="s">
        <v>2069</v>
      </c>
      <c r="H17" s="621"/>
      <c r="I17" s="466"/>
      <c r="J17">
        <v>1</v>
      </c>
    </row>
    <row r="18" spans="1:10" ht="30">
      <c r="A18" s="617" t="str">
        <f t="shared" si="0"/>
        <v>1) Please first make sure that you have the latest version of the tool - check EFFC relevant webpage.</v>
      </c>
      <c r="B18" s="630" t="s">
        <v>2529</v>
      </c>
      <c r="C18" s="630" t="s">
        <v>430</v>
      </c>
      <c r="D18" s="630" t="s">
        <v>1475</v>
      </c>
      <c r="E18" s="630" t="s">
        <v>1678</v>
      </c>
      <c r="F18" s="630" t="s">
        <v>1812</v>
      </c>
      <c r="G18" s="630" t="s">
        <v>2070</v>
      </c>
      <c r="H18" s="621"/>
      <c r="I18" s="466"/>
      <c r="J18">
        <v>1</v>
      </c>
    </row>
    <row r="19" spans="1:10" ht="60">
      <c r="A19" s="617" t="str">
        <f t="shared" si="0"/>
        <v>2) Ensure you are trained to use this tool and understand its capabilities and limitations. Read the user guide and associated methodological document.</v>
      </c>
      <c r="B19" s="630" t="s">
        <v>1575</v>
      </c>
      <c r="C19" s="630" t="s">
        <v>2001</v>
      </c>
      <c r="D19" s="630" t="s">
        <v>1476</v>
      </c>
      <c r="E19" s="630" t="s">
        <v>509</v>
      </c>
      <c r="F19" s="630" t="s">
        <v>1813</v>
      </c>
      <c r="G19" s="630" t="s">
        <v>2071</v>
      </c>
      <c r="H19" s="621"/>
      <c r="I19" s="466"/>
      <c r="J19">
        <v>1</v>
      </c>
    </row>
    <row r="20" spans="1:10">
      <c r="A20" s="617" t="str">
        <f>INDEX(B20:I20,1,$A$1)</f>
        <v>3) Load your own logo in the tool</v>
      </c>
      <c r="B20" s="630" t="s">
        <v>2447</v>
      </c>
      <c r="C20" s="630" t="s">
        <v>2120</v>
      </c>
      <c r="D20" s="630" t="s">
        <v>2375</v>
      </c>
      <c r="E20" s="630" t="s">
        <v>2376</v>
      </c>
      <c r="F20" s="630" t="s">
        <v>2378</v>
      </c>
      <c r="G20" s="630" t="s">
        <v>2377</v>
      </c>
      <c r="H20" s="621"/>
      <c r="I20" s="466"/>
      <c r="J20">
        <v>0</v>
      </c>
    </row>
    <row r="21" spans="1:10" ht="30">
      <c r="A21" s="617" t="str">
        <f t="shared" si="0"/>
        <v>4) Create one or more new subprojects using the "New Subproject sheet" button located in the HOME worksheet</v>
      </c>
      <c r="B21" s="630" t="s">
        <v>2530</v>
      </c>
      <c r="C21" s="630" t="s">
        <v>2121</v>
      </c>
      <c r="D21" s="630" t="s">
        <v>2122</v>
      </c>
      <c r="E21" s="630" t="s">
        <v>2123</v>
      </c>
      <c r="F21" s="630" t="s">
        <v>2124</v>
      </c>
      <c r="G21" s="630" t="s">
        <v>2125</v>
      </c>
      <c r="H21" s="621"/>
      <c r="I21" s="466"/>
      <c r="J21">
        <v>1</v>
      </c>
    </row>
    <row r="22" spans="1:10" ht="45">
      <c r="A22" s="617" t="str">
        <f t="shared" si="0"/>
        <v>a) Enter all information relative to your different projects in the yellow tabs. You can add, duplicate or remove as many yellow tabs as you like.</v>
      </c>
      <c r="B22" s="630" t="s">
        <v>2531</v>
      </c>
      <c r="C22" s="630" t="s">
        <v>455</v>
      </c>
      <c r="D22" s="630" t="s">
        <v>1477</v>
      </c>
      <c r="E22" s="630" t="s">
        <v>1679</v>
      </c>
      <c r="F22" s="630" t="s">
        <v>1814</v>
      </c>
      <c r="G22" s="630" t="s">
        <v>2072</v>
      </c>
      <c r="H22" s="621"/>
      <c r="I22" s="466"/>
      <c r="J22">
        <v>1</v>
      </c>
    </row>
    <row r="23" spans="1:10" ht="30.75">
      <c r="A23" s="617" t="str">
        <f t="shared" si="0"/>
        <v xml:space="preserve">b) The input data for a given project are prioritised according to the technique used. </v>
      </c>
      <c r="B23" s="630" t="s">
        <v>2532</v>
      </c>
      <c r="C23" s="630" t="s">
        <v>2002</v>
      </c>
      <c r="D23" s="630" t="s">
        <v>510</v>
      </c>
      <c r="E23" s="630" t="s">
        <v>511</v>
      </c>
      <c r="F23" s="630" t="s">
        <v>1815</v>
      </c>
      <c r="G23" s="630" t="s">
        <v>2042</v>
      </c>
      <c r="H23" s="621"/>
      <c r="I23" s="466"/>
      <c r="J23">
        <v>1</v>
      </c>
    </row>
    <row r="24" spans="1:10" ht="30">
      <c r="A24" s="617" t="str">
        <f t="shared" si="0"/>
        <v>5) Create one or more new projects using the "New Project sheet" button located in the HOME worksheet</v>
      </c>
      <c r="B24" s="630" t="s">
        <v>2533</v>
      </c>
      <c r="C24" s="630" t="s">
        <v>2126</v>
      </c>
      <c r="D24" s="630" t="s">
        <v>2127</v>
      </c>
      <c r="E24" s="630" t="s">
        <v>2128</v>
      </c>
      <c r="F24" s="630" t="s">
        <v>2129</v>
      </c>
      <c r="G24" s="630" t="s">
        <v>2130</v>
      </c>
      <c r="H24" s="621"/>
      <c r="I24" s="466"/>
      <c r="J24">
        <v>1</v>
      </c>
    </row>
    <row r="25" spans="1:10" ht="30">
      <c r="A25" s="617" t="str">
        <f t="shared" si="0"/>
        <v>A project is an ensemble of subprojects and projects</v>
      </c>
      <c r="B25" s="630" t="s">
        <v>1576</v>
      </c>
      <c r="C25" s="630" t="s">
        <v>456</v>
      </c>
      <c r="D25" s="630" t="s">
        <v>1478</v>
      </c>
      <c r="E25" s="630" t="s">
        <v>512</v>
      </c>
      <c r="F25" s="630" t="s">
        <v>1816</v>
      </c>
      <c r="G25" s="630" t="s">
        <v>2043</v>
      </c>
      <c r="H25" s="621"/>
      <c r="I25" s="466"/>
      <c r="J25">
        <v>1</v>
      </c>
    </row>
    <row r="26" spans="1:10">
      <c r="A26" s="617" t="str">
        <f t="shared" si="0"/>
        <v>6) Export the result in a A4 PDF document</v>
      </c>
      <c r="B26" s="630" t="s">
        <v>2534</v>
      </c>
      <c r="C26" s="630" t="s">
        <v>2131</v>
      </c>
      <c r="D26" s="630" t="s">
        <v>2132</v>
      </c>
      <c r="E26" s="630" t="s">
        <v>2133</v>
      </c>
      <c r="F26" s="630" t="s">
        <v>2134</v>
      </c>
      <c r="G26" s="630" t="s">
        <v>2135</v>
      </c>
      <c r="H26" s="621"/>
      <c r="I26" s="466"/>
      <c r="J26">
        <v>1</v>
      </c>
    </row>
    <row r="27" spans="1:10" ht="30">
      <c r="A27" s="617" t="str">
        <f t="shared" si="0"/>
        <v>7) Compare different alternatives in the "Comparison" worksheet</v>
      </c>
      <c r="B27" s="630" t="s">
        <v>2535</v>
      </c>
      <c r="C27" s="630" t="s">
        <v>2136</v>
      </c>
      <c r="D27" s="630" t="s">
        <v>2137</v>
      </c>
      <c r="E27" s="630" t="s">
        <v>2138</v>
      </c>
      <c r="F27" s="630" t="s">
        <v>2139</v>
      </c>
      <c r="G27" s="630" t="s">
        <v>2140</v>
      </c>
      <c r="H27" s="621"/>
      <c r="I27" s="466"/>
      <c r="J27">
        <v>0</v>
      </c>
    </row>
    <row r="28" spans="1:10">
      <c r="A28" s="617" t="str">
        <f t="shared" si="0"/>
        <v>v4.0</v>
      </c>
      <c r="B28" s="631" t="s">
        <v>2591</v>
      </c>
      <c r="C28" s="631" t="str">
        <f>B28</f>
        <v>v4.0</v>
      </c>
      <c r="D28" s="631" t="str">
        <f>C28</f>
        <v>v4.0</v>
      </c>
      <c r="E28" s="631" t="str">
        <f>D28</f>
        <v>v4.0</v>
      </c>
      <c r="F28" s="631" t="str">
        <f>E28</f>
        <v>v4.0</v>
      </c>
      <c r="G28" s="631" t="str">
        <f>F28</f>
        <v>v4.0</v>
      </c>
      <c r="H28" s="621"/>
      <c r="I28" s="466"/>
      <c r="J28">
        <v>0</v>
      </c>
    </row>
    <row r="29" spans="1:10">
      <c r="A29" s="617" t="str">
        <f t="shared" si="0"/>
        <v>EFFC &amp; DFI, 2012. All rights reserved.</v>
      </c>
      <c r="B29" s="630" t="s">
        <v>514</v>
      </c>
      <c r="C29" s="630" t="s">
        <v>428</v>
      </c>
      <c r="D29" s="630" t="s">
        <v>513</v>
      </c>
      <c r="E29" s="630" t="s">
        <v>515</v>
      </c>
      <c r="F29" s="630" t="s">
        <v>1288</v>
      </c>
      <c r="G29" s="630" t="s">
        <v>516</v>
      </c>
      <c r="H29" s="621"/>
      <c r="I29" s="466"/>
      <c r="J29">
        <v>1</v>
      </c>
    </row>
    <row r="30" spans="1:10">
      <c r="A30" s="617" t="str">
        <f t="shared" si="0"/>
        <v xml:space="preserve">   Project input data (to be filled by user)</v>
      </c>
      <c r="B30" s="630" t="s">
        <v>2536</v>
      </c>
      <c r="C30" s="630" t="s">
        <v>107</v>
      </c>
      <c r="D30" s="630" t="s">
        <v>517</v>
      </c>
      <c r="E30" s="630" t="s">
        <v>1680</v>
      </c>
      <c r="F30" s="630" t="s">
        <v>1289</v>
      </c>
      <c r="G30" s="630" t="s">
        <v>2044</v>
      </c>
      <c r="H30" s="621"/>
      <c r="I30" s="466"/>
      <c r="J30">
        <v>1</v>
      </c>
    </row>
    <row r="31" spans="1:10">
      <c r="A31" s="617" t="str">
        <f t="shared" si="0"/>
        <v>Coloured cells : non editable cells</v>
      </c>
      <c r="B31" s="630" t="s">
        <v>518</v>
      </c>
      <c r="C31" s="630" t="s">
        <v>2003</v>
      </c>
      <c r="D31" s="630" t="s">
        <v>1479</v>
      </c>
      <c r="E31" s="630" t="s">
        <v>1681</v>
      </c>
      <c r="F31" s="630" t="s">
        <v>1817</v>
      </c>
      <c r="G31" s="630" t="s">
        <v>519</v>
      </c>
      <c r="H31" s="621"/>
      <c r="I31" s="466"/>
      <c r="J31">
        <v>1</v>
      </c>
    </row>
    <row r="32" spans="1:10">
      <c r="A32" s="617" t="str">
        <f t="shared" si="0"/>
        <v>EFFC DFI Project Carbon Calculator</v>
      </c>
      <c r="B32" s="630" t="s">
        <v>2581</v>
      </c>
      <c r="C32" s="630" t="s">
        <v>2030</v>
      </c>
      <c r="D32" s="630" t="s">
        <v>2031</v>
      </c>
      <c r="E32" s="630" t="s">
        <v>2032</v>
      </c>
      <c r="F32" s="630" t="s">
        <v>2081</v>
      </c>
      <c r="G32" s="630" t="s">
        <v>2030</v>
      </c>
      <c r="H32" s="621"/>
      <c r="I32" s="466"/>
      <c r="J32">
        <v>1</v>
      </c>
    </row>
    <row r="33" spans="1:10">
      <c r="A33" s="617" t="str">
        <f t="shared" si="0"/>
        <v>Kind of Worksheet</v>
      </c>
      <c r="B33" s="630" t="s">
        <v>2537</v>
      </c>
      <c r="C33" s="630" t="s">
        <v>354</v>
      </c>
      <c r="D33" s="630" t="s">
        <v>1480</v>
      </c>
      <c r="E33" s="630" t="s">
        <v>520</v>
      </c>
      <c r="F33" s="630" t="s">
        <v>1290</v>
      </c>
      <c r="G33" s="630" t="s">
        <v>2004</v>
      </c>
      <c r="H33" s="621"/>
      <c r="I33" s="466"/>
      <c r="J33">
        <v>1</v>
      </c>
    </row>
    <row r="34" spans="1:10">
      <c r="A34" s="617" t="str">
        <f t="shared" si="0"/>
        <v>Subproject</v>
      </c>
      <c r="B34" s="630" t="s">
        <v>522</v>
      </c>
      <c r="C34" s="630" t="s">
        <v>93</v>
      </c>
      <c r="D34" s="630" t="s">
        <v>521</v>
      </c>
      <c r="E34" s="630" t="s">
        <v>523</v>
      </c>
      <c r="F34" s="630" t="s">
        <v>1291</v>
      </c>
      <c r="G34" s="630" t="s">
        <v>524</v>
      </c>
      <c r="H34" s="621"/>
      <c r="I34" s="466"/>
      <c r="J34">
        <v>1</v>
      </c>
    </row>
    <row r="35" spans="1:10">
      <c r="A35" s="617" t="str">
        <f t="shared" si="0"/>
        <v>Project</v>
      </c>
      <c r="B35" s="630" t="s">
        <v>526</v>
      </c>
      <c r="C35" s="630" t="s">
        <v>76</v>
      </c>
      <c r="D35" s="630" t="s">
        <v>525</v>
      </c>
      <c r="E35" s="630" t="s">
        <v>527</v>
      </c>
      <c r="F35" s="630" t="s">
        <v>1292</v>
      </c>
      <c r="G35" s="630" t="s">
        <v>76</v>
      </c>
      <c r="H35" s="621"/>
      <c r="I35" s="466"/>
      <c r="J35">
        <v>1</v>
      </c>
    </row>
    <row r="36" spans="1:10">
      <c r="A36" s="617" t="str">
        <f t="shared" si="0"/>
        <v>Results</v>
      </c>
      <c r="B36" s="630" t="s">
        <v>529</v>
      </c>
      <c r="C36" s="630" t="s">
        <v>94</v>
      </c>
      <c r="D36" s="630" t="s">
        <v>528</v>
      </c>
      <c r="E36" s="630" t="s">
        <v>530</v>
      </c>
      <c r="F36" s="630" t="s">
        <v>1293</v>
      </c>
      <c r="G36" s="630" t="s">
        <v>531</v>
      </c>
      <c r="H36" s="621"/>
      <c r="I36" s="466"/>
      <c r="J36">
        <v>1</v>
      </c>
    </row>
    <row r="37" spans="1:10">
      <c r="A37" s="617" t="str">
        <f t="shared" si="0"/>
        <v>Comparison</v>
      </c>
      <c r="B37" s="630" t="s">
        <v>533</v>
      </c>
      <c r="C37" s="630" t="s">
        <v>285</v>
      </c>
      <c r="D37" s="630" t="s">
        <v>532</v>
      </c>
      <c r="E37" s="630" t="s">
        <v>534</v>
      </c>
      <c r="F37" s="630" t="s">
        <v>1294</v>
      </c>
      <c r="G37" s="630" t="s">
        <v>535</v>
      </c>
      <c r="H37" s="621"/>
      <c r="I37" s="466"/>
      <c r="J37">
        <v>1</v>
      </c>
    </row>
    <row r="38" spans="1:10" ht="30">
      <c r="A38" s="617" t="str">
        <f t="shared" si="0"/>
        <v>A subproject sheet is a spreadsheet in which you enter all  activity data regarding one technique.</v>
      </c>
      <c r="B38" s="630" t="s">
        <v>2538</v>
      </c>
      <c r="C38" s="630" t="s">
        <v>469</v>
      </c>
      <c r="D38" s="630" t="s">
        <v>1481</v>
      </c>
      <c r="E38" s="630" t="s">
        <v>1682</v>
      </c>
      <c r="F38" s="630" t="s">
        <v>2082</v>
      </c>
      <c r="G38" s="630" t="s">
        <v>2005</v>
      </c>
      <c r="H38" s="621"/>
      <c r="I38" s="466"/>
      <c r="J38">
        <v>1</v>
      </c>
    </row>
    <row r="39" spans="1:10" ht="30">
      <c r="A39" s="617" t="str">
        <f t="shared" si="0"/>
        <v>A project sheet is a results sheet where you  compare and consolidate subproject &amp; projects sheets</v>
      </c>
      <c r="B39" s="630" t="s">
        <v>2539</v>
      </c>
      <c r="C39" s="630" t="s">
        <v>1671</v>
      </c>
      <c r="D39" s="630" t="s">
        <v>1482</v>
      </c>
      <c r="E39" s="630" t="s">
        <v>1683</v>
      </c>
      <c r="F39" s="630" t="s">
        <v>2083</v>
      </c>
      <c r="G39" s="630" t="s">
        <v>2006</v>
      </c>
      <c r="H39" s="621"/>
      <c r="I39" s="466"/>
      <c r="J39">
        <v>1</v>
      </c>
    </row>
    <row r="40" spans="1:10" ht="30">
      <c r="A40" s="617" t="str">
        <f t="shared" si="0"/>
        <v>First time on this tool? Make sure your logo appears on the results page!</v>
      </c>
      <c r="B40" s="630" t="s">
        <v>1577</v>
      </c>
      <c r="C40" s="630" t="s">
        <v>457</v>
      </c>
      <c r="D40" s="630" t="s">
        <v>1483</v>
      </c>
      <c r="E40" s="630" t="s">
        <v>1684</v>
      </c>
      <c r="F40" s="630" t="s">
        <v>1818</v>
      </c>
      <c r="G40" s="630" t="s">
        <v>2045</v>
      </c>
      <c r="H40" s="621"/>
      <c r="I40" s="466"/>
      <c r="J40">
        <v>1</v>
      </c>
    </row>
    <row r="41" spans="1:10">
      <c r="A41" s="617" t="str">
        <f t="shared" si="0"/>
        <v>Purpose</v>
      </c>
      <c r="B41" s="630" t="s">
        <v>537</v>
      </c>
      <c r="C41" s="630" t="s">
        <v>352</v>
      </c>
      <c r="D41" s="630" t="s">
        <v>536</v>
      </c>
      <c r="E41" s="630" t="s">
        <v>538</v>
      </c>
      <c r="F41" s="630" t="s">
        <v>1295</v>
      </c>
      <c r="G41" s="630" t="s">
        <v>539</v>
      </c>
      <c r="H41" s="621"/>
      <c r="I41" s="466"/>
      <c r="J41">
        <v>1</v>
      </c>
    </row>
    <row r="42" spans="1:10">
      <c r="A42" s="617" t="str">
        <f t="shared" si="0"/>
        <v>Calculate the carbon footprint of a part of a project</v>
      </c>
      <c r="B42" s="630" t="s">
        <v>2582</v>
      </c>
      <c r="C42" s="630" t="s">
        <v>357</v>
      </c>
      <c r="D42" s="630" t="s">
        <v>540</v>
      </c>
      <c r="E42" s="630" t="s">
        <v>541</v>
      </c>
      <c r="F42" s="630" t="s">
        <v>1819</v>
      </c>
      <c r="G42" s="630" t="s">
        <v>2046</v>
      </c>
      <c r="H42" s="621"/>
      <c r="I42" s="466"/>
      <c r="J42">
        <v>1</v>
      </c>
    </row>
    <row r="43" spans="1:10">
      <c r="A43" s="617" t="str">
        <f t="shared" si="0"/>
        <v>Total other sheets</v>
      </c>
      <c r="B43" s="630" t="s">
        <v>2540</v>
      </c>
      <c r="C43" s="630" t="s">
        <v>358</v>
      </c>
      <c r="D43" s="630" t="s">
        <v>542</v>
      </c>
      <c r="E43" s="630" t="s">
        <v>543</v>
      </c>
      <c r="F43" s="630" t="s">
        <v>1296</v>
      </c>
      <c r="G43" s="630" t="s">
        <v>2047</v>
      </c>
      <c r="H43" s="621"/>
      <c r="I43" s="466"/>
      <c r="J43">
        <v>1</v>
      </c>
    </row>
    <row r="44" spans="1:10" ht="30">
      <c r="A44" s="617" t="str">
        <f t="shared" si="0"/>
        <v>Extract the main data in a printable layout</v>
      </c>
      <c r="B44" s="630" t="s">
        <v>2541</v>
      </c>
      <c r="C44" s="630" t="s">
        <v>356</v>
      </c>
      <c r="D44" s="630" t="s">
        <v>544</v>
      </c>
      <c r="E44" s="630" t="s">
        <v>1685</v>
      </c>
      <c r="F44" s="630" t="s">
        <v>1297</v>
      </c>
      <c r="G44" s="630" t="s">
        <v>2048</v>
      </c>
      <c r="H44" s="621"/>
      <c r="I44" s="466"/>
      <c r="J44">
        <v>1</v>
      </c>
    </row>
    <row r="45" spans="1:10">
      <c r="A45" s="617" t="str">
        <f t="shared" si="0"/>
        <v>Compare different projects or subprojects</v>
      </c>
      <c r="B45" s="630" t="s">
        <v>2542</v>
      </c>
      <c r="C45" s="630" t="s">
        <v>431</v>
      </c>
      <c r="D45" s="630" t="s">
        <v>545</v>
      </c>
      <c r="E45" s="630" t="s">
        <v>1686</v>
      </c>
      <c r="F45" s="630" t="s">
        <v>1298</v>
      </c>
      <c r="G45" s="630" t="s">
        <v>2049</v>
      </c>
      <c r="H45" s="621"/>
      <c r="I45" s="466"/>
      <c r="J45">
        <v>1</v>
      </c>
    </row>
    <row r="46" spans="1:10">
      <c r="A46" s="617" t="str">
        <f t="shared" si="0"/>
        <v>Create here your subproject sheets</v>
      </c>
      <c r="B46" s="630" t="s">
        <v>2543</v>
      </c>
      <c r="C46" s="630" t="s">
        <v>434</v>
      </c>
      <c r="D46" s="630" t="s">
        <v>1484</v>
      </c>
      <c r="E46" s="630" t="s">
        <v>1687</v>
      </c>
      <c r="F46" s="630" t="s">
        <v>1299</v>
      </c>
      <c r="G46" s="630" t="s">
        <v>2007</v>
      </c>
      <c r="H46" s="621"/>
      <c r="I46" s="466"/>
      <c r="J46">
        <v>1</v>
      </c>
    </row>
    <row r="47" spans="1:10">
      <c r="A47" s="617" t="str">
        <f t="shared" si="0"/>
        <v>Name</v>
      </c>
      <c r="B47" s="630" t="s">
        <v>92</v>
      </c>
      <c r="C47" s="630" t="s">
        <v>92</v>
      </c>
      <c r="D47" s="630" t="s">
        <v>546</v>
      </c>
      <c r="E47" s="630" t="s">
        <v>547</v>
      </c>
      <c r="F47" s="630" t="s">
        <v>1300</v>
      </c>
      <c r="G47" s="630" t="s">
        <v>548</v>
      </c>
      <c r="H47" s="621"/>
      <c r="I47" s="466"/>
      <c r="J47">
        <v>1</v>
      </c>
    </row>
    <row r="48" spans="1:10">
      <c r="A48" s="617" t="str">
        <f t="shared" si="0"/>
        <v>Technique</v>
      </c>
      <c r="B48" s="630" t="s">
        <v>2483</v>
      </c>
      <c r="C48" s="630" t="s">
        <v>50</v>
      </c>
      <c r="D48" s="630" t="s">
        <v>50</v>
      </c>
      <c r="E48" s="630" t="s">
        <v>549</v>
      </c>
      <c r="F48" s="630" t="s">
        <v>1301</v>
      </c>
      <c r="G48" s="630" t="s">
        <v>550</v>
      </c>
      <c r="H48" s="621"/>
      <c r="I48" s="466"/>
      <c r="J48">
        <v>1</v>
      </c>
    </row>
    <row r="49" spans="1:10">
      <c r="A49" s="617" t="str">
        <f t="shared" si="0"/>
        <v>Copy from</v>
      </c>
      <c r="B49" s="630" t="s">
        <v>552</v>
      </c>
      <c r="C49" s="630" t="s">
        <v>98</v>
      </c>
      <c r="D49" s="630" t="s">
        <v>551</v>
      </c>
      <c r="E49" s="630" t="s">
        <v>553</v>
      </c>
      <c r="F49" s="630" t="s">
        <v>1302</v>
      </c>
      <c r="G49" s="630" t="s">
        <v>554</v>
      </c>
      <c r="H49" s="621"/>
      <c r="I49" s="466"/>
      <c r="J49">
        <v>1</v>
      </c>
    </row>
    <row r="50" spans="1:10">
      <c r="A50" s="617" t="str">
        <f t="shared" si="0"/>
        <v>Create here your projects sheets</v>
      </c>
      <c r="B50" s="630" t="s">
        <v>2544</v>
      </c>
      <c r="C50" s="630" t="s">
        <v>433</v>
      </c>
      <c r="D50" s="630" t="s">
        <v>1485</v>
      </c>
      <c r="E50" s="630" t="s">
        <v>1688</v>
      </c>
      <c r="F50" s="630" t="s">
        <v>1303</v>
      </c>
      <c r="G50" s="630" t="s">
        <v>2073</v>
      </c>
      <c r="H50" s="621"/>
      <c r="I50" s="466"/>
      <c r="J50">
        <v>1</v>
      </c>
    </row>
    <row r="51" spans="1:10">
      <c r="A51" s="617" t="str">
        <f t="shared" si="0"/>
        <v>Create here a results sheet</v>
      </c>
      <c r="B51" s="630" t="s">
        <v>2545</v>
      </c>
      <c r="C51" s="630" t="s">
        <v>445</v>
      </c>
      <c r="D51" s="630" t="s">
        <v>555</v>
      </c>
      <c r="E51" s="630" t="s">
        <v>1689</v>
      </c>
      <c r="F51" s="630" t="s">
        <v>1304</v>
      </c>
      <c r="G51" s="630" t="s">
        <v>2008</v>
      </c>
      <c r="H51" s="621"/>
      <c r="I51" s="466"/>
      <c r="J51">
        <v>1</v>
      </c>
    </row>
    <row r="52" spans="1:10">
      <c r="A52" s="617" t="str">
        <f t="shared" si="0"/>
        <v>Create here your comparison sheets</v>
      </c>
      <c r="B52" s="630" t="s">
        <v>2546</v>
      </c>
      <c r="C52" s="630" t="s">
        <v>446</v>
      </c>
      <c r="D52" s="630" t="s">
        <v>1486</v>
      </c>
      <c r="E52" s="630" t="s">
        <v>1690</v>
      </c>
      <c r="F52" s="630" t="s">
        <v>1305</v>
      </c>
      <c r="G52" s="630" t="s">
        <v>2009</v>
      </c>
      <c r="H52" s="621"/>
      <c r="I52" s="466"/>
      <c r="J52">
        <v>1</v>
      </c>
    </row>
    <row r="53" spans="1:10">
      <c r="A53" s="617" t="str">
        <f t="shared" si="0"/>
        <v>Load your own logo</v>
      </c>
      <c r="B53" s="630" t="s">
        <v>1578</v>
      </c>
      <c r="C53" s="630" t="s">
        <v>299</v>
      </c>
      <c r="D53" s="630" t="s">
        <v>556</v>
      </c>
      <c r="E53" s="630" t="s">
        <v>557</v>
      </c>
      <c r="F53" s="630" t="s">
        <v>1306</v>
      </c>
      <c r="G53" s="630" t="s">
        <v>2010</v>
      </c>
      <c r="H53" s="621"/>
      <c r="I53" s="466"/>
      <c r="J53">
        <v>1</v>
      </c>
    </row>
    <row r="54" spans="1:10">
      <c r="A54" s="617" t="str">
        <f t="shared" si="0"/>
        <v>ERROR : '</v>
      </c>
      <c r="B54" s="630" t="s">
        <v>559</v>
      </c>
      <c r="C54" s="630" t="s">
        <v>470</v>
      </c>
      <c r="D54" s="630" t="s">
        <v>558</v>
      </c>
      <c r="E54" s="630" t="s">
        <v>560</v>
      </c>
      <c r="F54" s="630" t="s">
        <v>1820</v>
      </c>
      <c r="G54" s="630" t="s">
        <v>561</v>
      </c>
      <c r="H54" s="621"/>
      <c r="I54" s="466"/>
      <c r="J54">
        <v>1</v>
      </c>
    </row>
    <row r="55" spans="1:10">
      <c r="A55" s="617" t="str">
        <f t="shared" si="0"/>
        <v>Leave empty to create an empty project</v>
      </c>
      <c r="B55" s="630" t="s">
        <v>1579</v>
      </c>
      <c r="C55" s="630" t="s">
        <v>99</v>
      </c>
      <c r="D55" s="630" t="s">
        <v>1487</v>
      </c>
      <c r="E55" s="630" t="s">
        <v>562</v>
      </c>
      <c r="F55" s="630" t="s">
        <v>1307</v>
      </c>
      <c r="G55" s="630" t="s">
        <v>2011</v>
      </c>
      <c r="H55" s="621"/>
      <c r="I55" s="466"/>
      <c r="J55">
        <v>1</v>
      </c>
    </row>
    <row r="56" spans="1:10">
      <c r="A56" s="617" t="str">
        <f t="shared" si="0"/>
        <v>Input</v>
      </c>
      <c r="B56" s="630" t="s">
        <v>563</v>
      </c>
      <c r="C56" s="630" t="s">
        <v>353</v>
      </c>
      <c r="D56" s="630" t="s">
        <v>1488</v>
      </c>
      <c r="E56" s="630" t="s">
        <v>564</v>
      </c>
      <c r="F56" s="630" t="s">
        <v>1821</v>
      </c>
      <c r="G56" s="630" t="s">
        <v>565</v>
      </c>
      <c r="H56" s="621"/>
      <c r="I56" s="466"/>
      <c r="J56">
        <v>1</v>
      </c>
    </row>
    <row r="57" spans="1:10">
      <c r="A57" s="617" t="str">
        <f t="shared" si="0"/>
        <v>Field activities data (USER SPECIFIED)</v>
      </c>
      <c r="B57" s="630" t="s">
        <v>1580</v>
      </c>
      <c r="C57" s="630" t="s">
        <v>432</v>
      </c>
      <c r="D57" s="630" t="s">
        <v>1489</v>
      </c>
      <c r="E57" s="630" t="s">
        <v>1691</v>
      </c>
      <c r="F57" s="630" t="s">
        <v>1308</v>
      </c>
      <c r="G57" s="630" t="s">
        <v>2074</v>
      </c>
      <c r="H57" s="621"/>
      <c r="I57" s="466"/>
      <c r="J57">
        <v>1</v>
      </c>
    </row>
    <row r="58" spans="1:10" ht="30">
      <c r="A58" s="617" t="str">
        <f t="shared" si="0"/>
        <v>Subproject sheets
Project sheets</v>
      </c>
      <c r="B58" s="630" t="s">
        <v>2547</v>
      </c>
      <c r="C58" s="630" t="s">
        <v>355</v>
      </c>
      <c r="D58" s="630" t="s">
        <v>1490</v>
      </c>
      <c r="E58" s="630" t="s">
        <v>1692</v>
      </c>
      <c r="F58" s="630" t="s">
        <v>1822</v>
      </c>
      <c r="G58" s="630" t="s">
        <v>2075</v>
      </c>
      <c r="H58" s="621"/>
      <c r="I58" s="466"/>
      <c r="J58">
        <v>1</v>
      </c>
    </row>
    <row r="59" spans="1:10">
      <c r="A59" s="617" t="str">
        <f t="shared" si="0"/>
        <v>Existing Subprojects</v>
      </c>
      <c r="B59" s="630" t="s">
        <v>1581</v>
      </c>
      <c r="C59" s="630" t="s">
        <v>422</v>
      </c>
      <c r="D59" s="630" t="s">
        <v>566</v>
      </c>
      <c r="E59" s="630" t="s">
        <v>567</v>
      </c>
      <c r="F59" s="630" t="s">
        <v>1309</v>
      </c>
      <c r="G59" s="630" t="s">
        <v>568</v>
      </c>
      <c r="H59" s="621"/>
      <c r="I59" s="466"/>
      <c r="J59">
        <v>1</v>
      </c>
    </row>
    <row r="60" spans="1:10">
      <c r="A60" s="617" t="str">
        <f t="shared" si="0"/>
        <v>Existing Projects</v>
      </c>
      <c r="B60" s="630" t="s">
        <v>1582</v>
      </c>
      <c r="C60" s="630" t="s">
        <v>423</v>
      </c>
      <c r="D60" s="630" t="s">
        <v>569</v>
      </c>
      <c r="E60" s="630" t="s">
        <v>570</v>
      </c>
      <c r="F60" s="630" t="s">
        <v>1310</v>
      </c>
      <c r="G60" s="630" t="s">
        <v>571</v>
      </c>
      <c r="H60" s="621"/>
      <c r="I60" s="466"/>
      <c r="J60">
        <v>1</v>
      </c>
    </row>
    <row r="61" spans="1:10">
      <c r="A61" s="617" t="str">
        <f t="shared" si="0"/>
        <v>Results sheets</v>
      </c>
      <c r="B61" s="630" t="s">
        <v>2548</v>
      </c>
      <c r="C61" s="630" t="s">
        <v>443</v>
      </c>
      <c r="D61" s="630" t="s">
        <v>572</v>
      </c>
      <c r="E61" s="630" t="s">
        <v>1693</v>
      </c>
      <c r="F61" s="630" t="s">
        <v>1823</v>
      </c>
      <c r="G61" s="630" t="s">
        <v>2012</v>
      </c>
      <c r="H61" s="621"/>
      <c r="I61" s="466"/>
      <c r="J61">
        <v>1</v>
      </c>
    </row>
    <row r="62" spans="1:10">
      <c r="A62" s="617" t="str">
        <f t="shared" si="0"/>
        <v>Comparison sheets</v>
      </c>
      <c r="B62" s="630" t="s">
        <v>2549</v>
      </c>
      <c r="C62" s="630" t="s">
        <v>444</v>
      </c>
      <c r="D62" s="630" t="s">
        <v>573</v>
      </c>
      <c r="E62" s="630" t="s">
        <v>574</v>
      </c>
      <c r="F62" s="630" t="s">
        <v>1824</v>
      </c>
      <c r="G62" s="630" t="s">
        <v>2076</v>
      </c>
      <c r="H62" s="621"/>
      <c r="I62" s="466"/>
      <c r="J62">
        <v>1</v>
      </c>
    </row>
    <row r="63" spans="1:10">
      <c r="A63" s="617" t="str">
        <f t="shared" si="0"/>
        <v>duplication +</v>
      </c>
      <c r="B63" s="630" t="s">
        <v>1583</v>
      </c>
      <c r="C63" s="630" t="s">
        <v>317</v>
      </c>
      <c r="D63" s="630" t="s">
        <v>1491</v>
      </c>
      <c r="E63" s="630" t="s">
        <v>575</v>
      </c>
      <c r="F63" s="630" t="s">
        <v>1311</v>
      </c>
      <c r="G63" s="630" t="s">
        <v>576</v>
      </c>
      <c r="H63" s="621"/>
      <c r="I63" s="466"/>
      <c r="J63">
        <v>1</v>
      </c>
    </row>
    <row r="64" spans="1:10">
      <c r="A64" s="617" t="str">
        <f t="shared" si="0"/>
        <v>Subproject name</v>
      </c>
      <c r="B64" s="630" t="s">
        <v>1584</v>
      </c>
      <c r="C64" s="630" t="s">
        <v>287</v>
      </c>
      <c r="D64" s="630" t="s">
        <v>577</v>
      </c>
      <c r="E64" s="630" t="s">
        <v>1694</v>
      </c>
      <c r="F64" s="630" t="s">
        <v>1825</v>
      </c>
      <c r="G64" s="630" t="s">
        <v>1914</v>
      </c>
      <c r="H64" s="621"/>
      <c r="I64" s="466"/>
      <c r="J64">
        <v>1</v>
      </c>
    </row>
    <row r="65" spans="1:10">
      <c r="A65" s="617" t="str">
        <f t="shared" si="0"/>
        <v>Date of calculation</v>
      </c>
      <c r="B65" s="630" t="s">
        <v>1585</v>
      </c>
      <c r="C65" s="630" t="s">
        <v>294</v>
      </c>
      <c r="D65" s="630" t="s">
        <v>578</v>
      </c>
      <c r="E65" s="630" t="s">
        <v>579</v>
      </c>
      <c r="F65" s="630" t="s">
        <v>2084</v>
      </c>
      <c r="G65" s="630" t="s">
        <v>580</v>
      </c>
      <c r="H65" s="621"/>
      <c r="I65" s="466"/>
      <c r="J65">
        <v>1</v>
      </c>
    </row>
    <row r="66" spans="1:10">
      <c r="A66" s="617" t="str">
        <f t="shared" si="0"/>
        <v>Author</v>
      </c>
      <c r="B66" s="630" t="s">
        <v>582</v>
      </c>
      <c r="C66" s="630" t="s">
        <v>438</v>
      </c>
      <c r="D66" s="630" t="s">
        <v>581</v>
      </c>
      <c r="E66" s="630" t="s">
        <v>582</v>
      </c>
      <c r="F66" s="630" t="s">
        <v>1312</v>
      </c>
      <c r="G66" s="630" t="s">
        <v>581</v>
      </c>
      <c r="H66" s="621"/>
      <c r="I66" s="466"/>
      <c r="J66">
        <v>1</v>
      </c>
    </row>
    <row r="67" spans="1:10">
      <c r="A67" s="617" t="str">
        <f t="shared" ref="A67:A130" si="1">INDEX(B67:I67,1,$A$1)</f>
        <v>Working days</v>
      </c>
      <c r="B67" s="630" t="s">
        <v>583</v>
      </c>
      <c r="C67" s="630" t="s">
        <v>46</v>
      </c>
      <c r="D67" s="630" t="s">
        <v>1492</v>
      </c>
      <c r="E67" s="630" t="s">
        <v>584</v>
      </c>
      <c r="F67" s="630" t="s">
        <v>1313</v>
      </c>
      <c r="G67" s="630" t="s">
        <v>585</v>
      </c>
      <c r="H67" s="621"/>
      <c r="I67" s="466"/>
      <c r="J67">
        <v>1</v>
      </c>
    </row>
    <row r="68" spans="1:10">
      <c r="A68" s="617" t="str">
        <f t="shared" si="1"/>
        <v>Workforce</v>
      </c>
      <c r="B68" s="630" t="s">
        <v>1586</v>
      </c>
      <c r="C68" s="630" t="s">
        <v>47</v>
      </c>
      <c r="D68" s="630" t="s">
        <v>1493</v>
      </c>
      <c r="E68" s="630" t="s">
        <v>586</v>
      </c>
      <c r="F68" s="630" t="s">
        <v>1826</v>
      </c>
      <c r="G68" s="630" t="s">
        <v>1915</v>
      </c>
      <c r="H68" s="621"/>
      <c r="I68" s="466"/>
      <c r="J68">
        <v>1</v>
      </c>
    </row>
    <row r="69" spans="1:10">
      <c r="A69" s="617" t="str">
        <f t="shared" si="1"/>
        <v>Project value</v>
      </c>
      <c r="B69" s="630" t="s">
        <v>587</v>
      </c>
      <c r="C69" s="630" t="s">
        <v>436</v>
      </c>
      <c r="D69" s="630" t="s">
        <v>1494</v>
      </c>
      <c r="E69" s="630" t="s">
        <v>1695</v>
      </c>
      <c r="F69" s="630" t="s">
        <v>1827</v>
      </c>
      <c r="G69" s="630" t="s">
        <v>588</v>
      </c>
      <c r="H69" s="621"/>
      <c r="I69" s="466"/>
      <c r="J69">
        <v>1</v>
      </c>
    </row>
    <row r="70" spans="1:10">
      <c r="A70" s="617" t="str">
        <f t="shared" si="1"/>
        <v>Country</v>
      </c>
      <c r="B70" s="630" t="s">
        <v>590</v>
      </c>
      <c r="C70" s="630" t="s">
        <v>61</v>
      </c>
      <c r="D70" s="630" t="s">
        <v>589</v>
      </c>
      <c r="E70" s="630" t="s">
        <v>591</v>
      </c>
      <c r="F70" s="630" t="s">
        <v>1314</v>
      </c>
      <c r="G70" s="630" t="s">
        <v>590</v>
      </c>
      <c r="H70" s="621"/>
      <c r="I70" s="466"/>
      <c r="J70">
        <v>1</v>
      </c>
    </row>
    <row r="71" spans="1:10">
      <c r="A71" s="617" t="str">
        <f t="shared" si="1"/>
        <v>Functional unit 1</v>
      </c>
      <c r="B71" s="630" t="s">
        <v>1587</v>
      </c>
      <c r="C71" s="630" t="s">
        <v>373</v>
      </c>
      <c r="D71" s="630" t="s">
        <v>592</v>
      </c>
      <c r="E71" s="630" t="s">
        <v>1696</v>
      </c>
      <c r="F71" s="630" t="s">
        <v>1315</v>
      </c>
      <c r="G71" s="630" t="s">
        <v>2050</v>
      </c>
      <c r="H71" s="621"/>
      <c r="I71" s="466"/>
      <c r="J71">
        <v>1</v>
      </c>
    </row>
    <row r="72" spans="1:10">
      <c r="A72" s="617" t="str">
        <f t="shared" si="1"/>
        <v>Functional unit 2</v>
      </c>
      <c r="B72" s="630" t="s">
        <v>1588</v>
      </c>
      <c r="C72" s="630" t="s">
        <v>374</v>
      </c>
      <c r="D72" s="630" t="s">
        <v>593</v>
      </c>
      <c r="E72" s="630" t="s">
        <v>1697</v>
      </c>
      <c r="F72" s="630" t="s">
        <v>1316</v>
      </c>
      <c r="G72" s="630" t="s">
        <v>2051</v>
      </c>
      <c r="H72" s="621"/>
      <c r="I72" s="466"/>
      <c r="J72">
        <v>1</v>
      </c>
    </row>
    <row r="73" spans="1:10">
      <c r="A73" s="617" t="str">
        <f t="shared" si="1"/>
        <v>Concrete / Slurry / Grout mix</v>
      </c>
      <c r="B73" s="630" t="s">
        <v>1589</v>
      </c>
      <c r="C73" s="630" t="s">
        <v>18</v>
      </c>
      <c r="D73" s="630" t="s">
        <v>1495</v>
      </c>
      <c r="E73" s="630" t="s">
        <v>1698</v>
      </c>
      <c r="F73" s="630" t="s">
        <v>2085</v>
      </c>
      <c r="G73" s="630" t="s">
        <v>1916</v>
      </c>
      <c r="H73" s="621"/>
      <c r="I73" s="466"/>
      <c r="J73">
        <v>1</v>
      </c>
    </row>
    <row r="74" spans="1:10">
      <c r="A74" s="617" t="str">
        <f t="shared" si="1"/>
        <v>Quantity</v>
      </c>
      <c r="B74" s="630" t="s">
        <v>595</v>
      </c>
      <c r="C74" s="630" t="s">
        <v>17</v>
      </c>
      <c r="D74" s="630" t="s">
        <v>594</v>
      </c>
      <c r="E74" s="630" t="s">
        <v>596</v>
      </c>
      <c r="F74" s="630" t="s">
        <v>1317</v>
      </c>
      <c r="G74" s="630" t="s">
        <v>597</v>
      </c>
      <c r="H74" s="621"/>
      <c r="I74" s="466"/>
      <c r="J74">
        <v>1</v>
      </c>
    </row>
    <row r="75" spans="1:10">
      <c r="A75" s="617" t="str">
        <f t="shared" si="1"/>
        <v>Cement</v>
      </c>
      <c r="B75" s="630" t="s">
        <v>599</v>
      </c>
      <c r="C75" s="630" t="s">
        <v>21</v>
      </c>
      <c r="D75" s="630" t="s">
        <v>598</v>
      </c>
      <c r="E75" s="630" t="s">
        <v>600</v>
      </c>
      <c r="F75" s="630" t="s">
        <v>600</v>
      </c>
      <c r="G75" s="630" t="s">
        <v>21</v>
      </c>
      <c r="H75" s="621"/>
      <c r="I75" s="466"/>
      <c r="J75">
        <v>1</v>
      </c>
    </row>
    <row r="76" spans="1:10">
      <c r="A76" s="617" t="str">
        <f t="shared" si="1"/>
        <v>Total cementitious content</v>
      </c>
      <c r="B76" s="630" t="s">
        <v>1590</v>
      </c>
      <c r="C76" s="630" t="s">
        <v>435</v>
      </c>
      <c r="D76" s="630" t="s">
        <v>1496</v>
      </c>
      <c r="E76" s="630" t="s">
        <v>1699</v>
      </c>
      <c r="F76" s="630" t="s">
        <v>1828</v>
      </c>
      <c r="G76" s="630" t="s">
        <v>601</v>
      </c>
      <c r="H76" s="621"/>
      <c r="I76" s="466"/>
      <c r="J76">
        <v>1</v>
      </c>
    </row>
    <row r="77" spans="1:10">
      <c r="A77" s="617" t="str">
        <f t="shared" si="1"/>
        <v>Secondary constituent</v>
      </c>
      <c r="B77" s="630" t="s">
        <v>2550</v>
      </c>
      <c r="C77" s="630" t="s">
        <v>25</v>
      </c>
      <c r="D77" s="630" t="s">
        <v>602</v>
      </c>
      <c r="E77" s="630" t="s">
        <v>1700</v>
      </c>
      <c r="F77" s="630" t="s">
        <v>1318</v>
      </c>
      <c r="G77" s="630" t="s">
        <v>1917</v>
      </c>
      <c r="H77" s="621"/>
      <c r="I77" s="466"/>
      <c r="J77">
        <v>1</v>
      </c>
    </row>
    <row r="78" spans="1:10">
      <c r="A78" s="617" t="str">
        <f t="shared" si="1"/>
        <v>Secondary constituent content</v>
      </c>
      <c r="B78" s="630" t="s">
        <v>1591</v>
      </c>
      <c r="C78" s="630" t="s">
        <v>24</v>
      </c>
      <c r="D78" s="630" t="s">
        <v>603</v>
      </c>
      <c r="E78" s="630" t="s">
        <v>1701</v>
      </c>
      <c r="F78" s="630" t="s">
        <v>1829</v>
      </c>
      <c r="G78" s="630" t="s">
        <v>1918</v>
      </c>
      <c r="H78" s="621"/>
      <c r="I78" s="466"/>
      <c r="J78">
        <v>1</v>
      </c>
    </row>
    <row r="79" spans="1:10">
      <c r="A79" s="617" t="str">
        <f t="shared" si="1"/>
        <v>Recycled content</v>
      </c>
      <c r="B79" s="630" t="s">
        <v>2551</v>
      </c>
      <c r="C79" s="630" t="s">
        <v>300</v>
      </c>
      <c r="D79" s="630" t="s">
        <v>604</v>
      </c>
      <c r="E79" s="630" t="s">
        <v>1702</v>
      </c>
      <c r="F79" s="630" t="s">
        <v>1830</v>
      </c>
      <c r="G79" s="630" t="s">
        <v>1919</v>
      </c>
      <c r="H79" s="621"/>
      <c r="I79" s="466"/>
      <c r="J79">
        <v>1</v>
      </c>
    </row>
    <row r="80" spans="1:10">
      <c r="A80" s="617" t="str">
        <f t="shared" si="1"/>
        <v>Simplified ratio</v>
      </c>
      <c r="B80" s="630" t="s">
        <v>1592</v>
      </c>
      <c r="C80" s="630" t="s">
        <v>66</v>
      </c>
      <c r="D80" s="630" t="s">
        <v>1497</v>
      </c>
      <c r="E80" s="630" t="s">
        <v>605</v>
      </c>
      <c r="F80" s="630" t="s">
        <v>1319</v>
      </c>
      <c r="G80" s="630" t="s">
        <v>1920</v>
      </c>
      <c r="H80" s="621"/>
      <c r="I80" s="466"/>
      <c r="J80">
        <v>1</v>
      </c>
    </row>
    <row r="81" spans="1:10">
      <c r="A81" s="617" t="str">
        <f t="shared" si="1"/>
        <v>Network electricity</v>
      </c>
      <c r="B81" s="630" t="s">
        <v>1593</v>
      </c>
      <c r="C81" s="630" t="s">
        <v>360</v>
      </c>
      <c r="D81" s="630" t="s">
        <v>1498</v>
      </c>
      <c r="E81" s="630" t="s">
        <v>1703</v>
      </c>
      <c r="F81" s="630" t="s">
        <v>1320</v>
      </c>
      <c r="G81" s="630" t="s">
        <v>1921</v>
      </c>
      <c r="H81" s="621"/>
      <c r="I81" s="466"/>
      <c r="J81">
        <v>1</v>
      </c>
    </row>
    <row r="82" spans="1:10">
      <c r="A82" s="617" t="str">
        <f t="shared" si="1"/>
        <v>Coming by</v>
      </c>
      <c r="B82" s="630" t="s">
        <v>2552</v>
      </c>
      <c r="C82" s="630" t="s">
        <v>54</v>
      </c>
      <c r="D82" s="630" t="s">
        <v>606</v>
      </c>
      <c r="E82" s="630" t="s">
        <v>1704</v>
      </c>
      <c r="F82" s="630" t="s">
        <v>1831</v>
      </c>
      <c r="G82" s="630" t="s">
        <v>1922</v>
      </c>
      <c r="H82" s="621"/>
      <c r="I82" s="466"/>
      <c r="J82">
        <v>1</v>
      </c>
    </row>
    <row r="83" spans="1:10">
      <c r="A83" s="617" t="str">
        <f t="shared" si="1"/>
        <v>Machines weight</v>
      </c>
      <c r="B83" s="630" t="s">
        <v>2553</v>
      </c>
      <c r="C83" s="630" t="s">
        <v>67</v>
      </c>
      <c r="D83" s="630" t="s">
        <v>1499</v>
      </c>
      <c r="E83" s="630" t="s">
        <v>1705</v>
      </c>
      <c r="F83" s="630" t="s">
        <v>1832</v>
      </c>
      <c r="G83" s="630" t="s">
        <v>1923</v>
      </c>
      <c r="H83" s="621"/>
      <c r="I83" s="466"/>
      <c r="J83">
        <v>1</v>
      </c>
    </row>
    <row r="84" spans="1:10">
      <c r="A84" s="617" t="str">
        <f t="shared" si="1"/>
        <v>Waste 1</v>
      </c>
      <c r="B84" s="630" t="s">
        <v>1594</v>
      </c>
      <c r="C84" s="630" t="s">
        <v>439</v>
      </c>
      <c r="D84" s="630" t="s">
        <v>607</v>
      </c>
      <c r="E84" s="630" t="s">
        <v>608</v>
      </c>
      <c r="F84" s="630" t="s">
        <v>1321</v>
      </c>
      <c r="G84" s="630" t="s">
        <v>609</v>
      </c>
      <c r="H84" s="621"/>
      <c r="I84" s="466"/>
      <c r="J84">
        <v>1</v>
      </c>
    </row>
    <row r="85" spans="1:10">
      <c r="A85" s="617" t="str">
        <f t="shared" si="1"/>
        <v>Waste 2</v>
      </c>
      <c r="B85" s="630" t="s">
        <v>1595</v>
      </c>
      <c r="C85" s="630" t="s">
        <v>440</v>
      </c>
      <c r="D85" s="630" t="s">
        <v>1500</v>
      </c>
      <c r="E85" s="630" t="s">
        <v>1706</v>
      </c>
      <c r="F85" s="630" t="s">
        <v>1322</v>
      </c>
      <c r="G85" s="630" t="s">
        <v>610</v>
      </c>
      <c r="H85" s="621"/>
      <c r="I85" s="466"/>
      <c r="J85">
        <v>1</v>
      </c>
    </row>
    <row r="86" spans="1:10">
      <c r="A86" s="617" t="str">
        <f t="shared" si="1"/>
        <v>Externaly calculated emissions</v>
      </c>
      <c r="B86" s="630" t="s">
        <v>2554</v>
      </c>
      <c r="C86" s="630" t="s">
        <v>313</v>
      </c>
      <c r="D86" s="630" t="s">
        <v>1501</v>
      </c>
      <c r="E86" s="630" t="s">
        <v>1707</v>
      </c>
      <c r="F86" s="630" t="s">
        <v>1323</v>
      </c>
      <c r="G86" s="630" t="s">
        <v>2013</v>
      </c>
      <c r="H86" s="621"/>
      <c r="I86" s="466"/>
      <c r="J86">
        <v>1</v>
      </c>
    </row>
    <row r="87" spans="1:10">
      <c r="A87" s="617" t="str">
        <f t="shared" si="1"/>
        <v>value</v>
      </c>
      <c r="B87" s="630" t="s">
        <v>614</v>
      </c>
      <c r="C87" s="630" t="s">
        <v>281</v>
      </c>
      <c r="D87" s="630" t="s">
        <v>613</v>
      </c>
      <c r="E87" s="630" t="s">
        <v>615</v>
      </c>
      <c r="F87" s="630" t="s">
        <v>1325</v>
      </c>
      <c r="G87" s="630" t="s">
        <v>616</v>
      </c>
      <c r="H87" s="621"/>
      <c r="I87" s="466"/>
      <c r="J87">
        <v>1</v>
      </c>
    </row>
    <row r="88" spans="1:10">
      <c r="A88" s="617" t="str">
        <f t="shared" si="1"/>
        <v>Default concrete</v>
      </c>
      <c r="B88" s="630" t="s">
        <v>1596</v>
      </c>
      <c r="C88" s="630" t="s">
        <v>448</v>
      </c>
      <c r="D88" s="630" t="s">
        <v>1503</v>
      </c>
      <c r="E88" s="630" t="s">
        <v>1709</v>
      </c>
      <c r="F88" s="630" t="s">
        <v>2086</v>
      </c>
      <c r="G88" s="630" t="s">
        <v>617</v>
      </c>
      <c r="H88" s="621"/>
      <c r="I88" s="466"/>
      <c r="J88">
        <v>1</v>
      </c>
    </row>
    <row r="89" spans="1:10">
      <c r="A89" s="617" t="str">
        <f t="shared" si="1"/>
        <v>Default value</v>
      </c>
      <c r="B89" s="630" t="s">
        <v>1597</v>
      </c>
      <c r="C89" s="630" t="s">
        <v>22</v>
      </c>
      <c r="D89" s="630" t="s">
        <v>1504</v>
      </c>
      <c r="E89" s="630" t="s">
        <v>618</v>
      </c>
      <c r="F89" s="630" t="s">
        <v>1326</v>
      </c>
      <c r="G89" s="630" t="s">
        <v>1924</v>
      </c>
      <c r="H89" s="621"/>
      <c r="I89" s="466"/>
      <c r="J89">
        <v>1</v>
      </c>
    </row>
    <row r="90" spans="1:10">
      <c r="A90" s="617" t="str">
        <f t="shared" si="1"/>
        <v>do not apply</v>
      </c>
      <c r="B90" s="630" t="s">
        <v>2555</v>
      </c>
      <c r="C90" s="630" t="s">
        <v>471</v>
      </c>
      <c r="D90" s="630" t="s">
        <v>1505</v>
      </c>
      <c r="E90" s="630" t="s">
        <v>1710</v>
      </c>
      <c r="F90" s="630" t="s">
        <v>1833</v>
      </c>
      <c r="G90" s="630" t="s">
        <v>619</v>
      </c>
      <c r="H90" s="621"/>
      <c r="I90" s="466"/>
      <c r="J90">
        <v>1</v>
      </c>
    </row>
    <row r="91" spans="1:10">
      <c r="A91" s="617" t="str">
        <f t="shared" si="1"/>
        <v>Default</v>
      </c>
      <c r="B91" s="630" t="s">
        <v>1598</v>
      </c>
      <c r="C91" s="630" t="s">
        <v>398</v>
      </c>
      <c r="D91" s="630" t="s">
        <v>620</v>
      </c>
      <c r="E91" s="630" t="s">
        <v>621</v>
      </c>
      <c r="F91" s="630" t="s">
        <v>1834</v>
      </c>
      <c r="G91" s="630" t="s">
        <v>1924</v>
      </c>
      <c r="H91" s="621"/>
      <c r="I91" s="466"/>
      <c r="J91">
        <v>1</v>
      </c>
    </row>
    <row r="92" spans="1:10">
      <c r="A92" s="617" t="str">
        <f t="shared" si="1"/>
        <v>OFF</v>
      </c>
      <c r="B92" s="630" t="s">
        <v>1599</v>
      </c>
      <c r="C92" s="630" t="s">
        <v>472</v>
      </c>
      <c r="D92" s="630" t="s">
        <v>472</v>
      </c>
      <c r="E92" s="630" t="s">
        <v>622</v>
      </c>
      <c r="F92" s="630" t="s">
        <v>472</v>
      </c>
      <c r="G92" s="630" t="s">
        <v>472</v>
      </c>
      <c r="H92" s="621"/>
      <c r="I92" s="466"/>
      <c r="J92">
        <v>1</v>
      </c>
    </row>
    <row r="93" spans="1:10">
      <c r="A93" s="617" t="str">
        <f t="shared" si="1"/>
        <v>Number of roundtrips</v>
      </c>
      <c r="B93" s="630" t="s">
        <v>2556</v>
      </c>
      <c r="C93" s="630" t="s">
        <v>331</v>
      </c>
      <c r="D93" s="630" t="s">
        <v>623</v>
      </c>
      <c r="E93" s="630" t="s">
        <v>1711</v>
      </c>
      <c r="F93" s="630" t="s">
        <v>1835</v>
      </c>
      <c r="G93" s="630" t="s">
        <v>2014</v>
      </c>
      <c r="H93" s="621"/>
      <c r="I93" s="466"/>
      <c r="J93">
        <v>1</v>
      </c>
    </row>
    <row r="94" spans="1:10">
      <c r="A94" s="617" t="str">
        <f t="shared" si="1"/>
        <v>Full-time equivalent</v>
      </c>
      <c r="B94" s="630" t="s">
        <v>1600</v>
      </c>
      <c r="C94" s="630" t="s">
        <v>345</v>
      </c>
      <c r="D94" s="630" t="s">
        <v>624</v>
      </c>
      <c r="E94" s="630" t="s">
        <v>625</v>
      </c>
      <c r="F94" s="630" t="s">
        <v>1327</v>
      </c>
      <c r="G94" s="630" t="s">
        <v>2052</v>
      </c>
      <c r="H94" s="621"/>
      <c r="I94" s="466"/>
      <c r="J94">
        <v>1</v>
      </c>
    </row>
    <row r="95" spans="1:10">
      <c r="A95" s="617" t="str">
        <f t="shared" si="1"/>
        <v>€</v>
      </c>
      <c r="B95" s="630" t="s">
        <v>437</v>
      </c>
      <c r="C95" s="630" t="s">
        <v>437</v>
      </c>
      <c r="D95" s="630" t="s">
        <v>437</v>
      </c>
      <c r="E95" s="630" t="s">
        <v>437</v>
      </c>
      <c r="F95" s="630" t="s">
        <v>437</v>
      </c>
      <c r="G95" s="630" t="s">
        <v>437</v>
      </c>
      <c r="H95" s="621"/>
      <c r="I95" s="466"/>
      <c r="J95">
        <v>1</v>
      </c>
    </row>
    <row r="96" spans="1:10">
      <c r="A96" s="617" t="str">
        <f t="shared" si="1"/>
        <v>unit</v>
      </c>
      <c r="B96" s="630" t="s">
        <v>627</v>
      </c>
      <c r="C96" s="630" t="s">
        <v>83</v>
      </c>
      <c r="D96" s="630" t="s">
        <v>626</v>
      </c>
      <c r="E96" s="630" t="s">
        <v>628</v>
      </c>
      <c r="F96" s="630" t="s">
        <v>1328</v>
      </c>
      <c r="G96" s="630" t="s">
        <v>629</v>
      </c>
      <c r="H96" s="621"/>
      <c r="I96" s="466"/>
      <c r="J96">
        <v>1</v>
      </c>
    </row>
    <row r="97" spans="1:10">
      <c r="A97" s="617" t="str">
        <f t="shared" si="1"/>
        <v>Real Value</v>
      </c>
      <c r="B97" s="630" t="s">
        <v>631</v>
      </c>
      <c r="C97" s="630" t="s">
        <v>23</v>
      </c>
      <c r="D97" s="630" t="s">
        <v>630</v>
      </c>
      <c r="E97" s="630" t="s">
        <v>632</v>
      </c>
      <c r="F97" s="630" t="s">
        <v>1836</v>
      </c>
      <c r="G97" s="630" t="s">
        <v>2053</v>
      </c>
      <c r="H97" s="621"/>
      <c r="I97" s="466"/>
      <c r="J97">
        <v>1</v>
      </c>
    </row>
    <row r="98" spans="1:10">
      <c r="A98" s="617" t="str">
        <f t="shared" si="1"/>
        <v>kWh</v>
      </c>
      <c r="B98" s="630" t="s">
        <v>45</v>
      </c>
      <c r="C98" s="630" t="s">
        <v>45</v>
      </c>
      <c r="D98" s="630" t="s">
        <v>45</v>
      </c>
      <c r="E98" s="630" t="s">
        <v>45</v>
      </c>
      <c r="F98" s="630" t="s">
        <v>45</v>
      </c>
      <c r="G98" s="630" t="s">
        <v>45</v>
      </c>
      <c r="H98" s="621"/>
      <c r="I98" s="466"/>
      <c r="J98">
        <v>1</v>
      </c>
    </row>
    <row r="99" spans="1:10">
      <c r="A99" s="617" t="str">
        <f t="shared" si="1"/>
        <v>roundtrips</v>
      </c>
      <c r="B99" s="630" t="s">
        <v>2557</v>
      </c>
      <c r="C99" s="630" t="s">
        <v>307</v>
      </c>
      <c r="D99" s="630" t="s">
        <v>633</v>
      </c>
      <c r="E99" s="630" t="s">
        <v>1712</v>
      </c>
      <c r="F99" s="630" t="s">
        <v>1329</v>
      </c>
      <c r="G99" s="630" t="s">
        <v>1925</v>
      </c>
      <c r="H99" s="621"/>
      <c r="I99" s="466"/>
      <c r="J99">
        <v>1</v>
      </c>
    </row>
    <row r="100" spans="1:10">
      <c r="A100" s="617" t="str">
        <f t="shared" si="1"/>
        <v>every X day(s)</v>
      </c>
      <c r="B100" s="630" t="s">
        <v>2558</v>
      </c>
      <c r="C100" s="630" t="s">
        <v>332</v>
      </c>
      <c r="D100" s="630" t="s">
        <v>1506</v>
      </c>
      <c r="E100" s="630" t="s">
        <v>1713</v>
      </c>
      <c r="F100" s="630" t="s">
        <v>1330</v>
      </c>
      <c r="G100" s="630" t="s">
        <v>634</v>
      </c>
      <c r="H100" s="621"/>
      <c r="I100" s="466"/>
      <c r="J100">
        <v>1</v>
      </c>
    </row>
    <row r="101" spans="1:10">
      <c r="A101" s="617" t="str">
        <f t="shared" si="1"/>
        <v>t</v>
      </c>
      <c r="B101" s="630" t="s">
        <v>19</v>
      </c>
      <c r="C101" s="630" t="s">
        <v>19</v>
      </c>
      <c r="D101" s="630" t="s">
        <v>19</v>
      </c>
      <c r="E101" s="630" t="s">
        <v>19</v>
      </c>
      <c r="F101" s="630" t="s">
        <v>19</v>
      </c>
      <c r="G101" s="630" t="s">
        <v>19</v>
      </c>
      <c r="H101" s="621"/>
      <c r="I101" s="466"/>
      <c r="J101">
        <v>1</v>
      </c>
    </row>
    <row r="102" spans="1:10">
      <c r="A102" s="617" t="str">
        <f t="shared" si="1"/>
        <v>kgCO2e</v>
      </c>
      <c r="B102" s="630" t="s">
        <v>59</v>
      </c>
      <c r="C102" s="630" t="s">
        <v>59</v>
      </c>
      <c r="D102" s="630" t="s">
        <v>59</v>
      </c>
      <c r="E102" s="630" t="s">
        <v>59</v>
      </c>
      <c r="F102" s="630" t="s">
        <v>59</v>
      </c>
      <c r="G102" s="630" t="s">
        <v>59</v>
      </c>
      <c r="H102" s="621"/>
      <c r="I102" s="466"/>
      <c r="J102">
        <v>1</v>
      </c>
    </row>
    <row r="103" spans="1:10">
      <c r="A103" s="617" t="str">
        <f t="shared" si="1"/>
        <v>Sources</v>
      </c>
      <c r="B103" s="630" t="s">
        <v>635</v>
      </c>
      <c r="C103" s="630" t="s">
        <v>73</v>
      </c>
      <c r="D103" s="630" t="s">
        <v>73</v>
      </c>
      <c r="E103" s="630" t="s">
        <v>636</v>
      </c>
      <c r="F103" s="630" t="s">
        <v>1331</v>
      </c>
      <c r="G103" s="630" t="s">
        <v>637</v>
      </c>
      <c r="H103" s="621"/>
      <c r="I103" s="466"/>
      <c r="J103">
        <v>1</v>
      </c>
    </row>
    <row r="104" spans="1:10">
      <c r="A104" s="617" t="str">
        <f t="shared" si="1"/>
        <v>Materials</v>
      </c>
      <c r="B104" s="630" t="s">
        <v>2559</v>
      </c>
      <c r="C104" s="630" t="s">
        <v>3</v>
      </c>
      <c r="D104" s="630" t="s">
        <v>1507</v>
      </c>
      <c r="E104" s="630" t="s">
        <v>638</v>
      </c>
      <c r="F104" s="630" t="s">
        <v>1332</v>
      </c>
      <c r="G104" s="630" t="s">
        <v>1935</v>
      </c>
      <c r="H104" s="621"/>
      <c r="I104" s="466"/>
      <c r="J104">
        <v>1</v>
      </c>
    </row>
    <row r="105" spans="1:10">
      <c r="A105" s="617" t="str">
        <f t="shared" si="1"/>
        <v>Energy</v>
      </c>
      <c r="B105" s="630" t="s">
        <v>640</v>
      </c>
      <c r="C105" s="630" t="s">
        <v>43</v>
      </c>
      <c r="D105" s="630" t="s">
        <v>639</v>
      </c>
      <c r="E105" s="630" t="s">
        <v>641</v>
      </c>
      <c r="F105" s="630" t="s">
        <v>1333</v>
      </c>
      <c r="G105" s="630" t="s">
        <v>2054</v>
      </c>
      <c r="H105" s="621"/>
      <c r="I105" s="466"/>
      <c r="J105">
        <v>1</v>
      </c>
    </row>
    <row r="106" spans="1:10">
      <c r="A106" s="617" t="str">
        <f t="shared" si="1"/>
        <v>Freight</v>
      </c>
      <c r="B106" s="630" t="s">
        <v>642</v>
      </c>
      <c r="C106" s="630" t="s">
        <v>55</v>
      </c>
      <c r="D106" s="630" t="s">
        <v>1508</v>
      </c>
      <c r="E106" s="630" t="s">
        <v>643</v>
      </c>
      <c r="F106" s="630" t="s">
        <v>1334</v>
      </c>
      <c r="G106" s="630" t="s">
        <v>644</v>
      </c>
      <c r="H106" s="621"/>
      <c r="I106" s="466"/>
      <c r="J106">
        <v>1</v>
      </c>
    </row>
    <row r="107" spans="1:10">
      <c r="A107" s="617" t="str">
        <f t="shared" si="1"/>
        <v>Mob/demob</v>
      </c>
      <c r="B107" s="630" t="s">
        <v>2560</v>
      </c>
      <c r="C107" s="630" t="s">
        <v>71</v>
      </c>
      <c r="D107" s="630" t="s">
        <v>1509</v>
      </c>
      <c r="E107" s="630" t="s">
        <v>1714</v>
      </c>
      <c r="F107" s="630" t="s">
        <v>2087</v>
      </c>
      <c r="G107" s="630" t="s">
        <v>2077</v>
      </c>
      <c r="H107" s="621"/>
      <c r="I107" s="466"/>
      <c r="J107">
        <v>1</v>
      </c>
    </row>
    <row r="108" spans="1:10">
      <c r="A108" s="617" t="str">
        <f t="shared" si="1"/>
        <v>People's transportation</v>
      </c>
      <c r="B108" s="630" t="s">
        <v>2561</v>
      </c>
      <c r="C108" s="630" t="s">
        <v>110</v>
      </c>
      <c r="D108" s="630" t="s">
        <v>1510</v>
      </c>
      <c r="E108" s="630" t="s">
        <v>1715</v>
      </c>
      <c r="F108" s="630" t="s">
        <v>1837</v>
      </c>
      <c r="G108" s="630" t="s">
        <v>1926</v>
      </c>
      <c r="H108" s="621"/>
      <c r="I108" s="466"/>
      <c r="J108">
        <v>1</v>
      </c>
    </row>
    <row r="109" spans="1:10">
      <c r="A109" s="617" t="str">
        <f t="shared" si="1"/>
        <v>Assets</v>
      </c>
      <c r="B109" s="630" t="s">
        <v>1601</v>
      </c>
      <c r="C109" s="630" t="s">
        <v>69</v>
      </c>
      <c r="D109" s="630" t="s">
        <v>1511</v>
      </c>
      <c r="E109" s="630" t="s">
        <v>1716</v>
      </c>
      <c r="F109" s="630" t="s">
        <v>1838</v>
      </c>
      <c r="G109" s="630" t="s">
        <v>1927</v>
      </c>
      <c r="H109" s="621"/>
      <c r="I109" s="466"/>
      <c r="J109">
        <v>1</v>
      </c>
    </row>
    <row r="110" spans="1:10">
      <c r="A110" s="617" t="str">
        <f t="shared" si="1"/>
        <v>Waste</v>
      </c>
      <c r="B110" s="630" t="s">
        <v>2562</v>
      </c>
      <c r="C110" s="630" t="s">
        <v>72</v>
      </c>
      <c r="D110" s="630" t="s">
        <v>645</v>
      </c>
      <c r="E110" s="630" t="s">
        <v>646</v>
      </c>
      <c r="F110" s="630" t="s">
        <v>2088</v>
      </c>
      <c r="G110" s="630" t="s">
        <v>2055</v>
      </c>
      <c r="H110" s="621"/>
      <c r="I110" s="466"/>
      <c r="J110">
        <v>1</v>
      </c>
    </row>
    <row r="111" spans="1:10">
      <c r="A111" s="617" t="str">
        <f t="shared" si="1"/>
        <v>-reused-</v>
      </c>
      <c r="B111" s="630" t="s">
        <v>2563</v>
      </c>
      <c r="C111" s="630" t="s">
        <v>465</v>
      </c>
      <c r="D111" s="630" t="s">
        <v>647</v>
      </c>
      <c r="E111" s="630" t="s">
        <v>1717</v>
      </c>
      <c r="F111" s="630" t="s">
        <v>1335</v>
      </c>
      <c r="G111" s="630" t="s">
        <v>648</v>
      </c>
      <c r="H111" s="621"/>
      <c r="I111" s="466"/>
      <c r="J111">
        <v>1</v>
      </c>
    </row>
    <row r="112" spans="1:10">
      <c r="A112" s="617" t="str">
        <f t="shared" si="1"/>
        <v>Distance</v>
      </c>
      <c r="B112" s="630" t="s">
        <v>2564</v>
      </c>
      <c r="C112" s="630" t="s">
        <v>62</v>
      </c>
      <c r="D112" s="630" t="s">
        <v>62</v>
      </c>
      <c r="E112" s="630" t="s">
        <v>649</v>
      </c>
      <c r="F112" s="630" t="s">
        <v>1336</v>
      </c>
      <c r="G112" s="630" t="s">
        <v>650</v>
      </c>
      <c r="H112" s="621"/>
      <c r="I112" s="466"/>
      <c r="J112">
        <v>1</v>
      </c>
    </row>
    <row r="113" spans="1:10">
      <c r="A113" s="617" t="str">
        <f t="shared" si="1"/>
        <v>Average distance</v>
      </c>
      <c r="B113" s="630" t="s">
        <v>2565</v>
      </c>
      <c r="C113" s="630" t="s">
        <v>2204</v>
      </c>
      <c r="D113" s="630" t="s">
        <v>2205</v>
      </c>
      <c r="E113" s="630" t="s">
        <v>2206</v>
      </c>
      <c r="F113" s="630" t="s">
        <v>2207</v>
      </c>
      <c r="G113" s="630" t="s">
        <v>2208</v>
      </c>
      <c r="H113" s="621"/>
      <c r="I113" s="466"/>
      <c r="J113">
        <v>0</v>
      </c>
    </row>
    <row r="114" spans="1:10">
      <c r="A114" s="617" t="str">
        <f t="shared" si="1"/>
        <v xml:space="preserve"> one way</v>
      </c>
      <c r="B114" s="630" t="s">
        <v>2566</v>
      </c>
      <c r="C114" s="630" t="s">
        <v>2198</v>
      </c>
      <c r="D114" s="630" t="s">
        <v>2199</v>
      </c>
      <c r="E114" s="630" t="s">
        <v>2200</v>
      </c>
      <c r="F114" s="630" t="s">
        <v>2201</v>
      </c>
      <c r="G114" s="630" t="s">
        <v>2202</v>
      </c>
      <c r="H114" s="621"/>
      <c r="I114" s="466"/>
      <c r="J114">
        <v>0</v>
      </c>
    </row>
    <row r="115" spans="1:10">
      <c r="A115" s="617" t="str">
        <f t="shared" si="1"/>
        <v>tCO2e</v>
      </c>
      <c r="B115" s="630" t="s">
        <v>74</v>
      </c>
      <c r="C115" s="630" t="s">
        <v>74</v>
      </c>
      <c r="D115" s="630" t="s">
        <v>74</v>
      </c>
      <c r="E115" s="630" t="s">
        <v>74</v>
      </c>
      <c r="F115" s="630" t="s">
        <v>74</v>
      </c>
      <c r="G115" s="630" t="s">
        <v>74</v>
      </c>
      <c r="H115" s="621"/>
      <c r="I115" s="466"/>
      <c r="J115">
        <v>1</v>
      </c>
    </row>
    <row r="116" spans="1:10">
      <c r="A116" s="617" t="str">
        <f t="shared" si="1"/>
        <v>Lifetime</v>
      </c>
      <c r="B116" s="630" t="s">
        <v>2148</v>
      </c>
      <c r="C116" s="630" t="s">
        <v>2147</v>
      </c>
      <c r="D116" s="630" t="s">
        <v>2146</v>
      </c>
      <c r="E116" s="630" t="s">
        <v>2145</v>
      </c>
      <c r="F116" s="630" t="s">
        <v>2144</v>
      </c>
      <c r="G116" s="630" t="s">
        <v>2143</v>
      </c>
      <c r="H116" s="621"/>
      <c r="I116" s="466"/>
      <c r="J116">
        <v>0</v>
      </c>
    </row>
    <row r="117" spans="1:10">
      <c r="A117" s="617" t="str">
        <f t="shared" si="1"/>
        <v>made on site</v>
      </c>
      <c r="B117" s="630" t="s">
        <v>1602</v>
      </c>
      <c r="C117" s="630" t="s">
        <v>460</v>
      </c>
      <c r="D117" s="630" t="s">
        <v>1512</v>
      </c>
      <c r="E117" s="630" t="s">
        <v>1718</v>
      </c>
      <c r="F117" s="630" t="s">
        <v>1839</v>
      </c>
      <c r="G117" s="630" t="s">
        <v>1928</v>
      </c>
      <c r="H117" s="621"/>
      <c r="I117" s="466"/>
      <c r="J117">
        <v>1</v>
      </c>
    </row>
    <row r="118" spans="1:10">
      <c r="A118" s="617" t="str">
        <f t="shared" si="1"/>
        <v>Other</v>
      </c>
      <c r="B118" s="630" t="s">
        <v>2567</v>
      </c>
      <c r="C118" s="630" t="s">
        <v>315</v>
      </c>
      <c r="D118" s="630" t="s">
        <v>651</v>
      </c>
      <c r="E118" s="630" t="s">
        <v>652</v>
      </c>
      <c r="F118" s="630" t="s">
        <v>1337</v>
      </c>
      <c r="G118" s="630" t="s">
        <v>2015</v>
      </c>
      <c r="H118" s="621"/>
      <c r="I118" s="466"/>
      <c r="J118">
        <v>1</v>
      </c>
    </row>
    <row r="119" spans="1:10">
      <c r="A119" s="617" t="str">
        <f t="shared" si="1"/>
        <v>km</v>
      </c>
      <c r="B119" s="630" t="s">
        <v>63</v>
      </c>
      <c r="C119" s="630" t="s">
        <v>63</v>
      </c>
      <c r="D119" s="630" t="s">
        <v>63</v>
      </c>
      <c r="E119" s="630" t="s">
        <v>653</v>
      </c>
      <c r="F119" s="630" t="s">
        <v>63</v>
      </c>
      <c r="G119" s="630" t="s">
        <v>63</v>
      </c>
      <c r="H119" s="621"/>
      <c r="I119" s="466"/>
      <c r="J119">
        <v>1</v>
      </c>
    </row>
    <row r="120" spans="1:10">
      <c r="A120" s="617" t="str">
        <f t="shared" si="1"/>
        <v>Type</v>
      </c>
      <c r="B120" s="630" t="s">
        <v>654</v>
      </c>
      <c r="C120" s="630" t="s">
        <v>56</v>
      </c>
      <c r="D120" s="630" t="s">
        <v>56</v>
      </c>
      <c r="E120" s="630" t="s">
        <v>655</v>
      </c>
      <c r="F120" s="630" t="s">
        <v>655</v>
      </c>
      <c r="G120" s="630" t="s">
        <v>56</v>
      </c>
      <c r="H120" s="621"/>
      <c r="I120" s="466"/>
      <c r="J120">
        <v>1</v>
      </c>
    </row>
    <row r="121" spans="1:10">
      <c r="A121" s="617" t="str">
        <f t="shared" si="1"/>
        <v>years</v>
      </c>
      <c r="B121" s="630" t="s">
        <v>1603</v>
      </c>
      <c r="C121" s="630" t="s">
        <v>68</v>
      </c>
      <c r="D121" s="630" t="s">
        <v>656</v>
      </c>
      <c r="E121" s="630" t="s">
        <v>657</v>
      </c>
      <c r="F121" s="630" t="s">
        <v>1338</v>
      </c>
      <c r="G121" s="630" t="s">
        <v>658</v>
      </c>
      <c r="H121" s="621"/>
      <c r="I121" s="466"/>
      <c r="J121">
        <v>1</v>
      </c>
    </row>
    <row r="122" spans="1:10">
      <c r="A122" s="617" t="str">
        <f>INDEX(B122:I122,1,$A$1)</f>
        <v>year</v>
      </c>
      <c r="B122" s="630" t="s">
        <v>2149</v>
      </c>
      <c r="C122" s="630" t="s">
        <v>2150</v>
      </c>
      <c r="D122" s="630" t="s">
        <v>2151</v>
      </c>
      <c r="E122" s="630" t="s">
        <v>2153</v>
      </c>
      <c r="F122" s="630" t="s">
        <v>2152</v>
      </c>
      <c r="G122" s="630" t="s">
        <v>658</v>
      </c>
      <c r="H122" s="621"/>
      <c r="I122" s="466"/>
      <c r="J122">
        <v>0</v>
      </c>
    </row>
    <row r="123" spans="1:10" ht="30">
      <c r="A123" s="617" t="str">
        <f t="shared" si="1"/>
        <v xml:space="preserve">Primary emission sources : 
</v>
      </c>
      <c r="B123" s="630" t="s">
        <v>660</v>
      </c>
      <c r="C123" s="630" t="s">
        <v>473</v>
      </c>
      <c r="D123" s="630" t="s">
        <v>659</v>
      </c>
      <c r="E123" s="630" t="s">
        <v>1719</v>
      </c>
      <c r="F123" s="630" t="s">
        <v>1339</v>
      </c>
      <c r="G123" s="630" t="s">
        <v>661</v>
      </c>
      <c r="H123" s="621"/>
      <c r="I123" s="466"/>
      <c r="J123">
        <v>1</v>
      </c>
    </row>
    <row r="124" spans="1:10" ht="30">
      <c r="A124" s="617" t="str">
        <f t="shared" si="1"/>
        <v>Please enter activities data relative to the primary emission sources</v>
      </c>
      <c r="B124" s="630" t="s">
        <v>2568</v>
      </c>
      <c r="C124" s="630" t="s">
        <v>474</v>
      </c>
      <c r="D124" s="630" t="s">
        <v>1513</v>
      </c>
      <c r="E124" s="630" t="s">
        <v>662</v>
      </c>
      <c r="F124" s="630" t="s">
        <v>2089</v>
      </c>
      <c r="G124" s="630" t="s">
        <v>1929</v>
      </c>
      <c r="H124" s="621"/>
      <c r="I124" s="466"/>
      <c r="J124">
        <v>1</v>
      </c>
    </row>
    <row r="125" spans="1:10">
      <c r="A125" s="617" t="str">
        <f t="shared" si="1"/>
        <v>TOTAL GHG EMISSIONS</v>
      </c>
      <c r="B125" s="630" t="s">
        <v>1604</v>
      </c>
      <c r="C125" s="630" t="s">
        <v>333</v>
      </c>
      <c r="D125" s="630" t="s">
        <v>663</v>
      </c>
      <c r="E125" s="630" t="s">
        <v>664</v>
      </c>
      <c r="F125" s="630" t="s">
        <v>1340</v>
      </c>
      <c r="G125" s="630" t="s">
        <v>665</v>
      </c>
      <c r="H125" s="621"/>
      <c r="I125" s="466"/>
      <c r="J125">
        <v>1</v>
      </c>
    </row>
    <row r="126" spans="1:10">
      <c r="A126" s="617" t="str">
        <f t="shared" si="1"/>
        <v>Use time</v>
      </c>
      <c r="B126" s="630" t="s">
        <v>2569</v>
      </c>
      <c r="C126" s="630" t="s">
        <v>326</v>
      </c>
      <c r="D126" s="630" t="s">
        <v>1514</v>
      </c>
      <c r="E126" s="630" t="s">
        <v>1720</v>
      </c>
      <c r="F126" s="630" t="s">
        <v>1341</v>
      </c>
      <c r="G126" s="630" t="s">
        <v>1930</v>
      </c>
      <c r="H126" s="621"/>
      <c r="I126" s="466"/>
      <c r="J126">
        <v>1</v>
      </c>
    </row>
    <row r="127" spans="1:10">
      <c r="A127" s="617" t="str">
        <f t="shared" si="1"/>
        <v>Load</v>
      </c>
      <c r="B127" s="630" t="s">
        <v>1605</v>
      </c>
      <c r="C127" s="630" t="s">
        <v>57</v>
      </c>
      <c r="D127" s="630" t="s">
        <v>1515</v>
      </c>
      <c r="E127" s="630" t="s">
        <v>643</v>
      </c>
      <c r="F127" s="630" t="s">
        <v>1342</v>
      </c>
      <c r="G127" s="630" t="s">
        <v>1931</v>
      </c>
      <c r="H127" s="621"/>
      <c r="I127" s="466"/>
      <c r="J127">
        <v>1</v>
      </c>
    </row>
    <row r="128" spans="1:10">
      <c r="A128" s="617" t="str">
        <f t="shared" si="1"/>
        <v>empty-return rate</v>
      </c>
      <c r="B128" s="630" t="s">
        <v>2570</v>
      </c>
      <c r="C128" s="630" t="s">
        <v>60</v>
      </c>
      <c r="D128" s="630" t="s">
        <v>1516</v>
      </c>
      <c r="E128" s="630" t="s">
        <v>1721</v>
      </c>
      <c r="F128" s="630" t="s">
        <v>2090</v>
      </c>
      <c r="G128" s="630" t="s">
        <v>1932</v>
      </c>
      <c r="H128" s="621"/>
      <c r="I128" s="466"/>
      <c r="J128">
        <v>1</v>
      </c>
    </row>
    <row r="129" spans="1:10">
      <c r="A129" s="617" t="str">
        <f t="shared" si="1"/>
        <v>days</v>
      </c>
      <c r="B129" s="630" t="s">
        <v>1606</v>
      </c>
      <c r="C129" s="630" t="s">
        <v>327</v>
      </c>
      <c r="D129" s="630" t="s">
        <v>1517</v>
      </c>
      <c r="E129" s="630" t="s">
        <v>666</v>
      </c>
      <c r="F129" s="630" t="s">
        <v>1840</v>
      </c>
      <c r="G129" s="630" t="s">
        <v>667</v>
      </c>
      <c r="H129" s="621"/>
      <c r="I129" s="466"/>
      <c r="J129">
        <v>1</v>
      </c>
    </row>
    <row r="130" spans="1:10">
      <c r="A130" s="617" t="str">
        <f t="shared" si="1"/>
        <v>travels</v>
      </c>
      <c r="B130" s="630" t="s">
        <v>668</v>
      </c>
      <c r="C130" s="630" t="s">
        <v>58</v>
      </c>
      <c r="D130" s="630" t="s">
        <v>1518</v>
      </c>
      <c r="E130" s="630" t="s">
        <v>669</v>
      </c>
      <c r="F130" s="630" t="s">
        <v>1841</v>
      </c>
      <c r="G130" s="630" t="s">
        <v>1933</v>
      </c>
      <c r="H130" s="621"/>
      <c r="I130" s="466"/>
      <c r="J130">
        <v>1</v>
      </c>
    </row>
    <row r="131" spans="1:10">
      <c r="A131" s="617" t="str">
        <f t="shared" ref="A131:A202" si="2">INDEX(B131:I131,1,$A$1)</f>
        <v>Comments :</v>
      </c>
      <c r="B131" s="630" t="s">
        <v>671</v>
      </c>
      <c r="C131" s="630" t="s">
        <v>282</v>
      </c>
      <c r="D131" s="630" t="s">
        <v>670</v>
      </c>
      <c r="E131" s="630" t="s">
        <v>672</v>
      </c>
      <c r="F131" s="630" t="s">
        <v>1343</v>
      </c>
      <c r="G131" s="630" t="s">
        <v>673</v>
      </c>
      <c r="H131" s="621"/>
      <c r="I131" s="466"/>
      <c r="J131">
        <v>1</v>
      </c>
    </row>
    <row r="132" spans="1:10">
      <c r="A132" s="617" t="str">
        <f t="shared" si="2"/>
        <v>Primary emission sources</v>
      </c>
      <c r="B132" s="630" t="s">
        <v>675</v>
      </c>
      <c r="C132" s="630" t="s">
        <v>328</v>
      </c>
      <c r="D132" s="630" t="s">
        <v>674</v>
      </c>
      <c r="E132" s="630" t="s">
        <v>1719</v>
      </c>
      <c r="F132" s="630" t="s">
        <v>1344</v>
      </c>
      <c r="G132" s="630" t="s">
        <v>676</v>
      </c>
      <c r="H132" s="621"/>
      <c r="I132" s="466"/>
      <c r="J132">
        <v>1</v>
      </c>
    </row>
    <row r="133" spans="1:10">
      <c r="A133" s="617" t="str">
        <f t="shared" si="2"/>
        <v>Secondary emission sources</v>
      </c>
      <c r="B133" s="630" t="s">
        <v>678</v>
      </c>
      <c r="C133" s="630" t="s">
        <v>329</v>
      </c>
      <c r="D133" s="630" t="s">
        <v>677</v>
      </c>
      <c r="E133" s="630" t="s">
        <v>1722</v>
      </c>
      <c r="F133" s="630" t="s">
        <v>1345</v>
      </c>
      <c r="G133" s="630" t="s">
        <v>679</v>
      </c>
      <c r="H133" s="621"/>
      <c r="I133" s="466"/>
      <c r="J133">
        <v>1</v>
      </c>
    </row>
    <row r="134" spans="1:10">
      <c r="A134" s="617" t="str">
        <f t="shared" si="2"/>
        <v>Total</v>
      </c>
      <c r="B134" s="630" t="s">
        <v>680</v>
      </c>
      <c r="C134" s="630" t="s">
        <v>330</v>
      </c>
      <c r="D134" s="630" t="s">
        <v>330</v>
      </c>
      <c r="E134" s="630" t="s">
        <v>330</v>
      </c>
      <c r="F134" s="630" t="s">
        <v>1346</v>
      </c>
      <c r="G134" s="630" t="s">
        <v>681</v>
      </c>
      <c r="H134" s="621"/>
      <c r="I134" s="466"/>
      <c r="J134">
        <v>1</v>
      </c>
    </row>
    <row r="135" spans="1:10">
      <c r="A135" s="617" t="str">
        <f t="shared" si="2"/>
        <v>Project name</v>
      </c>
      <c r="B135" s="630" t="s">
        <v>683</v>
      </c>
      <c r="C135" s="630" t="s">
        <v>339</v>
      </c>
      <c r="D135" s="630" t="s">
        <v>682</v>
      </c>
      <c r="E135" s="630" t="s">
        <v>684</v>
      </c>
      <c r="F135" s="630" t="s">
        <v>1347</v>
      </c>
      <c r="G135" s="630" t="s">
        <v>1934</v>
      </c>
      <c r="H135" s="621"/>
      <c r="I135" s="466"/>
      <c r="J135">
        <v>1</v>
      </c>
    </row>
    <row r="136" spans="1:10">
      <c r="A136" s="617" t="str">
        <f t="shared" si="2"/>
        <v>Materials detail</v>
      </c>
      <c r="B136" s="630" t="s">
        <v>2571</v>
      </c>
      <c r="C136" s="630" t="s">
        <v>344</v>
      </c>
      <c r="D136" s="630" t="s">
        <v>685</v>
      </c>
      <c r="E136" s="630" t="s">
        <v>1723</v>
      </c>
      <c r="F136" s="630" t="s">
        <v>1842</v>
      </c>
      <c r="G136" s="630" t="s">
        <v>1935</v>
      </c>
      <c r="H136" s="621"/>
      <c r="I136" s="466"/>
      <c r="J136">
        <v>2</v>
      </c>
    </row>
    <row r="137" spans="1:10">
      <c r="A137" s="617" t="str">
        <f t="shared" si="2"/>
        <v>Turnover</v>
      </c>
      <c r="B137" s="630" t="s">
        <v>687</v>
      </c>
      <c r="C137" s="630" t="s">
        <v>48</v>
      </c>
      <c r="D137" s="630" t="s">
        <v>686</v>
      </c>
      <c r="E137" s="630" t="s">
        <v>688</v>
      </c>
      <c r="F137" s="630" t="s">
        <v>1348</v>
      </c>
      <c r="G137" s="630" t="s">
        <v>689</v>
      </c>
      <c r="H137" s="621"/>
      <c r="I137" s="466"/>
      <c r="J137">
        <v>1</v>
      </c>
    </row>
    <row r="138" spans="1:10">
      <c r="A138" s="617" t="str">
        <f t="shared" si="2"/>
        <v>Steel</v>
      </c>
      <c r="B138" s="630" t="s">
        <v>691</v>
      </c>
      <c r="C138" s="630" t="s">
        <v>28</v>
      </c>
      <c r="D138" s="630" t="s">
        <v>690</v>
      </c>
      <c r="E138" s="630" t="s">
        <v>692</v>
      </c>
      <c r="F138" s="630" t="s">
        <v>1349</v>
      </c>
      <c r="G138" s="630" t="s">
        <v>693</v>
      </c>
      <c r="H138" s="621"/>
      <c r="I138" s="466"/>
      <c r="J138">
        <v>1</v>
      </c>
    </row>
    <row r="139" spans="1:10" ht="30">
      <c r="A139" s="617" t="str">
        <f t="shared" si="2"/>
        <v>Select the subprojects and projects that you want to total</v>
      </c>
      <c r="B139" s="630" t="s">
        <v>2572</v>
      </c>
      <c r="C139" s="630" t="s">
        <v>340</v>
      </c>
      <c r="D139" s="630" t="s">
        <v>1519</v>
      </c>
      <c r="E139" s="630" t="s">
        <v>1724</v>
      </c>
      <c r="F139" s="630" t="s">
        <v>1843</v>
      </c>
      <c r="G139" s="630" t="s">
        <v>2056</v>
      </c>
      <c r="H139" s="621"/>
      <c r="I139" s="466"/>
      <c r="J139">
        <v>1</v>
      </c>
    </row>
    <row r="140" spans="1:10">
      <c r="A140" s="617" t="str">
        <f t="shared" si="2"/>
        <v>Functional units 1 are not the same</v>
      </c>
      <c r="B140" s="630" t="s">
        <v>1607</v>
      </c>
      <c r="C140" s="630" t="s">
        <v>475</v>
      </c>
      <c r="D140" s="630" t="s">
        <v>694</v>
      </c>
      <c r="E140" s="630" t="s">
        <v>1725</v>
      </c>
      <c r="F140" s="630" t="s">
        <v>1844</v>
      </c>
      <c r="G140" s="630" t="s">
        <v>2057</v>
      </c>
      <c r="H140" s="621"/>
      <c r="I140" s="466"/>
      <c r="J140">
        <v>1</v>
      </c>
    </row>
    <row r="141" spans="1:10">
      <c r="A141" s="617" t="str">
        <f t="shared" si="2"/>
        <v>Check the unit</v>
      </c>
      <c r="B141" s="630" t="s">
        <v>1608</v>
      </c>
      <c r="C141" s="630" t="s">
        <v>476</v>
      </c>
      <c r="D141" s="630" t="s">
        <v>1520</v>
      </c>
      <c r="E141" s="630" t="s">
        <v>695</v>
      </c>
      <c r="F141" s="630" t="s">
        <v>1845</v>
      </c>
      <c r="G141" s="630" t="s">
        <v>1936</v>
      </c>
      <c r="H141" s="621"/>
      <c r="I141" s="466"/>
      <c r="J141">
        <v>1</v>
      </c>
    </row>
    <row r="142" spans="1:10">
      <c r="A142" s="617" t="str">
        <f t="shared" si="2"/>
        <v>Functional units 2 are not the same</v>
      </c>
      <c r="B142" s="630" t="s">
        <v>1609</v>
      </c>
      <c r="C142" s="630" t="s">
        <v>477</v>
      </c>
      <c r="D142" s="630" t="s">
        <v>696</v>
      </c>
      <c r="E142" s="630" t="s">
        <v>1726</v>
      </c>
      <c r="F142" s="630" t="s">
        <v>1846</v>
      </c>
      <c r="G142" s="630" t="s">
        <v>2058</v>
      </c>
      <c r="H142" s="621"/>
      <c r="I142" s="466"/>
      <c r="J142">
        <v>1</v>
      </c>
    </row>
    <row r="143" spans="1:10">
      <c r="A143" s="617" t="str">
        <f t="shared" si="2"/>
        <v>unit problem</v>
      </c>
      <c r="B143" s="630" t="s">
        <v>2573</v>
      </c>
      <c r="C143" s="630" t="s">
        <v>478</v>
      </c>
      <c r="D143" s="630" t="s">
        <v>1521</v>
      </c>
      <c r="E143" s="630" t="s">
        <v>697</v>
      </c>
      <c r="F143" s="630" t="s">
        <v>1847</v>
      </c>
      <c r="G143" s="630" t="s">
        <v>2059</v>
      </c>
      <c r="H143" s="621"/>
      <c r="I143" s="466"/>
      <c r="J143">
        <v>1</v>
      </c>
    </row>
    <row r="144" spans="1:10">
      <c r="A144" s="617" t="str">
        <f t="shared" si="2"/>
        <v>select your project or subproject</v>
      </c>
      <c r="B144" s="630" t="s">
        <v>699</v>
      </c>
      <c r="C144" s="630" t="s">
        <v>296</v>
      </c>
      <c r="D144" s="630" t="s">
        <v>698</v>
      </c>
      <c r="E144" s="630" t="s">
        <v>700</v>
      </c>
      <c r="F144" s="630" t="s">
        <v>1848</v>
      </c>
      <c r="G144" s="630" t="s">
        <v>701</v>
      </c>
      <c r="H144" s="621"/>
      <c r="I144" s="466"/>
      <c r="J144">
        <v>1</v>
      </c>
    </row>
    <row r="145" spans="1:10">
      <c r="A145" s="617" t="str">
        <f t="shared" si="2"/>
        <v>Company</v>
      </c>
      <c r="B145" s="630" t="s">
        <v>703</v>
      </c>
      <c r="C145" s="630" t="s">
        <v>289</v>
      </c>
      <c r="D145" s="630" t="s">
        <v>702</v>
      </c>
      <c r="E145" s="630" t="s">
        <v>704</v>
      </c>
      <c r="F145" s="630" t="s">
        <v>1350</v>
      </c>
      <c r="G145" s="630" t="s">
        <v>1937</v>
      </c>
      <c r="H145" s="621"/>
      <c r="I145" s="466"/>
      <c r="J145">
        <v>1</v>
      </c>
    </row>
    <row r="146" spans="1:10">
      <c r="A146" s="617" t="str">
        <f t="shared" si="2"/>
        <v>User-defined emission factors</v>
      </c>
      <c r="B146" s="630" t="s">
        <v>706</v>
      </c>
      <c r="C146" s="630" t="s">
        <v>479</v>
      </c>
      <c r="D146" s="630" t="s">
        <v>705</v>
      </c>
      <c r="E146" s="630" t="s">
        <v>1727</v>
      </c>
      <c r="F146" s="630" t="s">
        <v>1849</v>
      </c>
      <c r="G146" s="630" t="s">
        <v>707</v>
      </c>
      <c r="H146" s="621"/>
      <c r="I146" s="466"/>
      <c r="J146">
        <v>1</v>
      </c>
    </row>
    <row r="147" spans="1:10">
      <c r="A147" s="617" t="str">
        <f t="shared" si="2"/>
        <v>Additional percentage used</v>
      </c>
      <c r="B147" s="630" t="s">
        <v>1610</v>
      </c>
      <c r="C147" s="630" t="s">
        <v>480</v>
      </c>
      <c r="D147" s="630" t="s">
        <v>1522</v>
      </c>
      <c r="E147" s="630" t="s">
        <v>708</v>
      </c>
      <c r="F147" s="630" t="s">
        <v>2091</v>
      </c>
      <c r="G147" s="630" t="s">
        <v>1938</v>
      </c>
      <c r="H147" s="621"/>
      <c r="I147" s="466"/>
      <c r="J147">
        <v>1</v>
      </c>
    </row>
    <row r="148" spans="1:10">
      <c r="A148" s="617" t="str">
        <f t="shared" si="2"/>
        <v>Your Company name</v>
      </c>
      <c r="B148" s="630" t="s">
        <v>709</v>
      </c>
      <c r="C148" s="630" t="s">
        <v>297</v>
      </c>
      <c r="D148" s="630" t="s">
        <v>1523</v>
      </c>
      <c r="E148" s="630" t="s">
        <v>710</v>
      </c>
      <c r="F148" s="630" t="s">
        <v>2092</v>
      </c>
      <c r="G148" s="630" t="s">
        <v>711</v>
      </c>
      <c r="H148" s="621"/>
      <c r="I148" s="466"/>
      <c r="J148">
        <v>1</v>
      </c>
    </row>
    <row r="149" spans="1:10">
      <c r="A149" s="617" t="str">
        <f t="shared" si="2"/>
        <v xml:space="preserve"> </v>
      </c>
      <c r="B149" s="630" t="s">
        <v>712</v>
      </c>
      <c r="C149" s="630" t="s">
        <v>312</v>
      </c>
      <c r="D149" s="630" t="s">
        <v>712</v>
      </c>
      <c r="E149" s="630" t="s">
        <v>712</v>
      </c>
      <c r="F149" s="630" t="s">
        <v>712</v>
      </c>
      <c r="G149" s="630" t="s">
        <v>712</v>
      </c>
      <c r="H149" s="621"/>
      <c r="I149" s="466"/>
      <c r="J149">
        <v>1</v>
      </c>
    </row>
    <row r="150" spans="1:10">
      <c r="A150" s="617" t="str">
        <f t="shared" si="2"/>
        <v>ratio per</v>
      </c>
      <c r="B150" s="630" t="s">
        <v>2574</v>
      </c>
      <c r="C150" s="630" t="s">
        <v>2106</v>
      </c>
      <c r="D150" s="630" t="s">
        <v>713</v>
      </c>
      <c r="E150" s="630" t="s">
        <v>1728</v>
      </c>
      <c r="F150" s="630" t="s">
        <v>1351</v>
      </c>
      <c r="G150" s="630" t="s">
        <v>2060</v>
      </c>
      <c r="H150" s="621"/>
      <c r="I150" s="466"/>
      <c r="J150">
        <v>1</v>
      </c>
    </row>
    <row r="151" spans="1:10">
      <c r="A151" s="617" t="str">
        <f t="shared" si="2"/>
        <v>Externally calculated emissions added</v>
      </c>
      <c r="B151" s="630" t="s">
        <v>2575</v>
      </c>
      <c r="C151" s="630" t="s">
        <v>481</v>
      </c>
      <c r="D151" s="630" t="s">
        <v>1525</v>
      </c>
      <c r="E151" s="630" t="s">
        <v>1729</v>
      </c>
      <c r="F151" s="630" t="s">
        <v>1352</v>
      </c>
      <c r="G151" s="630" t="s">
        <v>714</v>
      </c>
      <c r="H151" s="621"/>
      <c r="I151" s="466"/>
      <c r="J151">
        <v>1</v>
      </c>
    </row>
    <row r="152" spans="1:10">
      <c r="A152" s="617" t="str">
        <f t="shared" si="2"/>
        <v>Emission factor database</v>
      </c>
      <c r="B152" s="630" t="s">
        <v>2576</v>
      </c>
      <c r="C152" s="630" t="s">
        <v>293</v>
      </c>
      <c r="D152" s="630" t="s">
        <v>1524</v>
      </c>
      <c r="E152" s="630" t="s">
        <v>1730</v>
      </c>
      <c r="F152" s="630" t="s">
        <v>2093</v>
      </c>
      <c r="G152" s="630" t="s">
        <v>740</v>
      </c>
      <c r="H152" s="621"/>
      <c r="I152" s="466"/>
      <c r="J152">
        <v>1</v>
      </c>
    </row>
    <row r="153" spans="1:10">
      <c r="A153" s="617" t="str">
        <f t="shared" si="2"/>
        <v>added emission factors</v>
      </c>
      <c r="B153" s="630" t="s">
        <v>2577</v>
      </c>
      <c r="C153" s="630" t="s">
        <v>295</v>
      </c>
      <c r="D153" s="630" t="s">
        <v>1526</v>
      </c>
      <c r="E153" s="630" t="s">
        <v>1731</v>
      </c>
      <c r="F153" s="630" t="s">
        <v>1353</v>
      </c>
      <c r="G153" s="630" t="s">
        <v>2016</v>
      </c>
      <c r="H153" s="621"/>
      <c r="I153" s="466"/>
      <c r="J153">
        <v>1</v>
      </c>
    </row>
    <row r="154" spans="1:10" ht="19.5">
      <c r="A154" s="617" t="str">
        <f t="shared" si="2"/>
        <v xml:space="preserve">kgCO2e / </v>
      </c>
      <c r="B154" s="630" t="s">
        <v>2449</v>
      </c>
      <c r="C154" s="630" t="s">
        <v>2449</v>
      </c>
      <c r="D154" s="630" t="s">
        <v>2449</v>
      </c>
      <c r="E154" s="630" t="s">
        <v>2449</v>
      </c>
      <c r="F154" s="630" t="s">
        <v>2449</v>
      </c>
      <c r="G154" s="630" t="s">
        <v>2449</v>
      </c>
      <c r="H154" s="621"/>
      <c r="I154" s="466"/>
      <c r="J154">
        <v>1</v>
      </c>
    </row>
    <row r="155" spans="1:10" ht="19.5">
      <c r="A155" s="617" t="str">
        <f>INDEX(B155:I155,1,$A$1)</f>
        <v xml:space="preserve">gCO2e / </v>
      </c>
      <c r="B155" s="630" t="s">
        <v>2450</v>
      </c>
      <c r="C155" s="630" t="s">
        <v>2450</v>
      </c>
      <c r="D155" s="630" t="s">
        <v>2450</v>
      </c>
      <c r="E155" s="630" t="s">
        <v>2450</v>
      </c>
      <c r="F155" s="630" t="s">
        <v>2450</v>
      </c>
      <c r="G155" s="630" t="s">
        <v>2450</v>
      </c>
      <c r="H155" s="621"/>
      <c r="I155" s="466"/>
      <c r="J155">
        <v>1</v>
      </c>
    </row>
    <row r="156" spans="1:10">
      <c r="A156" s="617" t="str">
        <f>INDEX(B156:I156,1,$A$1)</f>
        <v>Comparison sheet</v>
      </c>
      <c r="B156" s="630" t="s">
        <v>2453</v>
      </c>
      <c r="C156" s="630" t="s">
        <v>304</v>
      </c>
      <c r="D156" s="630" t="s">
        <v>2107</v>
      </c>
      <c r="E156" s="630" t="s">
        <v>2108</v>
      </c>
      <c r="F156" s="630" t="s">
        <v>2109</v>
      </c>
      <c r="G156" s="630" t="s">
        <v>2076</v>
      </c>
      <c r="H156" s="621"/>
      <c r="I156" s="466"/>
      <c r="J156">
        <v>1</v>
      </c>
    </row>
    <row r="157" spans="1:10">
      <c r="A157" s="617" t="str">
        <f t="shared" si="2"/>
        <v>Comparison sheet (1/2)</v>
      </c>
      <c r="B157" s="630" t="s">
        <v>2454</v>
      </c>
      <c r="C157" s="630" t="s">
        <v>441</v>
      </c>
      <c r="D157" s="630" t="s">
        <v>1527</v>
      </c>
      <c r="E157" s="630" t="s">
        <v>1732</v>
      </c>
      <c r="F157" s="630" t="s">
        <v>1354</v>
      </c>
      <c r="G157" s="630" t="s">
        <v>2017</v>
      </c>
      <c r="H157" s="621"/>
      <c r="I157" s="466"/>
      <c r="J157">
        <v>1</v>
      </c>
    </row>
    <row r="158" spans="1:10">
      <c r="A158" s="617" t="str">
        <f t="shared" si="2"/>
        <v>Comparison sheet (2/2)</v>
      </c>
      <c r="B158" s="630" t="s">
        <v>2455</v>
      </c>
      <c r="C158" s="630" t="s">
        <v>442</v>
      </c>
      <c r="D158" s="630" t="s">
        <v>1528</v>
      </c>
      <c r="E158" s="630" t="s">
        <v>1733</v>
      </c>
      <c r="F158" s="630" t="s">
        <v>1355</v>
      </c>
      <c r="G158" s="630" t="s">
        <v>2018</v>
      </c>
      <c r="H158" s="621"/>
      <c r="I158" s="466"/>
      <c r="J158">
        <v>1</v>
      </c>
    </row>
    <row r="159" spans="1:10">
      <c r="A159" s="617" t="str">
        <f t="shared" si="2"/>
        <v>Primary sources emissions</v>
      </c>
      <c r="B159" s="630" t="s">
        <v>2456</v>
      </c>
      <c r="C159" s="630" t="s">
        <v>335</v>
      </c>
      <c r="D159" s="630" t="s">
        <v>1529</v>
      </c>
      <c r="E159" s="630" t="s">
        <v>1719</v>
      </c>
      <c r="F159" s="630" t="s">
        <v>1850</v>
      </c>
      <c r="G159" s="630" t="s">
        <v>1939</v>
      </c>
      <c r="H159" s="621"/>
      <c r="I159" s="466"/>
      <c r="J159">
        <v>1</v>
      </c>
    </row>
    <row r="160" spans="1:10">
      <c r="A160" s="617" t="str">
        <f t="shared" si="2"/>
        <v>Secondary sources emissions</v>
      </c>
      <c r="B160" s="630" t="s">
        <v>2457</v>
      </c>
      <c r="C160" s="630" t="s">
        <v>336</v>
      </c>
      <c r="D160" s="630" t="s">
        <v>1530</v>
      </c>
      <c r="E160" s="630" t="s">
        <v>1722</v>
      </c>
      <c r="F160" s="630" t="s">
        <v>1851</v>
      </c>
      <c r="G160" s="630" t="s">
        <v>1940</v>
      </c>
      <c r="H160" s="621"/>
      <c r="I160" s="466"/>
      <c r="J160">
        <v>1</v>
      </c>
    </row>
    <row r="161" spans="1:10">
      <c r="A161" s="617" t="str">
        <f t="shared" si="2"/>
        <v>Uncertainties</v>
      </c>
      <c r="B161" s="630" t="s">
        <v>717</v>
      </c>
      <c r="C161" s="630" t="s">
        <v>321</v>
      </c>
      <c r="D161" s="630" t="s">
        <v>716</v>
      </c>
      <c r="E161" s="630" t="s">
        <v>1734</v>
      </c>
      <c r="F161" s="630" t="s">
        <v>1356</v>
      </c>
      <c r="G161" s="630" t="s">
        <v>718</v>
      </c>
      <c r="H161" s="621"/>
      <c r="I161" s="466"/>
      <c r="J161">
        <v>1</v>
      </c>
    </row>
    <row r="162" spans="1:10">
      <c r="A162" s="617" t="str">
        <f t="shared" si="2"/>
        <v>Other materials</v>
      </c>
      <c r="B162" s="630" t="s">
        <v>2458</v>
      </c>
      <c r="C162" s="630" t="s">
        <v>419</v>
      </c>
      <c r="D162" s="630" t="s">
        <v>1531</v>
      </c>
      <c r="E162" s="630" t="s">
        <v>719</v>
      </c>
      <c r="F162" s="630" t="s">
        <v>1357</v>
      </c>
      <c r="G162" s="630" t="s">
        <v>720</v>
      </c>
      <c r="H162" s="621"/>
      <c r="I162" s="466"/>
      <c r="J162">
        <v>1</v>
      </c>
    </row>
    <row r="163" spans="1:10">
      <c r="A163" s="617" t="str">
        <f t="shared" si="2"/>
        <v>Yes</v>
      </c>
      <c r="B163" s="630" t="s">
        <v>2417</v>
      </c>
      <c r="C163" s="630" t="s">
        <v>2413</v>
      </c>
      <c r="D163" s="630" t="s">
        <v>2418</v>
      </c>
      <c r="E163" s="630" t="s">
        <v>2419</v>
      </c>
      <c r="F163" s="630" t="s">
        <v>2420</v>
      </c>
      <c r="G163" s="630" t="s">
        <v>2417</v>
      </c>
      <c r="H163" s="621"/>
      <c r="I163" s="466"/>
      <c r="J163">
        <v>1</v>
      </c>
    </row>
    <row r="164" spans="1:10">
      <c r="A164" s="617" t="str">
        <f>INDEX(B164:I164,1,$A$1)</f>
        <v>No</v>
      </c>
      <c r="B164" s="630" t="s">
        <v>2446</v>
      </c>
      <c r="C164" s="630" t="s">
        <v>2414</v>
      </c>
      <c r="D164" s="630" t="s">
        <v>2415</v>
      </c>
      <c r="E164" s="630" t="s">
        <v>2414</v>
      </c>
      <c r="F164" s="630" t="s">
        <v>2414</v>
      </c>
      <c r="G164" s="630" t="s">
        <v>2416</v>
      </c>
      <c r="H164" s="621"/>
      <c r="I164" s="466"/>
      <c r="J164">
        <v>0</v>
      </c>
    </row>
    <row r="165" spans="1:10">
      <c r="A165" s="617" t="str">
        <f t="shared" si="2"/>
        <v>Other emission sources</v>
      </c>
      <c r="B165" s="630" t="s">
        <v>722</v>
      </c>
      <c r="C165" s="630" t="s">
        <v>482</v>
      </c>
      <c r="D165" s="630" t="s">
        <v>721</v>
      </c>
      <c r="E165" s="630" t="s">
        <v>723</v>
      </c>
      <c r="F165" s="630" t="s">
        <v>1358</v>
      </c>
      <c r="G165" s="630" t="s">
        <v>724</v>
      </c>
      <c r="H165" s="621"/>
      <c r="I165" s="466"/>
      <c r="J165">
        <v>1</v>
      </c>
    </row>
    <row r="166" spans="1:10" ht="30">
      <c r="A166" s="617" t="str">
        <f t="shared" si="2"/>
        <v>Select the subprojects and projects that you want to compare</v>
      </c>
      <c r="B166" s="630" t="s">
        <v>2459</v>
      </c>
      <c r="C166" s="630" t="s">
        <v>305</v>
      </c>
      <c r="D166" s="630" t="s">
        <v>725</v>
      </c>
      <c r="E166" s="630" t="s">
        <v>1735</v>
      </c>
      <c r="F166" s="630" t="s">
        <v>1359</v>
      </c>
      <c r="G166" s="630" t="s">
        <v>726</v>
      </c>
      <c r="H166" s="621"/>
      <c r="I166" s="466"/>
      <c r="J166">
        <v>1</v>
      </c>
    </row>
    <row r="167" spans="1:10">
      <c r="A167" s="617" t="str">
        <f t="shared" si="2"/>
        <v xml:space="preserve">Projects emissions per </v>
      </c>
      <c r="B167" s="630" t="s">
        <v>1611</v>
      </c>
      <c r="C167" s="630" t="s">
        <v>483</v>
      </c>
      <c r="D167" s="630" t="s">
        <v>1532</v>
      </c>
      <c r="E167" s="630" t="s">
        <v>1736</v>
      </c>
      <c r="F167" s="630" t="s">
        <v>1360</v>
      </c>
      <c r="G167" s="630" t="s">
        <v>1941</v>
      </c>
      <c r="H167" s="621"/>
      <c r="I167" s="466"/>
      <c r="J167">
        <v>1</v>
      </c>
    </row>
    <row r="168" spans="1:10">
      <c r="A168" s="617" t="str">
        <f t="shared" si="2"/>
        <v>ratio variable :</v>
      </c>
      <c r="B168" s="630" t="s">
        <v>728</v>
      </c>
      <c r="C168" s="630" t="s">
        <v>286</v>
      </c>
      <c r="D168" s="630" t="s">
        <v>727</v>
      </c>
      <c r="E168" s="630" t="s">
        <v>1737</v>
      </c>
      <c r="F168" s="630" t="s">
        <v>1361</v>
      </c>
      <c r="G168" s="630" t="s">
        <v>2061</v>
      </c>
      <c r="H168" s="621"/>
      <c r="I168" s="466"/>
      <c r="J168">
        <v>1</v>
      </c>
    </row>
    <row r="169" spans="1:10">
      <c r="A169" s="617" t="str">
        <f t="shared" si="2"/>
        <v xml:space="preserve">Show other </v>
      </c>
      <c r="B169" s="630" t="s">
        <v>1612</v>
      </c>
      <c r="C169" s="630" t="s">
        <v>420</v>
      </c>
      <c r="D169" s="630" t="s">
        <v>729</v>
      </c>
      <c r="E169" s="630" t="s">
        <v>730</v>
      </c>
      <c r="F169" s="630" t="s">
        <v>1362</v>
      </c>
      <c r="G169" s="630" t="s">
        <v>731</v>
      </c>
      <c r="H169" s="621"/>
      <c r="I169" s="466"/>
      <c r="J169">
        <v>1</v>
      </c>
    </row>
    <row r="170" spans="1:10">
      <c r="A170" s="617" t="str">
        <f t="shared" si="2"/>
        <v xml:space="preserve">emission </v>
      </c>
      <c r="B170" s="630" t="s">
        <v>733</v>
      </c>
      <c r="C170" s="630" t="s">
        <v>421</v>
      </c>
      <c r="D170" s="630" t="s">
        <v>732</v>
      </c>
      <c r="E170" s="630" t="s">
        <v>734</v>
      </c>
      <c r="F170" s="630" t="s">
        <v>1363</v>
      </c>
      <c r="G170" s="630" t="s">
        <v>735</v>
      </c>
      <c r="H170" s="621"/>
      <c r="I170" s="466"/>
      <c r="J170">
        <v>1</v>
      </c>
    </row>
    <row r="171" spans="1:10">
      <c r="A171" s="617" t="str">
        <f t="shared" si="2"/>
        <v>Functional units have to be the exactly the same</v>
      </c>
      <c r="B171" s="630" t="s">
        <v>1613</v>
      </c>
      <c r="C171" s="630" t="s">
        <v>377</v>
      </c>
      <c r="D171" s="630" t="s">
        <v>736</v>
      </c>
      <c r="E171" s="630" t="s">
        <v>1738</v>
      </c>
      <c r="F171" s="630" t="s">
        <v>1364</v>
      </c>
      <c r="G171" s="630" t="s">
        <v>2062</v>
      </c>
      <c r="H171" s="621"/>
      <c r="I171" s="466"/>
      <c r="J171">
        <v>1</v>
      </c>
    </row>
    <row r="172" spans="1:10">
      <c r="A172" s="617" t="str">
        <f t="shared" si="2"/>
        <v>Projects emission repartitions</v>
      </c>
      <c r="B172" s="630" t="s">
        <v>1614</v>
      </c>
      <c r="C172" s="630" t="s">
        <v>462</v>
      </c>
      <c r="D172" s="630" t="s">
        <v>1533</v>
      </c>
      <c r="E172" s="630" t="s">
        <v>1739</v>
      </c>
      <c r="F172" s="630" t="s">
        <v>1852</v>
      </c>
      <c r="G172" s="630" t="s">
        <v>1942</v>
      </c>
      <c r="H172" s="621"/>
      <c r="I172" s="466"/>
      <c r="J172">
        <v>2</v>
      </c>
    </row>
    <row r="173" spans="1:10">
      <c r="A173" s="617" t="str">
        <f t="shared" si="2"/>
        <v>emissions repartition</v>
      </c>
      <c r="B173" s="630" t="s">
        <v>1615</v>
      </c>
      <c r="C173" s="630" t="s">
        <v>463</v>
      </c>
      <c r="D173" s="630" t="s">
        <v>738</v>
      </c>
      <c r="E173" s="630" t="s">
        <v>1740</v>
      </c>
      <c r="F173" s="630" t="s">
        <v>1853</v>
      </c>
      <c r="G173" s="630" t="s">
        <v>1943</v>
      </c>
      <c r="H173" s="621"/>
      <c r="I173" s="466"/>
      <c r="J173">
        <v>2</v>
      </c>
    </row>
    <row r="174" spans="1:10">
      <c r="A174" s="617" t="str">
        <f t="shared" si="2"/>
        <v>Emission factor data base</v>
      </c>
      <c r="B174" s="630" t="s">
        <v>715</v>
      </c>
      <c r="C174" s="630" t="s">
        <v>86</v>
      </c>
      <c r="D174" s="630" t="s">
        <v>739</v>
      </c>
      <c r="E174" s="630" t="s">
        <v>1741</v>
      </c>
      <c r="F174" s="630" t="s">
        <v>1366</v>
      </c>
      <c r="G174" s="630" t="s">
        <v>740</v>
      </c>
      <c r="H174" s="621"/>
      <c r="I174" s="466"/>
      <c r="J174">
        <v>1</v>
      </c>
    </row>
    <row r="175" spans="1:10">
      <c r="A175" s="617" t="str">
        <f t="shared" si="2"/>
        <v>Emission factor name</v>
      </c>
      <c r="B175" s="630" t="s">
        <v>1616</v>
      </c>
      <c r="C175" s="630" t="s">
        <v>84</v>
      </c>
      <c r="D175" s="630" t="s">
        <v>1534</v>
      </c>
      <c r="E175" s="630" t="s">
        <v>1742</v>
      </c>
      <c r="F175" s="630" t="s">
        <v>1367</v>
      </c>
      <c r="G175" s="630" t="s">
        <v>741</v>
      </c>
      <c r="H175" s="621"/>
      <c r="I175" s="466"/>
      <c r="J175">
        <v>1</v>
      </c>
    </row>
    <row r="176" spans="1:10">
      <c r="A176" s="617" t="str">
        <f t="shared" si="2"/>
        <v>Acrylic acid</v>
      </c>
      <c r="B176" s="630" t="s">
        <v>742</v>
      </c>
      <c r="C176" s="630" t="s">
        <v>41</v>
      </c>
      <c r="D176" s="630" t="s">
        <v>1535</v>
      </c>
      <c r="E176" s="630" t="s">
        <v>1743</v>
      </c>
      <c r="F176" s="630" t="s">
        <v>1368</v>
      </c>
      <c r="G176" s="630" t="s">
        <v>743</v>
      </c>
      <c r="H176" s="621"/>
      <c r="I176" s="466"/>
      <c r="J176">
        <v>1</v>
      </c>
    </row>
    <row r="177" spans="1:10">
      <c r="A177" s="617" t="str">
        <f t="shared" si="2"/>
        <v>Aggregate</v>
      </c>
      <c r="B177" s="630" t="s">
        <v>1617</v>
      </c>
      <c r="C177" s="630" t="s">
        <v>37</v>
      </c>
      <c r="D177" s="630" t="s">
        <v>2451</v>
      </c>
      <c r="E177" s="630" t="s">
        <v>2448</v>
      </c>
      <c r="F177" s="630" t="s">
        <v>1854</v>
      </c>
      <c r="G177" s="630" t="s">
        <v>744</v>
      </c>
      <c r="H177" s="621"/>
      <c r="I177" s="466"/>
      <c r="J177">
        <v>1</v>
      </c>
    </row>
    <row r="178" spans="1:10">
      <c r="A178" s="617" t="str">
        <f t="shared" si="2"/>
        <v>Bentonite</v>
      </c>
      <c r="B178" s="630" t="s">
        <v>745</v>
      </c>
      <c r="C178" s="630" t="s">
        <v>26</v>
      </c>
      <c r="D178" s="630" t="s">
        <v>26</v>
      </c>
      <c r="E178" s="630" t="s">
        <v>746</v>
      </c>
      <c r="F178" s="630" t="s">
        <v>26</v>
      </c>
      <c r="G178" s="630" t="s">
        <v>747</v>
      </c>
      <c r="H178" s="621"/>
      <c r="I178" s="466"/>
      <c r="J178">
        <v>1</v>
      </c>
    </row>
    <row r="179" spans="1:10">
      <c r="A179" s="617" t="str">
        <f t="shared" si="2"/>
        <v>Calcium chloride</v>
      </c>
      <c r="B179" s="630" t="s">
        <v>748</v>
      </c>
      <c r="C179" s="630" t="s">
        <v>32</v>
      </c>
      <c r="D179" s="630" t="s">
        <v>1536</v>
      </c>
      <c r="E179" s="630" t="s">
        <v>749</v>
      </c>
      <c r="F179" s="630" t="s">
        <v>1369</v>
      </c>
      <c r="G179" s="630" t="s">
        <v>750</v>
      </c>
      <c r="H179" s="621"/>
      <c r="I179" s="466"/>
      <c r="J179">
        <v>1</v>
      </c>
    </row>
    <row r="180" spans="1:10">
      <c r="A180" s="617" t="str">
        <f>INDEX(B180:I180,1,$A$1)</f>
        <v>Carboxymethyl cellulose</v>
      </c>
      <c r="B180" s="630" t="s">
        <v>2460</v>
      </c>
      <c r="C180" s="630" t="s">
        <v>2421</v>
      </c>
      <c r="D180" s="630" t="s">
        <v>2421</v>
      </c>
      <c r="E180" s="630" t="s">
        <v>2421</v>
      </c>
      <c r="F180" s="630" t="s">
        <v>2421</v>
      </c>
      <c r="G180" s="630" t="s">
        <v>2421</v>
      </c>
      <c r="H180" s="621"/>
      <c r="I180" s="466"/>
      <c r="J180">
        <v>0</v>
      </c>
    </row>
    <row r="181" spans="1:10">
      <c r="A181" s="617" t="str">
        <f t="shared" si="2"/>
        <v>CEM I</v>
      </c>
      <c r="B181" s="630" t="s">
        <v>8</v>
      </c>
      <c r="C181" s="630" t="s">
        <v>8</v>
      </c>
      <c r="D181" s="630" t="s">
        <v>8</v>
      </c>
      <c r="E181" s="630" t="s">
        <v>8</v>
      </c>
      <c r="F181" s="630" t="s">
        <v>8</v>
      </c>
      <c r="G181" s="630" t="s">
        <v>8</v>
      </c>
      <c r="H181" s="621"/>
      <c r="I181" s="466"/>
      <c r="J181">
        <v>1</v>
      </c>
    </row>
    <row r="182" spans="1:10">
      <c r="A182" s="617" t="str">
        <f t="shared" si="2"/>
        <v>GGbs</v>
      </c>
      <c r="B182" s="630" t="s">
        <v>2461</v>
      </c>
      <c r="C182" s="630" t="s">
        <v>4</v>
      </c>
      <c r="D182" s="630" t="s">
        <v>751</v>
      </c>
      <c r="E182" s="630" t="s">
        <v>752</v>
      </c>
      <c r="F182" s="630" t="s">
        <v>4</v>
      </c>
      <c r="G182" s="630" t="s">
        <v>4</v>
      </c>
      <c r="H182" s="621"/>
      <c r="I182" s="466"/>
      <c r="J182">
        <v>1</v>
      </c>
    </row>
    <row r="183" spans="1:10">
      <c r="A183" s="617" t="str">
        <f t="shared" si="2"/>
        <v>Fly Ash</v>
      </c>
      <c r="B183" s="630" t="s">
        <v>754</v>
      </c>
      <c r="C183" s="630" t="s">
        <v>5</v>
      </c>
      <c r="D183" s="630" t="s">
        <v>753</v>
      </c>
      <c r="E183" s="630" t="s">
        <v>755</v>
      </c>
      <c r="F183" s="630" t="s">
        <v>1855</v>
      </c>
      <c r="G183" s="630" t="s">
        <v>1944</v>
      </c>
      <c r="H183" s="621"/>
      <c r="I183" s="466"/>
      <c r="J183">
        <v>1</v>
      </c>
    </row>
    <row r="184" spans="1:10">
      <c r="A184" s="617" t="str">
        <f t="shared" si="2"/>
        <v>Limestone</v>
      </c>
      <c r="B184" s="630" t="s">
        <v>757</v>
      </c>
      <c r="C184" s="630" t="s">
        <v>6</v>
      </c>
      <c r="D184" s="630" t="s">
        <v>756</v>
      </c>
      <c r="E184" s="630" t="s">
        <v>758</v>
      </c>
      <c r="F184" s="630" t="s">
        <v>1370</v>
      </c>
      <c r="G184" s="630" t="s">
        <v>759</v>
      </c>
      <c r="H184" s="621"/>
      <c r="I184" s="466"/>
      <c r="J184">
        <v>1</v>
      </c>
    </row>
    <row r="185" spans="1:10">
      <c r="A185" s="617" t="str">
        <f t="shared" si="2"/>
        <v>minor additional constituent</v>
      </c>
      <c r="B185" s="630" t="s">
        <v>1618</v>
      </c>
      <c r="C185" s="630" t="s">
        <v>7</v>
      </c>
      <c r="D185" s="630" t="s">
        <v>1537</v>
      </c>
      <c r="E185" s="630" t="s">
        <v>1744</v>
      </c>
      <c r="F185" s="630" t="s">
        <v>1856</v>
      </c>
      <c r="G185" s="630" t="s">
        <v>1945</v>
      </c>
      <c r="H185" s="621"/>
      <c r="I185" s="466"/>
      <c r="J185">
        <v>1</v>
      </c>
    </row>
    <row r="186" spans="1:10">
      <c r="A186" s="617" t="str">
        <f t="shared" si="2"/>
        <v>Chemicals inorganic</v>
      </c>
      <c r="B186" s="630" t="s">
        <v>1619</v>
      </c>
      <c r="C186" s="630" t="s">
        <v>33</v>
      </c>
      <c r="D186" s="630" t="s">
        <v>760</v>
      </c>
      <c r="E186" s="630" t="s">
        <v>761</v>
      </c>
      <c r="F186" s="630" t="s">
        <v>1371</v>
      </c>
      <c r="G186" s="630" t="s">
        <v>1946</v>
      </c>
      <c r="H186" s="621"/>
      <c r="I186" s="466"/>
      <c r="J186">
        <v>1</v>
      </c>
    </row>
    <row r="187" spans="1:10">
      <c r="A187" s="617" t="str">
        <f>INDEX(B187:I187,1,$A$1)</f>
        <v>EPDM-rubber</v>
      </c>
      <c r="B187" s="630" t="s">
        <v>2393</v>
      </c>
      <c r="C187" s="630" t="s">
        <v>2119</v>
      </c>
      <c r="D187" s="630" t="s">
        <v>2394</v>
      </c>
      <c r="E187" s="630" t="s">
        <v>2395</v>
      </c>
      <c r="F187" s="630" t="s">
        <v>2379</v>
      </c>
      <c r="G187" s="630" t="s">
        <v>2119</v>
      </c>
      <c r="H187" s="630"/>
      <c r="I187" s="466"/>
      <c r="J187">
        <v>0</v>
      </c>
    </row>
    <row r="188" spans="1:10">
      <c r="A188" s="617" t="str">
        <f>INDEX(B188:I188,1,$A$1)</f>
        <v>Polypropylene</v>
      </c>
      <c r="B188" s="630" t="s">
        <v>2396</v>
      </c>
      <c r="C188" s="630" t="s">
        <v>2118</v>
      </c>
      <c r="D188" s="630" t="s">
        <v>2397</v>
      </c>
      <c r="E188" s="630" t="s">
        <v>2398</v>
      </c>
      <c r="F188" s="630" t="s">
        <v>2118</v>
      </c>
      <c r="G188" s="630" t="s">
        <v>2399</v>
      </c>
      <c r="H188" s="621"/>
      <c r="I188" s="466"/>
      <c r="J188">
        <v>0</v>
      </c>
    </row>
    <row r="189" spans="1:10">
      <c r="A189" s="617" t="str">
        <f t="shared" si="2"/>
        <v>PVC pipes</v>
      </c>
      <c r="B189" s="630" t="s">
        <v>763</v>
      </c>
      <c r="C189" s="630" t="s">
        <v>29</v>
      </c>
      <c r="D189" s="630" t="s">
        <v>762</v>
      </c>
      <c r="E189" s="630" t="s">
        <v>764</v>
      </c>
      <c r="F189" s="630" t="s">
        <v>1372</v>
      </c>
      <c r="G189" s="630" t="s">
        <v>765</v>
      </c>
      <c r="H189" s="621"/>
      <c r="I189" s="466"/>
      <c r="J189">
        <v>1</v>
      </c>
    </row>
    <row r="190" spans="1:10">
      <c r="A190" s="617" t="str">
        <f t="shared" si="2"/>
        <v>Sand</v>
      </c>
      <c r="B190" s="630" t="s">
        <v>36</v>
      </c>
      <c r="C190" s="630" t="s">
        <v>36</v>
      </c>
      <c r="D190" s="630" t="s">
        <v>766</v>
      </c>
      <c r="E190" s="630" t="s">
        <v>767</v>
      </c>
      <c r="F190" s="630" t="s">
        <v>1373</v>
      </c>
      <c r="G190" s="630" t="s">
        <v>768</v>
      </c>
      <c r="H190" s="621"/>
      <c r="I190" s="466"/>
      <c r="J190">
        <v>1</v>
      </c>
    </row>
    <row r="191" spans="1:10">
      <c r="A191" s="617" t="str">
        <f t="shared" si="2"/>
        <v>Sodium carbonate</v>
      </c>
      <c r="B191" s="630" t="s">
        <v>770</v>
      </c>
      <c r="C191" s="630" t="s">
        <v>42</v>
      </c>
      <c r="D191" s="630" t="s">
        <v>769</v>
      </c>
      <c r="E191" s="630" t="s">
        <v>1745</v>
      </c>
      <c r="F191" s="630" t="s">
        <v>1374</v>
      </c>
      <c r="G191" s="630" t="s">
        <v>771</v>
      </c>
      <c r="H191" s="621"/>
      <c r="I191" s="466"/>
      <c r="J191">
        <v>1</v>
      </c>
    </row>
    <row r="192" spans="1:10">
      <c r="A192" s="617" t="str">
        <f t="shared" si="2"/>
        <v>Steel sheets</v>
      </c>
      <c r="B192" s="630" t="s">
        <v>832</v>
      </c>
      <c r="C192" s="630" t="s">
        <v>450</v>
      </c>
      <c r="D192" s="630" t="s">
        <v>1538</v>
      </c>
      <c r="E192" s="630" t="s">
        <v>1746</v>
      </c>
      <c r="F192" s="630" t="s">
        <v>1375</v>
      </c>
      <c r="G192" s="630" t="s">
        <v>772</v>
      </c>
      <c r="H192" s="621"/>
      <c r="I192" s="466"/>
      <c r="J192">
        <v>1</v>
      </c>
    </row>
    <row r="193" spans="1:10">
      <c r="A193" s="617" t="str">
        <f t="shared" si="2"/>
        <v>Steel rebars</v>
      </c>
      <c r="B193" s="630" t="s">
        <v>2462</v>
      </c>
      <c r="C193" s="630" t="s">
        <v>458</v>
      </c>
      <c r="D193" s="630" t="s">
        <v>773</v>
      </c>
      <c r="E193" s="630" t="s">
        <v>1747</v>
      </c>
      <c r="F193" s="630" t="s">
        <v>2094</v>
      </c>
      <c r="G193" s="630" t="s">
        <v>774</v>
      </c>
      <c r="H193" s="621"/>
      <c r="I193" s="466"/>
      <c r="J193">
        <v>1</v>
      </c>
    </row>
    <row r="194" spans="1:10">
      <c r="A194" s="617" t="str">
        <f t="shared" si="2"/>
        <v>Steel tubes</v>
      </c>
      <c r="B194" s="630" t="s">
        <v>776</v>
      </c>
      <c r="C194" s="630" t="s">
        <v>393</v>
      </c>
      <c r="D194" s="630" t="s">
        <v>775</v>
      </c>
      <c r="E194" s="630" t="s">
        <v>777</v>
      </c>
      <c r="F194" s="630" t="s">
        <v>1376</v>
      </c>
      <c r="G194" s="630" t="s">
        <v>778</v>
      </c>
      <c r="H194" s="621"/>
      <c r="I194" s="466"/>
      <c r="J194">
        <v>1</v>
      </c>
    </row>
    <row r="195" spans="1:10">
      <c r="A195" s="617" t="str">
        <f t="shared" si="2"/>
        <v>Steel wires</v>
      </c>
      <c r="B195" s="630" t="s">
        <v>779</v>
      </c>
      <c r="C195" s="630" t="s">
        <v>394</v>
      </c>
      <c r="D195" s="630" t="s">
        <v>1539</v>
      </c>
      <c r="E195" s="630" t="s">
        <v>1748</v>
      </c>
      <c r="F195" s="630" t="s">
        <v>1857</v>
      </c>
      <c r="G195" s="630" t="s">
        <v>780</v>
      </c>
      <c r="H195" s="621"/>
      <c r="I195" s="466"/>
      <c r="J195">
        <v>1</v>
      </c>
    </row>
    <row r="196" spans="1:10">
      <c r="A196" s="617" t="str">
        <f t="shared" si="2"/>
        <v>Synthetic polymer slurry</v>
      </c>
      <c r="B196" s="630" t="s">
        <v>2463</v>
      </c>
      <c r="C196" s="630" t="s">
        <v>2422</v>
      </c>
      <c r="D196" s="630" t="s">
        <v>2422</v>
      </c>
      <c r="E196" s="630" t="s">
        <v>2422</v>
      </c>
      <c r="F196" s="630" t="s">
        <v>2422</v>
      </c>
      <c r="G196" s="630" t="s">
        <v>2422</v>
      </c>
      <c r="H196" s="621"/>
      <c r="I196" s="466"/>
      <c r="J196">
        <v>0</v>
      </c>
    </row>
    <row r="197" spans="1:10">
      <c r="A197" s="617" t="str">
        <f>INDEX(B197:I197,1,$A$1)</f>
        <v>Cellulose-based polymer slurry</v>
      </c>
      <c r="B197" s="630" t="s">
        <v>2464</v>
      </c>
      <c r="C197" s="630" t="s">
        <v>2423</v>
      </c>
      <c r="D197" s="630" t="s">
        <v>2423</v>
      </c>
      <c r="E197" s="630" t="s">
        <v>2423</v>
      </c>
      <c r="F197" s="630" t="s">
        <v>2423</v>
      </c>
      <c r="G197" s="630" t="s">
        <v>2423</v>
      </c>
      <c r="H197" s="621"/>
      <c r="I197" s="466"/>
      <c r="J197">
        <v>0</v>
      </c>
    </row>
    <row r="198" spans="1:10">
      <c r="A198" s="617" t="str">
        <f t="shared" si="2"/>
        <v>Water</v>
      </c>
      <c r="B198" s="630" t="s">
        <v>782</v>
      </c>
      <c r="C198" s="630" t="s">
        <v>27</v>
      </c>
      <c r="D198" s="630" t="s">
        <v>781</v>
      </c>
      <c r="E198" s="630" t="s">
        <v>783</v>
      </c>
      <c r="F198" s="630" t="s">
        <v>1377</v>
      </c>
      <c r="G198" s="630" t="s">
        <v>27</v>
      </c>
      <c r="H198" s="621"/>
      <c r="I198" s="466"/>
      <c r="J198">
        <v>1</v>
      </c>
    </row>
    <row r="199" spans="1:10">
      <c r="A199" s="617" t="str">
        <f t="shared" si="2"/>
        <v xml:space="preserve"> - recycled</v>
      </c>
      <c r="B199" s="630" t="s">
        <v>1278</v>
      </c>
      <c r="C199" s="630" t="s">
        <v>1276</v>
      </c>
      <c r="D199" s="630" t="s">
        <v>1277</v>
      </c>
      <c r="E199" s="630" t="s">
        <v>1279</v>
      </c>
      <c r="F199" s="630" t="s">
        <v>1858</v>
      </c>
      <c r="G199" s="630" t="s">
        <v>1280</v>
      </c>
      <c r="H199" s="622"/>
      <c r="I199" s="466"/>
      <c r="J199">
        <v>1</v>
      </c>
    </row>
    <row r="200" spans="1:10">
      <c r="A200" s="617" t="str">
        <f t="shared" si="2"/>
        <v>Diesel</v>
      </c>
      <c r="B200" s="630" t="s">
        <v>2036</v>
      </c>
      <c r="C200" s="630" t="s">
        <v>2036</v>
      </c>
      <c r="D200" s="630" t="s">
        <v>1546</v>
      </c>
      <c r="E200" s="630" t="s">
        <v>1749</v>
      </c>
      <c r="F200" s="630" t="s">
        <v>1380</v>
      </c>
      <c r="G200" s="630" t="s">
        <v>2063</v>
      </c>
      <c r="H200" s="621"/>
      <c r="I200" s="466"/>
      <c r="J200">
        <v>1</v>
      </c>
    </row>
    <row r="201" spans="1:10">
      <c r="A201" s="617" t="str">
        <f t="shared" si="2"/>
        <v>Heavy fuel oil</v>
      </c>
      <c r="B201" s="630" t="s">
        <v>785</v>
      </c>
      <c r="C201" s="630" t="s">
        <v>361</v>
      </c>
      <c r="D201" s="630" t="s">
        <v>784</v>
      </c>
      <c r="E201" s="630" t="s">
        <v>1750</v>
      </c>
      <c r="F201" s="630" t="s">
        <v>1859</v>
      </c>
      <c r="G201" s="630" t="s">
        <v>786</v>
      </c>
      <c r="H201" s="621"/>
      <c r="I201" s="466"/>
      <c r="J201">
        <v>1</v>
      </c>
    </row>
    <row r="202" spans="1:10">
      <c r="A202" s="617" t="str">
        <f t="shared" si="2"/>
        <v>Electricity</v>
      </c>
      <c r="B202" s="630" t="s">
        <v>788</v>
      </c>
      <c r="C202" s="630" t="s">
        <v>44</v>
      </c>
      <c r="D202" s="630" t="s">
        <v>787</v>
      </c>
      <c r="E202" s="630" t="s">
        <v>789</v>
      </c>
      <c r="F202" s="630" t="s">
        <v>1378</v>
      </c>
      <c r="G202" s="630" t="s">
        <v>790</v>
      </c>
      <c r="H202" s="621"/>
      <c r="I202" s="466"/>
      <c r="J202">
        <v>1</v>
      </c>
    </row>
    <row r="203" spans="1:10">
      <c r="A203" s="617" t="str">
        <f t="shared" ref="A203:A266" si="3">INDEX(B203:I203,1,$A$1)</f>
        <v>Diesel (100% mineral diesel)</v>
      </c>
      <c r="B203" s="630" t="s">
        <v>1620</v>
      </c>
      <c r="C203" s="630" t="s">
        <v>362</v>
      </c>
      <c r="D203" s="630" t="s">
        <v>1540</v>
      </c>
      <c r="E203" s="630" t="s">
        <v>1751</v>
      </c>
      <c r="F203" s="630" t="s">
        <v>1379</v>
      </c>
      <c r="G203" s="630" t="s">
        <v>791</v>
      </c>
      <c r="H203" s="621"/>
      <c r="I203" s="466"/>
      <c r="J203">
        <v>1</v>
      </c>
    </row>
    <row r="204" spans="1:10">
      <c r="A204" s="617" t="str">
        <f t="shared" si="3"/>
        <v>Road - Rigid &gt;3.5-7.5t</v>
      </c>
      <c r="B204" s="630" t="s">
        <v>1621</v>
      </c>
      <c r="C204" s="630" t="s">
        <v>363</v>
      </c>
      <c r="D204" s="630" t="s">
        <v>792</v>
      </c>
      <c r="E204" s="630" t="s">
        <v>1752</v>
      </c>
      <c r="F204" s="630" t="s">
        <v>1860</v>
      </c>
      <c r="G204" s="630" t="s">
        <v>1947</v>
      </c>
      <c r="H204" s="621"/>
      <c r="I204" s="466"/>
      <c r="J204">
        <v>1</v>
      </c>
    </row>
    <row r="205" spans="1:10">
      <c r="A205" s="617" t="str">
        <f t="shared" si="3"/>
        <v>Road - Rigid &gt;7.5-17t</v>
      </c>
      <c r="B205" s="630" t="s">
        <v>1622</v>
      </c>
      <c r="C205" s="630" t="s">
        <v>364</v>
      </c>
      <c r="D205" s="630" t="s">
        <v>793</v>
      </c>
      <c r="E205" s="630" t="s">
        <v>1753</v>
      </c>
      <c r="F205" s="630" t="s">
        <v>1861</v>
      </c>
      <c r="G205" s="630" t="s">
        <v>1948</v>
      </c>
      <c r="H205" s="621"/>
      <c r="I205" s="466"/>
      <c r="J205">
        <v>1</v>
      </c>
    </row>
    <row r="206" spans="1:10">
      <c r="A206" s="617" t="str">
        <f t="shared" si="3"/>
        <v>Road - Rigid &gt;17t</v>
      </c>
      <c r="B206" s="630" t="s">
        <v>1623</v>
      </c>
      <c r="C206" s="630" t="s">
        <v>365</v>
      </c>
      <c r="D206" s="630" t="s">
        <v>794</v>
      </c>
      <c r="E206" s="630" t="s">
        <v>1754</v>
      </c>
      <c r="F206" s="630" t="s">
        <v>1862</v>
      </c>
      <c r="G206" s="630" t="s">
        <v>1949</v>
      </c>
      <c r="H206" s="621"/>
      <c r="I206" s="466"/>
      <c r="J206">
        <v>1</v>
      </c>
    </row>
    <row r="207" spans="1:10">
      <c r="A207" s="617" t="str">
        <f t="shared" si="3"/>
        <v>Road - Articulated &gt;3.5-33t</v>
      </c>
      <c r="B207" s="630" t="s">
        <v>1624</v>
      </c>
      <c r="C207" s="630" t="s">
        <v>366</v>
      </c>
      <c r="D207" s="630" t="s">
        <v>795</v>
      </c>
      <c r="E207" s="630" t="s">
        <v>1755</v>
      </c>
      <c r="F207" s="630" t="s">
        <v>1863</v>
      </c>
      <c r="G207" s="630" t="s">
        <v>796</v>
      </c>
      <c r="H207" s="621"/>
      <c r="I207" s="466"/>
      <c r="J207">
        <v>1</v>
      </c>
    </row>
    <row r="208" spans="1:10">
      <c r="A208" s="617" t="str">
        <f t="shared" si="3"/>
        <v>Road - Articulated &gt;33t</v>
      </c>
      <c r="B208" s="630" t="s">
        <v>1625</v>
      </c>
      <c r="C208" s="630" t="s">
        <v>367</v>
      </c>
      <c r="D208" s="630" t="s">
        <v>797</v>
      </c>
      <c r="E208" s="630" t="s">
        <v>1756</v>
      </c>
      <c r="F208" s="630" t="s">
        <v>1864</v>
      </c>
      <c r="G208" s="630" t="s">
        <v>798</v>
      </c>
      <c r="H208" s="621"/>
      <c r="I208" s="466"/>
      <c r="J208">
        <v>1</v>
      </c>
    </row>
    <row r="209" spans="1:10">
      <c r="A209" s="617" t="str">
        <f t="shared" si="3"/>
        <v>Air - Domestic</v>
      </c>
      <c r="B209" s="630" t="s">
        <v>2465</v>
      </c>
      <c r="C209" s="630" t="s">
        <v>380</v>
      </c>
      <c r="D209" s="630" t="s">
        <v>380</v>
      </c>
      <c r="E209" s="630" t="s">
        <v>1757</v>
      </c>
      <c r="F209" s="630" t="s">
        <v>1865</v>
      </c>
      <c r="G209" s="630" t="s">
        <v>1950</v>
      </c>
      <c r="H209" s="621"/>
      <c r="I209" s="466"/>
      <c r="J209">
        <v>1</v>
      </c>
    </row>
    <row r="210" spans="1:10">
      <c r="A210" s="617" t="str">
        <f t="shared" si="3"/>
        <v>Air - Short-haul international</v>
      </c>
      <c r="B210" s="630" t="s">
        <v>2466</v>
      </c>
      <c r="C210" s="630" t="s">
        <v>378</v>
      </c>
      <c r="D210" s="630" t="s">
        <v>1541</v>
      </c>
      <c r="E210" s="630" t="s">
        <v>1758</v>
      </c>
      <c r="F210" s="630" t="s">
        <v>1866</v>
      </c>
      <c r="G210" s="630" t="s">
        <v>1951</v>
      </c>
      <c r="H210" s="621"/>
      <c r="I210" s="466"/>
      <c r="J210">
        <v>1</v>
      </c>
    </row>
    <row r="211" spans="1:10">
      <c r="A211" s="617" t="str">
        <f t="shared" si="3"/>
        <v>Air - Long-haul international</v>
      </c>
      <c r="B211" s="630" t="s">
        <v>2467</v>
      </c>
      <c r="C211" s="630" t="s">
        <v>379</v>
      </c>
      <c r="D211" s="630" t="s">
        <v>799</v>
      </c>
      <c r="E211" s="630" t="s">
        <v>1759</v>
      </c>
      <c r="F211" s="630" t="s">
        <v>1867</v>
      </c>
      <c r="G211" s="630" t="s">
        <v>1952</v>
      </c>
      <c r="H211" s="621"/>
      <c r="I211" s="466"/>
      <c r="J211">
        <v>1</v>
      </c>
    </row>
    <row r="212" spans="1:10">
      <c r="A212" s="617" t="str">
        <f t="shared" si="3"/>
        <v xml:space="preserve">Maritime -  General cargo </v>
      </c>
      <c r="B212" s="630" t="s">
        <v>2468</v>
      </c>
      <c r="C212" s="630" t="s">
        <v>368</v>
      </c>
      <c r="D212" s="630" t="s">
        <v>1542</v>
      </c>
      <c r="E212" s="630" t="s">
        <v>800</v>
      </c>
      <c r="F212" s="630" t="s">
        <v>1868</v>
      </c>
      <c r="G212" s="630" t="s">
        <v>1953</v>
      </c>
      <c r="H212" s="621"/>
      <c r="I212" s="466"/>
      <c r="J212">
        <v>1</v>
      </c>
    </row>
    <row r="213" spans="1:10">
      <c r="A213" s="617" t="str">
        <f t="shared" si="3"/>
        <v xml:space="preserve">Maritime -  Container </v>
      </c>
      <c r="B213" s="630" t="s">
        <v>2469</v>
      </c>
      <c r="C213" s="630" t="s">
        <v>369</v>
      </c>
      <c r="D213" s="630" t="s">
        <v>1543</v>
      </c>
      <c r="E213" s="630" t="s">
        <v>1760</v>
      </c>
      <c r="F213" s="630" t="s">
        <v>1869</v>
      </c>
      <c r="G213" s="630" t="s">
        <v>1954</v>
      </c>
      <c r="H213" s="621"/>
      <c r="I213" s="466"/>
      <c r="J213">
        <v>1</v>
      </c>
    </row>
    <row r="214" spans="1:10">
      <c r="A214" s="617" t="str">
        <f t="shared" si="3"/>
        <v>Rail - Average freight - thermic</v>
      </c>
      <c r="B214" s="630" t="s">
        <v>2470</v>
      </c>
      <c r="C214" s="630" t="s">
        <v>386</v>
      </c>
      <c r="D214" s="630" t="s">
        <v>1544</v>
      </c>
      <c r="E214" s="630" t="s">
        <v>1761</v>
      </c>
      <c r="F214" s="630" t="s">
        <v>1870</v>
      </c>
      <c r="G214" s="630" t="s">
        <v>1955</v>
      </c>
      <c r="H214" s="621"/>
      <c r="I214" s="466"/>
      <c r="J214">
        <v>1</v>
      </c>
    </row>
    <row r="215" spans="1:10">
      <c r="A215" s="617" t="str">
        <f t="shared" si="3"/>
        <v>Diesel oil</v>
      </c>
      <c r="B215" s="630" t="s">
        <v>801</v>
      </c>
      <c r="C215" s="630" t="s">
        <v>359</v>
      </c>
      <c r="D215" s="630" t="s">
        <v>1545</v>
      </c>
      <c r="E215" s="630" t="s">
        <v>802</v>
      </c>
      <c r="F215" s="630" t="s">
        <v>1380</v>
      </c>
      <c r="G215" s="630" t="s">
        <v>2064</v>
      </c>
      <c r="H215" s="621"/>
      <c r="I215" s="466"/>
      <c r="J215">
        <v>1</v>
      </c>
    </row>
    <row r="216" spans="1:10">
      <c r="A216" s="617" t="str">
        <f t="shared" si="3"/>
        <v>Bus</v>
      </c>
      <c r="B216" s="630" t="s">
        <v>52</v>
      </c>
      <c r="C216" s="630" t="s">
        <v>52</v>
      </c>
      <c r="D216" s="630" t="s">
        <v>52</v>
      </c>
      <c r="E216" s="630" t="s">
        <v>803</v>
      </c>
      <c r="F216" s="630" t="s">
        <v>1381</v>
      </c>
      <c r="G216" s="630" t="s">
        <v>52</v>
      </c>
      <c r="H216" s="621"/>
      <c r="I216" s="466"/>
      <c r="J216">
        <v>1</v>
      </c>
    </row>
    <row r="217" spans="1:10">
      <c r="A217" s="617" t="str">
        <f t="shared" si="3"/>
        <v>Car</v>
      </c>
      <c r="B217" s="630" t="s">
        <v>805</v>
      </c>
      <c r="C217" s="630" t="s">
        <v>51</v>
      </c>
      <c r="D217" s="630" t="s">
        <v>804</v>
      </c>
      <c r="E217" s="630" t="s">
        <v>806</v>
      </c>
      <c r="F217" s="630" t="s">
        <v>805</v>
      </c>
      <c r="G217" s="630" t="s">
        <v>805</v>
      </c>
      <c r="H217" s="621"/>
      <c r="I217" s="466"/>
      <c r="J217">
        <v>1</v>
      </c>
    </row>
    <row r="218" spans="1:10">
      <c r="A218" s="617" t="str">
        <f t="shared" si="3"/>
        <v>Train</v>
      </c>
      <c r="B218" s="630" t="s">
        <v>807</v>
      </c>
      <c r="C218" s="630" t="s">
        <v>53</v>
      </c>
      <c r="D218" s="630" t="s">
        <v>53</v>
      </c>
      <c r="E218" s="630" t="s">
        <v>808</v>
      </c>
      <c r="F218" s="630" t="s">
        <v>1382</v>
      </c>
      <c r="G218" s="630" t="s">
        <v>809</v>
      </c>
      <c r="H218" s="621"/>
      <c r="I218" s="466"/>
      <c r="J218">
        <v>1</v>
      </c>
    </row>
    <row r="219" spans="1:10">
      <c r="A219" s="617" t="str">
        <f t="shared" si="3"/>
        <v>Air passenger - Domestic</v>
      </c>
      <c r="B219" s="630" t="s">
        <v>1626</v>
      </c>
      <c r="C219" s="630" t="s">
        <v>424</v>
      </c>
      <c r="D219" s="630" t="s">
        <v>810</v>
      </c>
      <c r="E219" s="630" t="s">
        <v>1762</v>
      </c>
      <c r="F219" s="630" t="s">
        <v>1871</v>
      </c>
      <c r="G219" s="630" t="s">
        <v>1950</v>
      </c>
      <c r="H219" s="621"/>
      <c r="I219" s="466"/>
      <c r="J219">
        <v>1</v>
      </c>
    </row>
    <row r="220" spans="1:10">
      <c r="A220" s="617" t="str">
        <f t="shared" si="3"/>
        <v>Air passenger - Short-haul international</v>
      </c>
      <c r="B220" s="630" t="s">
        <v>1627</v>
      </c>
      <c r="C220" s="630" t="s">
        <v>426</v>
      </c>
      <c r="D220" s="630" t="s">
        <v>811</v>
      </c>
      <c r="E220" s="630" t="s">
        <v>1763</v>
      </c>
      <c r="F220" s="630" t="s">
        <v>1872</v>
      </c>
      <c r="G220" s="630" t="s">
        <v>1951</v>
      </c>
      <c r="H220" s="621"/>
      <c r="I220" s="466"/>
      <c r="J220">
        <v>1</v>
      </c>
    </row>
    <row r="221" spans="1:10">
      <c r="A221" s="617" t="str">
        <f t="shared" si="3"/>
        <v>Air passenger - Long-haul international</v>
      </c>
      <c r="B221" s="630" t="s">
        <v>1628</v>
      </c>
      <c r="C221" s="630" t="s">
        <v>425</v>
      </c>
      <c r="D221" s="630" t="s">
        <v>812</v>
      </c>
      <c r="E221" s="630" t="s">
        <v>1764</v>
      </c>
      <c r="F221" s="630" t="s">
        <v>1873</v>
      </c>
      <c r="G221" s="630" t="s">
        <v>1952</v>
      </c>
      <c r="H221" s="621"/>
      <c r="I221" s="466"/>
      <c r="J221">
        <v>1</v>
      </c>
    </row>
    <row r="222" spans="1:10">
      <c r="A222" s="617" t="str">
        <f t="shared" si="3"/>
        <v>Machines</v>
      </c>
      <c r="B222" s="630" t="s">
        <v>2471</v>
      </c>
      <c r="C222" s="630" t="s">
        <v>35</v>
      </c>
      <c r="D222" s="630" t="s">
        <v>35</v>
      </c>
      <c r="E222" s="630" t="s">
        <v>813</v>
      </c>
      <c r="F222" s="630" t="s">
        <v>1383</v>
      </c>
      <c r="G222" s="630" t="s">
        <v>35</v>
      </c>
      <c r="H222" s="621"/>
      <c r="I222" s="466"/>
      <c r="J222">
        <v>1</v>
      </c>
    </row>
    <row r="223" spans="1:10">
      <c r="A223" s="617" t="str">
        <f t="shared" si="3"/>
        <v>Cement types</v>
      </c>
      <c r="B223" s="630" t="s">
        <v>815</v>
      </c>
      <c r="C223" s="630" t="s">
        <v>260</v>
      </c>
      <c r="D223" s="630" t="s">
        <v>814</v>
      </c>
      <c r="E223" s="630" t="s">
        <v>816</v>
      </c>
      <c r="F223" s="630" t="s">
        <v>1874</v>
      </c>
      <c r="G223" s="630" t="s">
        <v>817</v>
      </c>
      <c r="H223" s="621"/>
      <c r="I223" s="466"/>
      <c r="J223">
        <v>1</v>
      </c>
    </row>
    <row r="224" spans="1:10">
      <c r="A224" s="617" t="str">
        <f t="shared" si="3"/>
        <v>CEM II/A-LL or L</v>
      </c>
      <c r="B224" s="630" t="s">
        <v>819</v>
      </c>
      <c r="C224" s="630" t="s">
        <v>9</v>
      </c>
      <c r="D224" s="630" t="s">
        <v>818</v>
      </c>
      <c r="E224" s="630" t="s">
        <v>820</v>
      </c>
      <c r="F224" s="630" t="s">
        <v>820</v>
      </c>
      <c r="G224" s="630" t="s">
        <v>821</v>
      </c>
      <c r="H224" s="621"/>
      <c r="I224" s="466"/>
      <c r="J224">
        <v>1</v>
      </c>
    </row>
    <row r="225" spans="1:10">
      <c r="A225" s="617" t="str">
        <f t="shared" si="3"/>
        <v>CEM II/A-V</v>
      </c>
      <c r="B225" s="630" t="s">
        <v>822</v>
      </c>
      <c r="C225" s="630" t="s">
        <v>10</v>
      </c>
      <c r="D225" s="630" t="s">
        <v>822</v>
      </c>
      <c r="E225" s="630" t="s">
        <v>822</v>
      </c>
      <c r="F225" s="630" t="s">
        <v>822</v>
      </c>
      <c r="G225" s="630" t="s">
        <v>822</v>
      </c>
      <c r="H225" s="621"/>
      <c r="I225" s="466"/>
      <c r="J225">
        <v>1</v>
      </c>
    </row>
    <row r="226" spans="1:10">
      <c r="A226" s="617" t="str">
        <f t="shared" si="3"/>
        <v>CEM II/B-V</v>
      </c>
      <c r="B226" s="630" t="s">
        <v>823</v>
      </c>
      <c r="C226" s="630" t="s">
        <v>11</v>
      </c>
      <c r="D226" s="630" t="s">
        <v>823</v>
      </c>
      <c r="E226" s="630" t="s">
        <v>823</v>
      </c>
      <c r="F226" s="630" t="s">
        <v>823</v>
      </c>
      <c r="G226" s="630" t="s">
        <v>823</v>
      </c>
      <c r="H226" s="621"/>
      <c r="I226" s="466"/>
      <c r="J226">
        <v>1</v>
      </c>
    </row>
    <row r="227" spans="1:10">
      <c r="A227" s="617" t="str">
        <f t="shared" si="3"/>
        <v>CEM II/B-S</v>
      </c>
      <c r="B227" s="630" t="s">
        <v>824</v>
      </c>
      <c r="C227" s="630" t="s">
        <v>12</v>
      </c>
      <c r="D227" s="630" t="s">
        <v>824</v>
      </c>
      <c r="E227" s="630" t="s">
        <v>824</v>
      </c>
      <c r="F227" s="630" t="s">
        <v>824</v>
      </c>
      <c r="G227" s="630" t="s">
        <v>824</v>
      </c>
      <c r="H227" s="621"/>
      <c r="I227" s="466"/>
      <c r="J227">
        <v>1</v>
      </c>
    </row>
    <row r="228" spans="1:10">
      <c r="A228" s="617" t="str">
        <f t="shared" si="3"/>
        <v>CEM III/A</v>
      </c>
      <c r="B228" s="630" t="s">
        <v>825</v>
      </c>
      <c r="C228" s="630" t="s">
        <v>13</v>
      </c>
      <c r="D228" s="630" t="s">
        <v>825</v>
      </c>
      <c r="E228" s="630" t="s">
        <v>825</v>
      </c>
      <c r="F228" s="630" t="s">
        <v>825</v>
      </c>
      <c r="G228" s="630" t="s">
        <v>825</v>
      </c>
      <c r="H228" s="621"/>
      <c r="I228" s="466"/>
      <c r="J228">
        <v>1</v>
      </c>
    </row>
    <row r="229" spans="1:10">
      <c r="A229" s="617" t="str">
        <f t="shared" si="3"/>
        <v>CEM III/B</v>
      </c>
      <c r="B229" s="630" t="s">
        <v>826</v>
      </c>
      <c r="C229" s="630" t="s">
        <v>14</v>
      </c>
      <c r="D229" s="630" t="s">
        <v>826</v>
      </c>
      <c r="E229" s="630" t="s">
        <v>826</v>
      </c>
      <c r="F229" s="630" t="s">
        <v>826</v>
      </c>
      <c r="G229" s="630" t="s">
        <v>826</v>
      </c>
      <c r="H229" s="621"/>
      <c r="I229" s="466"/>
      <c r="J229">
        <v>1</v>
      </c>
    </row>
    <row r="230" spans="1:10">
      <c r="A230" s="617" t="str">
        <f t="shared" si="3"/>
        <v>CEM III/C</v>
      </c>
      <c r="B230" s="630" t="s">
        <v>827</v>
      </c>
      <c r="C230" s="630" t="s">
        <v>459</v>
      </c>
      <c r="D230" s="630" t="s">
        <v>827</v>
      </c>
      <c r="E230" s="630" t="s">
        <v>827</v>
      </c>
      <c r="F230" s="630" t="s">
        <v>827</v>
      </c>
      <c r="G230" s="630" t="s">
        <v>827</v>
      </c>
      <c r="H230" s="621"/>
      <c r="I230" s="466"/>
      <c r="J230">
        <v>1</v>
      </c>
    </row>
    <row r="231" spans="1:10">
      <c r="A231" s="617" t="str">
        <f t="shared" si="3"/>
        <v>CEM IV/B-V</v>
      </c>
      <c r="B231" s="630" t="s">
        <v>828</v>
      </c>
      <c r="C231" s="630" t="s">
        <v>15</v>
      </c>
      <c r="D231" s="630" t="s">
        <v>828</v>
      </c>
      <c r="E231" s="630" t="s">
        <v>829</v>
      </c>
      <c r="F231" s="630" t="s">
        <v>828</v>
      </c>
      <c r="G231" s="630" t="s">
        <v>828</v>
      </c>
      <c r="H231" s="621"/>
      <c r="I231" s="466"/>
      <c r="J231">
        <v>1</v>
      </c>
    </row>
    <row r="232" spans="1:10">
      <c r="A232" s="617" t="str">
        <f t="shared" si="3"/>
        <v>Default recycled content</v>
      </c>
      <c r="B232" s="630" t="s">
        <v>2472</v>
      </c>
      <c r="C232" s="630" t="s">
        <v>301</v>
      </c>
      <c r="D232" s="630" t="s">
        <v>1547</v>
      </c>
      <c r="E232" s="630" t="s">
        <v>1765</v>
      </c>
      <c r="F232" s="630" t="s">
        <v>1875</v>
      </c>
      <c r="G232" s="630" t="s">
        <v>830</v>
      </c>
      <c r="H232" s="621"/>
      <c r="I232" s="466"/>
      <c r="J232">
        <v>1</v>
      </c>
    </row>
    <row r="233" spans="1:10">
      <c r="A233" s="617" t="str">
        <f t="shared" si="3"/>
        <v>Steel sheet</v>
      </c>
      <c r="B233" s="630" t="s">
        <v>2473</v>
      </c>
      <c r="C233" s="630" t="s">
        <v>391</v>
      </c>
      <c r="D233" s="630" t="s">
        <v>831</v>
      </c>
      <c r="E233" s="630" t="s">
        <v>833</v>
      </c>
      <c r="F233" s="630" t="s">
        <v>1876</v>
      </c>
      <c r="G233" s="630" t="s">
        <v>2065</v>
      </c>
      <c r="H233" s="621"/>
      <c r="I233" s="466"/>
      <c r="J233">
        <v>1</v>
      </c>
    </row>
    <row r="234" spans="1:10">
      <c r="A234" s="617" t="str">
        <f t="shared" si="3"/>
        <v>Steel bars</v>
      </c>
      <c r="B234" s="630" t="s">
        <v>835</v>
      </c>
      <c r="C234" s="630" t="s">
        <v>392</v>
      </c>
      <c r="D234" s="630" t="s">
        <v>834</v>
      </c>
      <c r="E234" s="630" t="s">
        <v>1747</v>
      </c>
      <c r="F234" s="630" t="s">
        <v>1857</v>
      </c>
      <c r="G234" s="630" t="s">
        <v>836</v>
      </c>
      <c r="H234" s="621"/>
      <c r="I234" s="466"/>
      <c r="J234">
        <v>1</v>
      </c>
    </row>
    <row r="235" spans="1:10">
      <c r="A235" s="617" t="str">
        <f t="shared" si="3"/>
        <v>Freight load</v>
      </c>
      <c r="B235" s="630" t="s">
        <v>1629</v>
      </c>
      <c r="C235" s="630" t="s">
        <v>265</v>
      </c>
      <c r="D235" s="630" t="s">
        <v>1548</v>
      </c>
      <c r="E235" s="630" t="s">
        <v>1766</v>
      </c>
      <c r="F235" s="630" t="s">
        <v>1877</v>
      </c>
      <c r="G235" s="630" t="s">
        <v>1956</v>
      </c>
      <c r="H235" s="621"/>
      <c r="I235" s="466"/>
      <c r="J235">
        <v>1</v>
      </c>
    </row>
    <row r="236" spans="1:10">
      <c r="A236" s="617" t="str">
        <f t="shared" si="3"/>
        <v>Standard freight activities data</v>
      </c>
      <c r="B236" s="630" t="s">
        <v>1630</v>
      </c>
      <c r="C236" s="630" t="s">
        <v>382</v>
      </c>
      <c r="D236" s="630" t="s">
        <v>1549</v>
      </c>
      <c r="E236" s="630" t="s">
        <v>1767</v>
      </c>
      <c r="F236" s="630" t="s">
        <v>1878</v>
      </c>
      <c r="G236" s="630" t="s">
        <v>1957</v>
      </c>
      <c r="H236" s="621"/>
      <c r="I236" s="466"/>
      <c r="J236">
        <v>1</v>
      </c>
    </row>
    <row r="237" spans="1:10">
      <c r="A237" s="617" t="str">
        <f t="shared" si="3"/>
        <v>Do not change the database unless you really need it</v>
      </c>
      <c r="B237" s="630" t="s">
        <v>2474</v>
      </c>
      <c r="C237" s="630" t="s">
        <v>303</v>
      </c>
      <c r="D237" s="630" t="s">
        <v>1550</v>
      </c>
      <c r="E237" s="630" t="s">
        <v>837</v>
      </c>
      <c r="F237" s="630" t="s">
        <v>1879</v>
      </c>
      <c r="G237" s="630" t="s">
        <v>2066</v>
      </c>
      <c r="H237" s="621"/>
      <c r="I237" s="466"/>
      <c r="J237">
        <v>1</v>
      </c>
    </row>
    <row r="238" spans="1:10">
      <c r="A238" s="617" t="str">
        <f t="shared" si="3"/>
        <v>liter</v>
      </c>
      <c r="B238" s="630" t="s">
        <v>839</v>
      </c>
      <c r="C238" s="630" t="s">
        <v>34</v>
      </c>
      <c r="D238" s="630" t="s">
        <v>838</v>
      </c>
      <c r="E238" s="630" t="s">
        <v>840</v>
      </c>
      <c r="F238" s="630" t="s">
        <v>840</v>
      </c>
      <c r="G238" s="630" t="s">
        <v>34</v>
      </c>
      <c r="H238" s="621"/>
      <c r="I238" s="466"/>
      <c r="J238">
        <v>1</v>
      </c>
    </row>
    <row r="239" spans="1:10">
      <c r="A239" s="617" t="str">
        <f t="shared" si="3"/>
        <v>vkm</v>
      </c>
      <c r="B239" s="630" t="s">
        <v>2475</v>
      </c>
      <c r="C239" s="630" t="s">
        <v>38</v>
      </c>
      <c r="D239" s="630" t="s">
        <v>38</v>
      </c>
      <c r="E239" s="630" t="s">
        <v>38</v>
      </c>
      <c r="F239" s="630" t="s">
        <v>841</v>
      </c>
      <c r="G239" s="630" t="s">
        <v>841</v>
      </c>
      <c r="H239" s="621"/>
      <c r="I239" s="466"/>
      <c r="J239">
        <v>1</v>
      </c>
    </row>
    <row r="240" spans="1:10">
      <c r="A240" s="617" t="str">
        <f t="shared" si="3"/>
        <v>tkm</v>
      </c>
      <c r="B240" s="630" t="s">
        <v>40</v>
      </c>
      <c r="C240" s="630" t="s">
        <v>40</v>
      </c>
      <c r="D240" s="630" t="s">
        <v>40</v>
      </c>
      <c r="E240" s="630" t="s">
        <v>40</v>
      </c>
      <c r="F240" s="630" t="s">
        <v>40</v>
      </c>
      <c r="G240" s="630" t="s">
        <v>40</v>
      </c>
      <c r="H240" s="621"/>
      <c r="I240" s="466"/>
      <c r="J240">
        <v>1</v>
      </c>
    </row>
    <row r="241" spans="1:10">
      <c r="A241" s="617" t="str">
        <f t="shared" si="3"/>
        <v>pkm</v>
      </c>
      <c r="B241" s="630" t="s">
        <v>2476</v>
      </c>
      <c r="C241" s="630" t="s">
        <v>39</v>
      </c>
      <c r="D241" s="630" t="s">
        <v>39</v>
      </c>
      <c r="E241" s="630" t="s">
        <v>39</v>
      </c>
      <c r="F241" s="630" t="s">
        <v>39</v>
      </c>
      <c r="G241" s="630" t="s">
        <v>39</v>
      </c>
      <c r="H241" s="621"/>
      <c r="I241" s="466"/>
      <c r="J241">
        <v>1</v>
      </c>
    </row>
    <row r="242" spans="1:10">
      <c r="A242" s="617" t="str">
        <f t="shared" si="3"/>
        <v>-</v>
      </c>
      <c r="B242" s="630" t="s">
        <v>264</v>
      </c>
      <c r="C242" s="630" t="s">
        <v>264</v>
      </c>
      <c r="D242" s="630" t="s">
        <v>264</v>
      </c>
      <c r="E242" s="630" t="s">
        <v>264</v>
      </c>
      <c r="F242" s="630" t="s">
        <v>264</v>
      </c>
      <c r="G242" s="630" t="s">
        <v>264</v>
      </c>
      <c r="H242" s="621"/>
      <c r="I242" s="466"/>
      <c r="J242">
        <v>1</v>
      </c>
    </row>
    <row r="243" spans="1:10">
      <c r="A243" s="617" t="str">
        <f t="shared" si="3"/>
        <v>Default load</v>
      </c>
      <c r="B243" s="630" t="s">
        <v>2477</v>
      </c>
      <c r="C243" s="630" t="s">
        <v>266</v>
      </c>
      <c r="D243" s="630" t="s">
        <v>842</v>
      </c>
      <c r="E243" s="630" t="s">
        <v>1768</v>
      </c>
      <c r="F243" s="630" t="s">
        <v>1880</v>
      </c>
      <c r="G243" s="630" t="s">
        <v>1958</v>
      </c>
      <c r="H243" s="621"/>
      <c r="I243" s="466"/>
      <c r="J243">
        <v>1</v>
      </c>
    </row>
    <row r="244" spans="1:10">
      <c r="A244" s="617" t="str">
        <f t="shared" si="3"/>
        <v>Freight Type</v>
      </c>
      <c r="B244" s="630" t="s">
        <v>2478</v>
      </c>
      <c r="C244" s="630" t="s">
        <v>383</v>
      </c>
      <c r="D244" s="630" t="s">
        <v>843</v>
      </c>
      <c r="E244" s="630" t="s">
        <v>844</v>
      </c>
      <c r="F244" s="630" t="s">
        <v>1384</v>
      </c>
      <c r="G244" s="630" t="s">
        <v>845</v>
      </c>
      <c r="H244" s="621"/>
      <c r="I244" s="466"/>
      <c r="J244">
        <v>1</v>
      </c>
    </row>
    <row r="245" spans="1:10">
      <c r="A245" s="617" t="str">
        <f t="shared" si="3"/>
        <v>Emission factor used (kgCO2/unit)</v>
      </c>
      <c r="B245" s="630" t="s">
        <v>2520</v>
      </c>
      <c r="C245" s="630" t="s">
        <v>85</v>
      </c>
      <c r="D245" s="630" t="s">
        <v>846</v>
      </c>
      <c r="E245" s="630" t="s">
        <v>1769</v>
      </c>
      <c r="F245" s="630" t="s">
        <v>1385</v>
      </c>
      <c r="G245" s="630" t="s">
        <v>1959</v>
      </c>
      <c r="H245" s="621"/>
      <c r="I245" s="466"/>
      <c r="J245">
        <v>1</v>
      </c>
    </row>
    <row r="246" spans="1:10">
      <c r="A246" s="617" t="str">
        <f t="shared" si="3"/>
        <v>Secondary constituent minimum content</v>
      </c>
      <c r="B246" s="630" t="s">
        <v>1631</v>
      </c>
      <c r="C246" s="630" t="s">
        <v>261</v>
      </c>
      <c r="D246" s="630" t="s">
        <v>1551</v>
      </c>
      <c r="E246" s="630" t="s">
        <v>1770</v>
      </c>
      <c r="F246" s="630" t="s">
        <v>1881</v>
      </c>
      <c r="G246" s="630" t="s">
        <v>1960</v>
      </c>
      <c r="H246" s="621"/>
      <c r="I246" s="466"/>
      <c r="J246">
        <v>1</v>
      </c>
    </row>
    <row r="247" spans="1:10">
      <c r="A247" s="617" t="str">
        <f t="shared" si="3"/>
        <v>Source</v>
      </c>
      <c r="B247" s="630" t="s">
        <v>847</v>
      </c>
      <c r="C247" s="630" t="s">
        <v>302</v>
      </c>
      <c r="D247" s="630" t="s">
        <v>302</v>
      </c>
      <c r="E247" s="630" t="s">
        <v>848</v>
      </c>
      <c r="F247" s="630" t="s">
        <v>1386</v>
      </c>
      <c r="G247" s="630" t="s">
        <v>849</v>
      </c>
      <c r="H247" s="621"/>
      <c r="I247" s="466"/>
      <c r="J247">
        <v>1</v>
      </c>
    </row>
    <row r="248" spans="1:10">
      <c r="A248" s="617" t="str">
        <f t="shared" si="3"/>
        <v>Common distance (km)</v>
      </c>
      <c r="B248" s="630" t="s">
        <v>850</v>
      </c>
      <c r="C248" s="630" t="s">
        <v>384</v>
      </c>
      <c r="D248" s="630" t="s">
        <v>1553</v>
      </c>
      <c r="E248" s="630" t="s">
        <v>1771</v>
      </c>
      <c r="F248" s="630" t="s">
        <v>1882</v>
      </c>
      <c r="G248" s="630" t="s">
        <v>1961</v>
      </c>
      <c r="H248" s="621"/>
      <c r="I248" s="466"/>
      <c r="J248">
        <v>1</v>
      </c>
    </row>
    <row r="249" spans="1:10">
      <c r="A249" s="617" t="str">
        <f t="shared" si="3"/>
        <v>Emission factor database used</v>
      </c>
      <c r="B249" s="630" t="s">
        <v>1632</v>
      </c>
      <c r="C249" s="630" t="s">
        <v>89</v>
      </c>
      <c r="D249" s="630" t="s">
        <v>851</v>
      </c>
      <c r="E249" s="630" t="s">
        <v>1772</v>
      </c>
      <c r="F249" s="630" t="s">
        <v>1883</v>
      </c>
      <c r="G249" s="630" t="s">
        <v>1962</v>
      </c>
      <c r="H249" s="621"/>
      <c r="I249" s="466"/>
      <c r="J249">
        <v>1</v>
      </c>
    </row>
    <row r="250" spans="1:10">
      <c r="A250" s="617" t="str">
        <f t="shared" si="3"/>
        <v>Secondary constituent maximum content</v>
      </c>
      <c r="B250" s="630" t="s">
        <v>1633</v>
      </c>
      <c r="C250" s="630" t="s">
        <v>262</v>
      </c>
      <c r="D250" s="630" t="s">
        <v>1552</v>
      </c>
      <c r="E250" s="630" t="s">
        <v>1773</v>
      </c>
      <c r="F250" s="630" t="s">
        <v>1884</v>
      </c>
      <c r="G250" s="630" t="s">
        <v>1963</v>
      </c>
      <c r="H250" s="621"/>
      <c r="I250" s="466"/>
      <c r="J250">
        <v>1</v>
      </c>
    </row>
    <row r="251" spans="1:10">
      <c r="A251" s="617" t="str">
        <f t="shared" si="3"/>
        <v>User-defined emission factor (kgCO2/unit)</v>
      </c>
      <c r="B251" s="630" t="s">
        <v>2521</v>
      </c>
      <c r="C251" s="630" t="s">
        <v>90</v>
      </c>
      <c r="D251" s="630" t="s">
        <v>852</v>
      </c>
      <c r="E251" s="630" t="s">
        <v>1774</v>
      </c>
      <c r="F251" s="630" t="s">
        <v>1885</v>
      </c>
      <c r="G251" s="630" t="s">
        <v>853</v>
      </c>
      <c r="H251" s="621"/>
      <c r="I251" s="466"/>
      <c r="J251">
        <v>1</v>
      </c>
    </row>
    <row r="252" spans="1:10">
      <c r="A252" s="617" t="str">
        <f t="shared" si="3"/>
        <v>Secondary constituent average content</v>
      </c>
      <c r="B252" s="630" t="s">
        <v>1634</v>
      </c>
      <c r="C252" s="630" t="s">
        <v>263</v>
      </c>
      <c r="D252" s="630" t="s">
        <v>854</v>
      </c>
      <c r="E252" s="630" t="s">
        <v>1775</v>
      </c>
      <c r="F252" s="630" t="s">
        <v>1886</v>
      </c>
      <c r="G252" s="630" t="s">
        <v>1964</v>
      </c>
      <c r="H252" s="621"/>
      <c r="I252" s="466"/>
      <c r="J252">
        <v>1</v>
      </c>
    </row>
    <row r="253" spans="1:10">
      <c r="A253" s="617" t="str">
        <f t="shared" si="3"/>
        <v>User-defined emission factor source</v>
      </c>
      <c r="B253" s="630" t="s">
        <v>1635</v>
      </c>
      <c r="C253" s="630" t="s">
        <v>91</v>
      </c>
      <c r="D253" s="630" t="s">
        <v>1554</v>
      </c>
      <c r="E253" s="630" t="s">
        <v>1776</v>
      </c>
      <c r="F253" s="630" t="s">
        <v>1887</v>
      </c>
      <c r="G253" s="630" t="s">
        <v>1965</v>
      </c>
      <c r="H253" s="621"/>
      <c r="I253" s="466"/>
      <c r="J253">
        <v>1</v>
      </c>
    </row>
    <row r="254" spans="1:10">
      <c r="A254" s="617" t="str">
        <f t="shared" si="3"/>
        <v>Material type</v>
      </c>
      <c r="B254" s="630" t="s">
        <v>2479</v>
      </c>
      <c r="C254" s="630" t="s">
        <v>314</v>
      </c>
      <c r="D254" s="630" t="s">
        <v>1555</v>
      </c>
      <c r="E254" s="630" t="s">
        <v>855</v>
      </c>
      <c r="F254" s="630" t="s">
        <v>1888</v>
      </c>
      <c r="G254" s="630" t="s">
        <v>856</v>
      </c>
      <c r="H254" s="621"/>
      <c r="I254" s="466"/>
      <c r="J254">
        <v>1</v>
      </c>
    </row>
    <row r="255" spans="1:10">
      <c r="A255" s="617" t="str">
        <f t="shared" si="3"/>
        <v>Uncertainty</v>
      </c>
      <c r="B255" s="630" t="s">
        <v>858</v>
      </c>
      <c r="C255" s="630" t="s">
        <v>318</v>
      </c>
      <c r="D255" s="630" t="s">
        <v>857</v>
      </c>
      <c r="E255" s="630" t="s">
        <v>859</v>
      </c>
      <c r="F255" s="630" t="s">
        <v>1889</v>
      </c>
      <c r="G255" s="630" t="s">
        <v>860</v>
      </c>
      <c r="H255" s="621"/>
      <c r="I255" s="466"/>
      <c r="J255">
        <v>1</v>
      </c>
    </row>
    <row r="256" spans="1:10" ht="30">
      <c r="A256" s="617" t="str">
        <f t="shared" si="3"/>
        <v>EFFC DFI methodology recommended emission factors</v>
      </c>
      <c r="B256" s="630" t="s">
        <v>2480</v>
      </c>
      <c r="C256" s="630" t="s">
        <v>306</v>
      </c>
      <c r="D256" s="630" t="s">
        <v>1556</v>
      </c>
      <c r="E256" s="630" t="s">
        <v>1777</v>
      </c>
      <c r="F256" s="630" t="s">
        <v>1387</v>
      </c>
      <c r="G256" s="630" t="s">
        <v>1966</v>
      </c>
      <c r="H256" s="621"/>
      <c r="I256" s="466"/>
      <c r="J256">
        <v>1</v>
      </c>
    </row>
    <row r="257" spans="1:10">
      <c r="A257" s="617" t="str">
        <f t="shared" si="3"/>
        <v>Ecoinvent v3.1</v>
      </c>
      <c r="B257" s="630" t="s">
        <v>2583</v>
      </c>
      <c r="C257" s="630" t="s">
        <v>2583</v>
      </c>
      <c r="D257" s="630" t="s">
        <v>2583</v>
      </c>
      <c r="E257" s="630" t="s">
        <v>2583</v>
      </c>
      <c r="F257" s="630" t="s">
        <v>2583</v>
      </c>
      <c r="G257" s="630" t="s">
        <v>2583</v>
      </c>
      <c r="H257" s="621"/>
      <c r="I257" s="466"/>
      <c r="J257">
        <v>1</v>
      </c>
    </row>
    <row r="258" spans="1:10">
      <c r="A258" s="617" t="str">
        <f t="shared" si="3"/>
        <v>Base carbone (v18.1)</v>
      </c>
      <c r="B258" s="630" t="s">
        <v>2594</v>
      </c>
      <c r="C258" s="630" t="s">
        <v>2594</v>
      </c>
      <c r="D258" s="630" t="s">
        <v>2594</v>
      </c>
      <c r="E258" s="630" t="s">
        <v>2594</v>
      </c>
      <c r="F258" s="630" t="s">
        <v>2594</v>
      </c>
      <c r="G258" s="630" t="s">
        <v>2594</v>
      </c>
      <c r="H258" s="621"/>
      <c r="I258" s="466"/>
      <c r="J258">
        <v>1</v>
      </c>
    </row>
    <row r="259" spans="1:10">
      <c r="A259" s="617" t="str">
        <f t="shared" si="3"/>
        <v>sustainableconcrete</v>
      </c>
      <c r="B259" s="630" t="s">
        <v>30</v>
      </c>
      <c r="C259" s="630" t="s">
        <v>30</v>
      </c>
      <c r="D259" s="630" t="s">
        <v>30</v>
      </c>
      <c r="E259" s="630" t="s">
        <v>1778</v>
      </c>
      <c r="F259" s="630" t="s">
        <v>2095</v>
      </c>
      <c r="G259" s="630" t="s">
        <v>30</v>
      </c>
      <c r="H259" s="621"/>
      <c r="I259" s="466"/>
      <c r="J259">
        <v>1</v>
      </c>
    </row>
    <row r="260" spans="1:10" s="729" customFormat="1">
      <c r="A260" s="725" t="str">
        <f t="shared" si="3"/>
        <v>ICE V3</v>
      </c>
      <c r="B260" s="726" t="s">
        <v>2592</v>
      </c>
      <c r="C260" s="726" t="str">
        <f>B260</f>
        <v>ICE V3</v>
      </c>
      <c r="D260" s="726" t="str">
        <f t="shared" ref="D260:G260" si="4">C260</f>
        <v>ICE V3</v>
      </c>
      <c r="E260" s="726" t="str">
        <f t="shared" si="4"/>
        <v>ICE V3</v>
      </c>
      <c r="F260" s="726" t="str">
        <f t="shared" si="4"/>
        <v>ICE V3</v>
      </c>
      <c r="G260" s="726" t="str">
        <f t="shared" si="4"/>
        <v>ICE V3</v>
      </c>
      <c r="H260" s="727"/>
      <c r="I260" s="728"/>
      <c r="J260" s="729">
        <v>1</v>
      </c>
    </row>
    <row r="261" spans="1:10">
      <c r="A261" s="617" t="str">
        <f t="shared" si="3"/>
        <v>Defra 2019 (v1.3)</v>
      </c>
      <c r="B261" s="630" t="s">
        <v>2593</v>
      </c>
      <c r="C261" s="630" t="s">
        <v>2593</v>
      </c>
      <c r="D261" s="630" t="s">
        <v>2593</v>
      </c>
      <c r="E261" s="630" t="s">
        <v>2593</v>
      </c>
      <c r="F261" s="630" t="s">
        <v>2593</v>
      </c>
      <c r="G261" s="630" t="s">
        <v>2593</v>
      </c>
      <c r="H261" s="621"/>
      <c r="I261" s="466"/>
      <c r="J261">
        <v>1</v>
      </c>
    </row>
    <row r="262" spans="1:10">
      <c r="A262" s="617" t="str">
        <f t="shared" si="3"/>
        <v>EcoTransit</v>
      </c>
      <c r="B262" s="630" t="s">
        <v>387</v>
      </c>
      <c r="C262" s="630" t="s">
        <v>387</v>
      </c>
      <c r="D262" s="630" t="s">
        <v>387</v>
      </c>
      <c r="E262" s="630" t="s">
        <v>1779</v>
      </c>
      <c r="F262" s="630" t="s">
        <v>861</v>
      </c>
      <c r="G262" s="630" t="s">
        <v>861</v>
      </c>
      <c r="H262" s="621"/>
      <c r="I262" s="466"/>
      <c r="J262">
        <v>1</v>
      </c>
    </row>
    <row r="263" spans="1:10">
      <c r="A263" s="617" t="str">
        <f t="shared" si="3"/>
        <v>France - Bilan Carbone</v>
      </c>
      <c r="B263" s="630" t="s">
        <v>862</v>
      </c>
      <c r="C263" s="630" t="s">
        <v>88</v>
      </c>
      <c r="D263" s="630" t="s">
        <v>88</v>
      </c>
      <c r="E263" s="630" t="s">
        <v>863</v>
      </c>
      <c r="F263" s="630" t="s">
        <v>863</v>
      </c>
      <c r="G263" s="630" t="s">
        <v>864</v>
      </c>
      <c r="H263" s="621"/>
      <c r="I263" s="466"/>
      <c r="J263">
        <v>1</v>
      </c>
    </row>
    <row r="264" spans="1:10">
      <c r="A264" s="617" t="str">
        <f t="shared" si="3"/>
        <v>UK - DEFRA/Uni of Bath</v>
      </c>
      <c r="B264" s="630" t="s">
        <v>866</v>
      </c>
      <c r="C264" s="630" t="s">
        <v>87</v>
      </c>
      <c r="D264" s="630" t="s">
        <v>865</v>
      </c>
      <c r="E264" s="630" t="s">
        <v>867</v>
      </c>
      <c r="F264" s="630" t="s">
        <v>1388</v>
      </c>
      <c r="G264" s="630" t="s">
        <v>1967</v>
      </c>
      <c r="H264" s="621"/>
      <c r="I264" s="466"/>
      <c r="J264">
        <v>1</v>
      </c>
    </row>
    <row r="265" spans="1:10">
      <c r="A265" s="617" t="str">
        <f t="shared" si="3"/>
        <v>GHG Protocol</v>
      </c>
      <c r="B265" s="630" t="s">
        <v>31</v>
      </c>
      <c r="C265" s="630" t="s">
        <v>31</v>
      </c>
      <c r="D265" s="630" t="s">
        <v>31</v>
      </c>
      <c r="E265" s="630" t="s">
        <v>31</v>
      </c>
      <c r="F265" s="630" t="s">
        <v>31</v>
      </c>
      <c r="G265" s="630" t="s">
        <v>31</v>
      </c>
      <c r="H265" s="621"/>
      <c r="I265" s="466"/>
      <c r="J265">
        <v>1</v>
      </c>
    </row>
    <row r="266" spans="1:10">
      <c r="A266" s="617" t="str">
        <f t="shared" si="3"/>
        <v>CO2 emissions for electricity 2017</v>
      </c>
      <c r="B266" s="630" t="s">
        <v>2595</v>
      </c>
      <c r="C266" s="630" t="s">
        <v>2595</v>
      </c>
      <c r="D266" s="630" t="s">
        <v>2595</v>
      </c>
      <c r="E266" s="630" t="s">
        <v>2595</v>
      </c>
      <c r="F266" s="630" t="s">
        <v>2595</v>
      </c>
      <c r="G266" s="630" t="s">
        <v>2595</v>
      </c>
      <c r="H266" s="621"/>
      <c r="I266" s="466"/>
      <c r="J266">
        <v>1</v>
      </c>
    </row>
    <row r="267" spans="1:10">
      <c r="A267" s="617" t="str">
        <f t="shared" ref="A267:A340" si="5">INDEX(B267:I267,1,$A$1)</f>
        <v>CO2 emissions for electricity 2017 including losses&amp;WTT</v>
      </c>
      <c r="B267" s="630" t="s">
        <v>2732</v>
      </c>
      <c r="C267" s="630" t="s">
        <v>2732</v>
      </c>
      <c r="D267" s="630" t="s">
        <v>2732</v>
      </c>
      <c r="E267" s="630" t="s">
        <v>2732</v>
      </c>
      <c r="F267" s="630" t="s">
        <v>2732</v>
      </c>
      <c r="G267" s="630" t="s">
        <v>2732</v>
      </c>
      <c r="H267" s="621"/>
      <c r="I267" s="466"/>
      <c r="J267">
        <v>1</v>
      </c>
    </row>
    <row r="268" spans="1:10">
      <c r="A268" s="617" t="str">
        <f t="shared" si="5"/>
        <v>Comments</v>
      </c>
      <c r="B268" s="630" t="s">
        <v>869</v>
      </c>
      <c r="C268" s="630" t="s">
        <v>370</v>
      </c>
      <c r="D268" s="630" t="s">
        <v>868</v>
      </c>
      <c r="E268" s="630" t="s">
        <v>870</v>
      </c>
      <c r="F268" s="630" t="s">
        <v>1389</v>
      </c>
      <c r="G268" s="630" t="s">
        <v>871</v>
      </c>
      <c r="H268" s="621"/>
      <c r="I268" s="466"/>
      <c r="J268">
        <v>1</v>
      </c>
    </row>
    <row r="269" spans="1:10">
      <c r="A269" s="617" t="str">
        <f t="shared" si="5"/>
        <v>DEFRA % weight laden</v>
      </c>
      <c r="B269" s="630" t="s">
        <v>873</v>
      </c>
      <c r="C269" s="630" t="s">
        <v>371</v>
      </c>
      <c r="D269" s="630" t="s">
        <v>872</v>
      </c>
      <c r="E269" s="630" t="s">
        <v>1780</v>
      </c>
      <c r="F269" s="630" t="s">
        <v>1390</v>
      </c>
      <c r="G269" s="630" t="s">
        <v>1968</v>
      </c>
      <c r="H269" s="621"/>
      <c r="I269" s="466"/>
      <c r="J269">
        <v>1</v>
      </c>
    </row>
    <row r="270" spans="1:10">
      <c r="A270" s="617" t="str">
        <f t="shared" si="5"/>
        <v>Factor 2 not taken into account</v>
      </c>
      <c r="B270" s="630" t="s">
        <v>1636</v>
      </c>
      <c r="C270" s="630" t="s">
        <v>451</v>
      </c>
      <c r="D270" s="630" t="s">
        <v>1557</v>
      </c>
      <c r="E270" s="630" t="s">
        <v>1781</v>
      </c>
      <c r="F270" s="630" t="s">
        <v>1890</v>
      </c>
      <c r="G270" s="630" t="s">
        <v>874</v>
      </c>
      <c r="H270" s="621"/>
      <c r="I270" s="466"/>
      <c r="J270">
        <v>1</v>
      </c>
    </row>
    <row r="271" spans="1:10">
      <c r="A271" s="617" t="str">
        <f t="shared" si="5"/>
        <v>EcoTransit + DEFRA</v>
      </c>
      <c r="B271" s="630" t="s">
        <v>389</v>
      </c>
      <c r="C271" s="630" t="s">
        <v>389</v>
      </c>
      <c r="D271" s="630" t="s">
        <v>389</v>
      </c>
      <c r="E271" s="630" t="s">
        <v>875</v>
      </c>
      <c r="F271" s="630" t="s">
        <v>875</v>
      </c>
      <c r="G271" s="630" t="s">
        <v>875</v>
      </c>
      <c r="H271" s="621"/>
      <c r="I271" s="466"/>
      <c r="J271">
        <v>1</v>
      </c>
    </row>
    <row r="272" spans="1:10">
      <c r="A272" s="617" t="str">
        <f t="shared" si="5"/>
        <v>EcoTransit + IEA</v>
      </c>
      <c r="B272" s="630" t="s">
        <v>390</v>
      </c>
      <c r="C272" s="630" t="s">
        <v>390</v>
      </c>
      <c r="D272" s="630" t="s">
        <v>876</v>
      </c>
      <c r="E272" s="630" t="s">
        <v>877</v>
      </c>
      <c r="F272" s="630" t="s">
        <v>1391</v>
      </c>
      <c r="G272" s="630" t="s">
        <v>877</v>
      </c>
      <c r="H272" s="621"/>
      <c r="I272" s="466"/>
      <c r="J272">
        <v>1</v>
      </c>
    </row>
    <row r="273" spans="1:10">
      <c r="A273" s="617" t="str">
        <f t="shared" si="5"/>
        <v>DEFRA average load (tonnes)</v>
      </c>
      <c r="B273" s="630" t="s">
        <v>2481</v>
      </c>
      <c r="C273" s="630" t="s">
        <v>372</v>
      </c>
      <c r="D273" s="630" t="s">
        <v>1558</v>
      </c>
      <c r="E273" s="630" t="s">
        <v>1782</v>
      </c>
      <c r="F273" s="630" t="s">
        <v>1392</v>
      </c>
      <c r="G273" s="630" t="s">
        <v>878</v>
      </c>
      <c r="H273" s="621"/>
      <c r="I273" s="466"/>
      <c r="J273">
        <v>1</v>
      </c>
    </row>
    <row r="274" spans="1:10">
      <c r="A274" s="617" t="str">
        <f t="shared" si="5"/>
        <v>Size</v>
      </c>
      <c r="B274" s="630" t="s">
        <v>880</v>
      </c>
      <c r="C274" s="630" t="s">
        <v>288</v>
      </c>
      <c r="D274" s="630" t="s">
        <v>879</v>
      </c>
      <c r="E274" s="630" t="s">
        <v>881</v>
      </c>
      <c r="F274" s="630" t="s">
        <v>1393</v>
      </c>
      <c r="G274" s="630" t="s">
        <v>882</v>
      </c>
      <c r="H274" s="621"/>
      <c r="I274" s="466"/>
      <c r="J274">
        <v>1</v>
      </c>
    </row>
    <row r="275" spans="1:10">
      <c r="A275" s="617" t="str">
        <f t="shared" si="5"/>
        <v>Insert your logo here</v>
      </c>
      <c r="B275" s="630" t="s">
        <v>1637</v>
      </c>
      <c r="C275" s="630" t="s">
        <v>351</v>
      </c>
      <c r="D275" s="630" t="s">
        <v>883</v>
      </c>
      <c r="E275" s="630" t="s">
        <v>884</v>
      </c>
      <c r="F275" s="630" t="s">
        <v>1394</v>
      </c>
      <c r="G275" s="630" t="s">
        <v>885</v>
      </c>
      <c r="H275" s="621"/>
      <c r="I275" s="466"/>
      <c r="J275">
        <v>1</v>
      </c>
    </row>
    <row r="276" spans="1:10">
      <c r="A276" s="617" t="str">
        <f t="shared" si="5"/>
        <v>The logo have to fit in the white box</v>
      </c>
      <c r="B276" s="630" t="s">
        <v>2482</v>
      </c>
      <c r="C276" s="630" t="s">
        <v>298</v>
      </c>
      <c r="D276" s="630" t="s">
        <v>886</v>
      </c>
      <c r="E276" s="630" t="s">
        <v>1783</v>
      </c>
      <c r="F276" s="630" t="s">
        <v>1395</v>
      </c>
      <c r="G276" s="630" t="s">
        <v>2019</v>
      </c>
      <c r="H276" s="621"/>
      <c r="I276" s="466"/>
      <c r="J276">
        <v>1</v>
      </c>
    </row>
    <row r="277" spans="1:10">
      <c r="A277" s="617" t="str">
        <f t="shared" si="5"/>
        <v>Subprojects</v>
      </c>
      <c r="B277" s="630" t="s">
        <v>887</v>
      </c>
      <c r="C277" s="630" t="s">
        <v>96</v>
      </c>
      <c r="D277" s="630" t="s">
        <v>1559</v>
      </c>
      <c r="E277" s="630" t="s">
        <v>888</v>
      </c>
      <c r="F277" s="630" t="s">
        <v>1396</v>
      </c>
      <c r="G277" s="630" t="s">
        <v>889</v>
      </c>
      <c r="H277" s="621"/>
      <c r="I277" s="466"/>
      <c r="J277">
        <v>1</v>
      </c>
    </row>
    <row r="278" spans="1:10">
      <c r="A278" s="617" t="str">
        <f t="shared" si="5"/>
        <v>Projects</v>
      </c>
      <c r="B278" s="630" t="s">
        <v>891</v>
      </c>
      <c r="C278" s="630" t="s">
        <v>95</v>
      </c>
      <c r="D278" s="630" t="s">
        <v>890</v>
      </c>
      <c r="E278" s="630" t="s">
        <v>892</v>
      </c>
      <c r="F278" s="630" t="s">
        <v>1397</v>
      </c>
      <c r="G278" s="630" t="s">
        <v>893</v>
      </c>
      <c r="H278" s="621"/>
      <c r="I278" s="466"/>
      <c r="J278">
        <v>1</v>
      </c>
    </row>
    <row r="279" spans="1:10">
      <c r="A279" s="617" t="str">
        <f t="shared" si="5"/>
        <v>Both</v>
      </c>
      <c r="B279" s="630" t="s">
        <v>895</v>
      </c>
      <c r="C279" s="630" t="s">
        <v>97</v>
      </c>
      <c r="D279" s="630" t="s">
        <v>894</v>
      </c>
      <c r="E279" s="630" t="s">
        <v>896</v>
      </c>
      <c r="F279" s="630" t="s">
        <v>1398</v>
      </c>
      <c r="G279" s="630" t="s">
        <v>895</v>
      </c>
      <c r="H279" s="621"/>
      <c r="I279" s="466"/>
      <c r="J279">
        <v>1</v>
      </c>
    </row>
    <row r="280" spans="1:10">
      <c r="A280" s="617" t="str">
        <f t="shared" si="5"/>
        <v>Techniques</v>
      </c>
      <c r="B280" s="630" t="s">
        <v>2483</v>
      </c>
      <c r="C280" s="630" t="s">
        <v>119</v>
      </c>
      <c r="D280" s="630" t="s">
        <v>119</v>
      </c>
      <c r="E280" s="630" t="s">
        <v>897</v>
      </c>
      <c r="F280" s="630" t="s">
        <v>1399</v>
      </c>
      <c r="G280" s="630" t="s">
        <v>898</v>
      </c>
      <c r="H280" s="621"/>
      <c r="I280" s="466"/>
      <c r="J280">
        <v>1</v>
      </c>
    </row>
    <row r="281" spans="1:10">
      <c r="A281" s="617" t="str">
        <f>INDEX(B281:I281,1,$A$1)</f>
        <v>Bored piles</v>
      </c>
      <c r="B281" s="630" t="s">
        <v>611</v>
      </c>
      <c r="C281" s="630" t="s">
        <v>0</v>
      </c>
      <c r="D281" s="630" t="s">
        <v>1502</v>
      </c>
      <c r="E281" s="630" t="s">
        <v>1708</v>
      </c>
      <c r="F281" s="630" t="s">
        <v>1324</v>
      </c>
      <c r="G281" s="630" t="s">
        <v>612</v>
      </c>
      <c r="H281" s="621"/>
      <c r="I281" s="466"/>
      <c r="J281">
        <v>1</v>
      </c>
    </row>
    <row r="282" spans="1:10">
      <c r="A282" s="617" t="str">
        <f t="shared" si="5"/>
        <v>Displacement piles</v>
      </c>
      <c r="B282" s="630" t="s">
        <v>2484</v>
      </c>
      <c r="C282" s="630" t="s">
        <v>78</v>
      </c>
      <c r="D282" s="630" t="s">
        <v>1560</v>
      </c>
      <c r="E282" s="630" t="s">
        <v>899</v>
      </c>
      <c r="F282" s="630" t="s">
        <v>1891</v>
      </c>
      <c r="G282" s="630" t="s">
        <v>78</v>
      </c>
      <c r="H282" s="621"/>
      <c r="I282" s="466"/>
      <c r="J282">
        <v>1</v>
      </c>
    </row>
    <row r="283" spans="1:10">
      <c r="A283" s="617" t="str">
        <f t="shared" si="5"/>
        <v>Micropiles/Minipiles</v>
      </c>
      <c r="B283" s="630" t="s">
        <v>901</v>
      </c>
      <c r="C283" s="630" t="s">
        <v>1672</v>
      </c>
      <c r="D283" s="630" t="s">
        <v>900</v>
      </c>
      <c r="E283" s="630" t="s">
        <v>902</v>
      </c>
      <c r="F283" s="630" t="s">
        <v>1400</v>
      </c>
      <c r="G283" s="630" t="s">
        <v>903</v>
      </c>
      <c r="H283" s="621"/>
      <c r="I283" s="466"/>
      <c r="J283">
        <v>1</v>
      </c>
    </row>
    <row r="284" spans="1:10">
      <c r="A284" s="617" t="str">
        <f t="shared" si="5"/>
        <v>Diaphragm and slurry walls</v>
      </c>
      <c r="B284" s="630" t="s">
        <v>1638</v>
      </c>
      <c r="C284" s="630" t="s">
        <v>79</v>
      </c>
      <c r="D284" s="630" t="s">
        <v>1561</v>
      </c>
      <c r="E284" s="630" t="s">
        <v>1784</v>
      </c>
      <c r="F284" s="630" t="s">
        <v>1892</v>
      </c>
      <c r="G284" s="630" t="s">
        <v>79</v>
      </c>
      <c r="H284" s="621"/>
      <c r="I284" s="466"/>
      <c r="J284">
        <v>1</v>
      </c>
    </row>
    <row r="285" spans="1:10">
      <c r="A285" s="617" t="str">
        <f t="shared" si="5"/>
        <v>Sheet pile walls</v>
      </c>
      <c r="B285" s="630" t="s">
        <v>905</v>
      </c>
      <c r="C285" s="630" t="s">
        <v>80</v>
      </c>
      <c r="D285" s="630" t="s">
        <v>904</v>
      </c>
      <c r="E285" s="630" t="s">
        <v>906</v>
      </c>
      <c r="F285" s="630" t="s">
        <v>1893</v>
      </c>
      <c r="G285" s="630" t="s">
        <v>907</v>
      </c>
      <c r="H285" s="621"/>
      <c r="I285" s="466"/>
      <c r="J285">
        <v>1</v>
      </c>
    </row>
    <row r="286" spans="1:10">
      <c r="A286" s="617" t="str">
        <f t="shared" si="5"/>
        <v>Pile walls</v>
      </c>
      <c r="B286" s="630" t="s">
        <v>2441</v>
      </c>
      <c r="C286" s="630" t="s">
        <v>2424</v>
      </c>
      <c r="D286" s="630" t="s">
        <v>2424</v>
      </c>
      <c r="E286" s="630" t="s">
        <v>2424</v>
      </c>
      <c r="F286" s="630" t="s">
        <v>2424</v>
      </c>
      <c r="G286" s="630" t="s">
        <v>2424</v>
      </c>
      <c r="H286" s="621"/>
      <c r="I286" s="466"/>
      <c r="J286">
        <v>0</v>
      </c>
    </row>
    <row r="287" spans="1:10">
      <c r="A287" s="617" t="str">
        <f t="shared" si="5"/>
        <v>Anchors</v>
      </c>
      <c r="B287" s="630" t="s">
        <v>2442</v>
      </c>
      <c r="C287" s="630" t="s">
        <v>2110</v>
      </c>
      <c r="D287" s="630" t="s">
        <v>2110</v>
      </c>
      <c r="E287" s="630" t="s">
        <v>2110</v>
      </c>
      <c r="F287" s="630" t="s">
        <v>2380</v>
      </c>
      <c r="G287" s="630" t="s">
        <v>2110</v>
      </c>
      <c r="H287" s="621"/>
      <c r="I287" s="466"/>
      <c r="J287">
        <v>0</v>
      </c>
    </row>
    <row r="288" spans="1:10">
      <c r="A288" s="617" t="str">
        <f t="shared" si="5"/>
        <v>Soil Nails</v>
      </c>
      <c r="B288" s="630" t="s">
        <v>2443</v>
      </c>
      <c r="C288" s="630" t="s">
        <v>2111</v>
      </c>
      <c r="D288" s="630" t="s">
        <v>2111</v>
      </c>
      <c r="E288" s="630" t="s">
        <v>2111</v>
      </c>
      <c r="F288" s="630" t="s">
        <v>2381</v>
      </c>
      <c r="G288" s="630" t="s">
        <v>2111</v>
      </c>
      <c r="H288" s="621"/>
      <c r="I288" s="466"/>
      <c r="J288">
        <v>0</v>
      </c>
    </row>
    <row r="289" spans="1:10">
      <c r="A289" s="617" t="str">
        <f t="shared" si="5"/>
        <v>Dynamic compaction</v>
      </c>
      <c r="B289" s="630" t="s">
        <v>2444</v>
      </c>
      <c r="C289" s="630" t="s">
        <v>2112</v>
      </c>
      <c r="D289" s="630" t="s">
        <v>2112</v>
      </c>
      <c r="E289" s="630" t="s">
        <v>2112</v>
      </c>
      <c r="F289" s="630" t="s">
        <v>2382</v>
      </c>
      <c r="G289" s="630" t="s">
        <v>2112</v>
      </c>
      <c r="H289" s="621"/>
      <c r="I289" s="466"/>
      <c r="J289">
        <v>0</v>
      </c>
    </row>
    <row r="290" spans="1:10">
      <c r="A290" s="617" t="str">
        <f t="shared" si="5"/>
        <v>Vibro compaction</v>
      </c>
      <c r="B290" s="630" t="s">
        <v>2445</v>
      </c>
      <c r="C290" s="630" t="s">
        <v>2113</v>
      </c>
      <c r="D290" s="630" t="s">
        <v>2113</v>
      </c>
      <c r="E290" s="630" t="s">
        <v>2113</v>
      </c>
      <c r="F290" s="630" t="s">
        <v>2383</v>
      </c>
      <c r="G290" s="630" t="s">
        <v>2113</v>
      </c>
      <c r="H290" s="621"/>
      <c r="I290" s="466"/>
      <c r="J290">
        <v>0</v>
      </c>
    </row>
    <row r="291" spans="1:10">
      <c r="A291" s="617" t="str">
        <f t="shared" ref="A291:A296" si="6">INDEX(B291:I291,1,$A$1)</f>
        <v>Grouting</v>
      </c>
      <c r="B291" s="630" t="s">
        <v>1639</v>
      </c>
      <c r="C291" s="630" t="s">
        <v>1</v>
      </c>
      <c r="D291" s="630" t="s">
        <v>1562</v>
      </c>
      <c r="E291" s="630" t="s">
        <v>1785</v>
      </c>
      <c r="F291" s="630" t="s">
        <v>2096</v>
      </c>
      <c r="G291" s="630" t="s">
        <v>1</v>
      </c>
      <c r="H291" s="621"/>
      <c r="I291" s="466"/>
      <c r="J291">
        <v>1</v>
      </c>
    </row>
    <row r="292" spans="1:10">
      <c r="A292" s="617" t="str">
        <f t="shared" si="6"/>
        <v>Jet Grouting</v>
      </c>
      <c r="B292" s="630" t="s">
        <v>2485</v>
      </c>
      <c r="C292" s="630" t="s">
        <v>2114</v>
      </c>
      <c r="D292" s="630" t="s">
        <v>2114</v>
      </c>
      <c r="E292" s="630" t="s">
        <v>2114</v>
      </c>
      <c r="F292" s="630" t="s">
        <v>2114</v>
      </c>
      <c r="G292" s="630" t="s">
        <v>2114</v>
      </c>
      <c r="H292" s="621"/>
      <c r="I292" s="466"/>
      <c r="J292">
        <v>0</v>
      </c>
    </row>
    <row r="293" spans="1:10">
      <c r="A293" s="617" t="str">
        <f t="shared" si="6"/>
        <v>Stone Columns</v>
      </c>
      <c r="B293" s="630" t="s">
        <v>2440</v>
      </c>
      <c r="C293" s="630" t="s">
        <v>2115</v>
      </c>
      <c r="D293" s="630" t="s">
        <v>2115</v>
      </c>
      <c r="E293" s="630" t="s">
        <v>2115</v>
      </c>
      <c r="F293" s="630" t="s">
        <v>2384</v>
      </c>
      <c r="G293" s="630" t="s">
        <v>2115</v>
      </c>
      <c r="H293" s="621"/>
      <c r="I293" s="466"/>
      <c r="J293">
        <v>0</v>
      </c>
    </row>
    <row r="294" spans="1:10">
      <c r="A294" s="617" t="str">
        <f t="shared" si="6"/>
        <v>Soil Mixing</v>
      </c>
      <c r="B294" s="630" t="s">
        <v>2</v>
      </c>
      <c r="C294" s="630" t="s">
        <v>2</v>
      </c>
      <c r="D294" s="630" t="s">
        <v>2</v>
      </c>
      <c r="E294" s="630" t="s">
        <v>2</v>
      </c>
      <c r="F294" s="630" t="s">
        <v>1894</v>
      </c>
      <c r="G294" s="630" t="s">
        <v>2</v>
      </c>
      <c r="H294" s="621"/>
      <c r="I294" s="466"/>
      <c r="J294">
        <v>1</v>
      </c>
    </row>
    <row r="295" spans="1:10">
      <c r="A295" s="617" t="str">
        <f t="shared" si="6"/>
        <v>Vertical Drains</v>
      </c>
      <c r="B295" s="630" t="s">
        <v>2486</v>
      </c>
      <c r="C295" s="630" t="s">
        <v>2116</v>
      </c>
      <c r="D295" s="630" t="s">
        <v>2116</v>
      </c>
      <c r="E295" s="630" t="s">
        <v>2116</v>
      </c>
      <c r="F295" s="630" t="s">
        <v>2385</v>
      </c>
      <c r="G295" s="630" t="s">
        <v>2116</v>
      </c>
      <c r="H295" s="621"/>
      <c r="I295" s="466"/>
      <c r="J295">
        <v>0</v>
      </c>
    </row>
    <row r="296" spans="1:10">
      <c r="A296" s="617" t="str">
        <f t="shared" si="6"/>
        <v>Dewatering</v>
      </c>
      <c r="B296" s="630" t="s">
        <v>2734</v>
      </c>
      <c r="C296" s="630" t="s">
        <v>2734</v>
      </c>
      <c r="D296" s="630" t="s">
        <v>2734</v>
      </c>
      <c r="E296" s="630" t="s">
        <v>2734</v>
      </c>
      <c r="F296" s="630" t="s">
        <v>2734</v>
      </c>
      <c r="G296" s="630" t="s">
        <v>2734</v>
      </c>
      <c r="H296" s="621"/>
      <c r="I296" s="466"/>
    </row>
    <row r="297" spans="1:10">
      <c r="A297" s="617" t="str">
        <f t="shared" si="5"/>
        <v>Test ON</v>
      </c>
      <c r="B297" s="630" t="s">
        <v>1640</v>
      </c>
      <c r="C297" s="630" t="s">
        <v>81</v>
      </c>
      <c r="D297" s="630" t="s">
        <v>81</v>
      </c>
      <c r="E297" s="630" t="s">
        <v>81</v>
      </c>
      <c r="F297" s="630" t="s">
        <v>81</v>
      </c>
      <c r="G297" s="630" t="s">
        <v>2020</v>
      </c>
      <c r="H297" s="621"/>
      <c r="I297" s="466"/>
      <c r="J297">
        <v>1</v>
      </c>
    </row>
    <row r="298" spans="1:10">
      <c r="A298" s="617" t="str">
        <f t="shared" si="5"/>
        <v>Test OFF</v>
      </c>
      <c r="B298" s="630" t="s">
        <v>1641</v>
      </c>
      <c r="C298" s="630" t="s">
        <v>82</v>
      </c>
      <c r="D298" s="630" t="s">
        <v>82</v>
      </c>
      <c r="E298" s="630" t="s">
        <v>908</v>
      </c>
      <c r="F298" s="630" t="s">
        <v>82</v>
      </c>
      <c r="G298" s="630" t="s">
        <v>909</v>
      </c>
      <c r="H298" s="621"/>
      <c r="I298" s="466"/>
      <c r="J298">
        <v>1</v>
      </c>
    </row>
    <row r="299" spans="1:10">
      <c r="A299" s="617" t="str">
        <f t="shared" si="5"/>
        <v>Countries</v>
      </c>
      <c r="B299" s="630" t="s">
        <v>910</v>
      </c>
      <c r="C299" s="630" t="s">
        <v>120</v>
      </c>
      <c r="D299" s="630" t="s">
        <v>589</v>
      </c>
      <c r="E299" s="630" t="s">
        <v>911</v>
      </c>
      <c r="F299" s="630" t="s">
        <v>1401</v>
      </c>
      <c r="G299" s="630" t="s">
        <v>912</v>
      </c>
      <c r="H299" s="621"/>
      <c r="I299" s="466"/>
      <c r="J299">
        <v>1</v>
      </c>
    </row>
    <row r="300" spans="1:10">
      <c r="A300" s="617" t="str">
        <f t="shared" si="5"/>
        <v>-Select the project country</v>
      </c>
      <c r="B300" s="630" t="s">
        <v>2487</v>
      </c>
      <c r="C300" s="630" t="s">
        <v>259</v>
      </c>
      <c r="D300" s="630" t="s">
        <v>1268</v>
      </c>
      <c r="E300" s="630" t="s">
        <v>1275</v>
      </c>
      <c r="F300" s="630" t="s">
        <v>1895</v>
      </c>
      <c r="G300" s="630" t="s">
        <v>1969</v>
      </c>
      <c r="H300" s="622"/>
      <c r="I300" s="466"/>
      <c r="J300">
        <v>1</v>
      </c>
    </row>
    <row r="301" spans="1:10">
      <c r="A301" s="617" t="str">
        <f t="shared" si="5"/>
        <v>---OECD Europe</v>
      </c>
      <c r="B301" s="630" t="s">
        <v>1642</v>
      </c>
      <c r="C301" s="630" t="s">
        <v>111</v>
      </c>
      <c r="D301" s="630" t="s">
        <v>1269</v>
      </c>
      <c r="E301" s="630" t="s">
        <v>1786</v>
      </c>
      <c r="F301" s="630" t="s">
        <v>1402</v>
      </c>
      <c r="G301" s="630" t="s">
        <v>1970</v>
      </c>
      <c r="H301" s="621"/>
      <c r="I301" s="466"/>
      <c r="J301">
        <v>1</v>
      </c>
    </row>
    <row r="302" spans="1:10">
      <c r="A302" s="617" t="str">
        <f t="shared" si="5"/>
        <v>Austria</v>
      </c>
      <c r="B302" s="630" t="s">
        <v>914</v>
      </c>
      <c r="C302" s="630" t="s">
        <v>121</v>
      </c>
      <c r="D302" s="630" t="s">
        <v>913</v>
      </c>
      <c r="E302" s="630" t="s">
        <v>121</v>
      </c>
      <c r="F302" s="630" t="s">
        <v>121</v>
      </c>
      <c r="G302" s="630" t="s">
        <v>915</v>
      </c>
      <c r="H302" s="621"/>
      <c r="I302" s="466"/>
      <c r="J302">
        <v>1</v>
      </c>
    </row>
    <row r="303" spans="1:10">
      <c r="A303" s="617" t="str">
        <f t="shared" si="5"/>
        <v>Belgium</v>
      </c>
      <c r="B303" s="630" t="s">
        <v>917</v>
      </c>
      <c r="C303" s="630" t="s">
        <v>122</v>
      </c>
      <c r="D303" s="630" t="s">
        <v>916</v>
      </c>
      <c r="E303" s="630" t="s">
        <v>918</v>
      </c>
      <c r="F303" s="630" t="s">
        <v>1403</v>
      </c>
      <c r="G303" s="630" t="s">
        <v>919</v>
      </c>
      <c r="H303" s="621"/>
      <c r="I303" s="466"/>
      <c r="J303">
        <v>1</v>
      </c>
    </row>
    <row r="304" spans="1:10">
      <c r="A304" s="617" t="str">
        <f t="shared" si="5"/>
        <v>Czech Republic</v>
      </c>
      <c r="B304" s="630" t="s">
        <v>921</v>
      </c>
      <c r="C304" s="630" t="s">
        <v>123</v>
      </c>
      <c r="D304" s="630" t="s">
        <v>920</v>
      </c>
      <c r="E304" s="630" t="s">
        <v>922</v>
      </c>
      <c r="F304" s="630" t="s">
        <v>1404</v>
      </c>
      <c r="G304" s="630" t="s">
        <v>1971</v>
      </c>
      <c r="H304" s="621"/>
      <c r="I304" s="466"/>
      <c r="J304">
        <v>1</v>
      </c>
    </row>
    <row r="305" spans="1:10">
      <c r="A305" s="617" t="str">
        <f t="shared" si="5"/>
        <v>Denmark</v>
      </c>
      <c r="B305" s="630" t="s">
        <v>924</v>
      </c>
      <c r="C305" s="630" t="s">
        <v>124</v>
      </c>
      <c r="D305" s="630" t="s">
        <v>923</v>
      </c>
      <c r="E305" s="630" t="s">
        <v>925</v>
      </c>
      <c r="F305" s="630" t="s">
        <v>1405</v>
      </c>
      <c r="G305" s="630" t="s">
        <v>926</v>
      </c>
      <c r="H305" s="621"/>
      <c r="I305" s="466"/>
      <c r="J305">
        <v>1</v>
      </c>
    </row>
    <row r="306" spans="1:10">
      <c r="A306" s="617" t="str">
        <f t="shared" si="5"/>
        <v>Estonia</v>
      </c>
      <c r="B306" s="630" t="s">
        <v>928</v>
      </c>
      <c r="C306" s="630" t="s">
        <v>125</v>
      </c>
      <c r="D306" s="630" t="s">
        <v>927</v>
      </c>
      <c r="E306" s="630" t="s">
        <v>125</v>
      </c>
      <c r="F306" s="630" t="s">
        <v>125</v>
      </c>
      <c r="G306" s="630" t="s">
        <v>928</v>
      </c>
      <c r="H306" s="621"/>
      <c r="I306" s="466"/>
      <c r="J306">
        <v>1</v>
      </c>
    </row>
    <row r="307" spans="1:10">
      <c r="A307" s="617" t="str">
        <f t="shared" si="5"/>
        <v>Finland</v>
      </c>
      <c r="B307" s="630" t="s">
        <v>930</v>
      </c>
      <c r="C307" s="630" t="s">
        <v>126</v>
      </c>
      <c r="D307" s="630" t="s">
        <v>929</v>
      </c>
      <c r="E307" s="630" t="s">
        <v>931</v>
      </c>
      <c r="F307" s="630" t="s">
        <v>931</v>
      </c>
      <c r="G307" s="630" t="s">
        <v>126</v>
      </c>
      <c r="H307" s="621"/>
      <c r="I307" s="466"/>
      <c r="J307">
        <v>1</v>
      </c>
    </row>
    <row r="308" spans="1:10">
      <c r="A308" s="617" t="str">
        <f t="shared" si="5"/>
        <v>France</v>
      </c>
      <c r="B308" s="630" t="s">
        <v>932</v>
      </c>
      <c r="C308" s="630" t="s">
        <v>127</v>
      </c>
      <c r="D308" s="630" t="s">
        <v>127</v>
      </c>
      <c r="E308" s="630" t="s">
        <v>933</v>
      </c>
      <c r="F308" s="630" t="s">
        <v>933</v>
      </c>
      <c r="G308" s="630" t="s">
        <v>934</v>
      </c>
      <c r="H308" s="621"/>
      <c r="I308" s="466"/>
      <c r="J308">
        <v>1</v>
      </c>
    </row>
    <row r="309" spans="1:10">
      <c r="A309" s="617" t="str">
        <f t="shared" si="5"/>
        <v>Germany</v>
      </c>
      <c r="B309" s="630" t="s">
        <v>936</v>
      </c>
      <c r="C309" s="630" t="s">
        <v>128</v>
      </c>
      <c r="D309" s="630" t="s">
        <v>935</v>
      </c>
      <c r="E309" s="630" t="s">
        <v>937</v>
      </c>
      <c r="F309" s="630" t="s">
        <v>1406</v>
      </c>
      <c r="G309" s="630" t="s">
        <v>938</v>
      </c>
      <c r="H309" s="621"/>
      <c r="I309" s="466"/>
      <c r="J309">
        <v>1</v>
      </c>
    </row>
    <row r="310" spans="1:10">
      <c r="A310" s="617" t="str">
        <f t="shared" si="5"/>
        <v>Greece</v>
      </c>
      <c r="B310" s="630" t="s">
        <v>940</v>
      </c>
      <c r="C310" s="630" t="s">
        <v>129</v>
      </c>
      <c r="D310" s="630" t="s">
        <v>939</v>
      </c>
      <c r="E310" s="630" t="s">
        <v>941</v>
      </c>
      <c r="F310" s="630" t="s">
        <v>941</v>
      </c>
      <c r="G310" s="630" t="s">
        <v>942</v>
      </c>
      <c r="H310" s="621"/>
      <c r="I310" s="466"/>
      <c r="J310">
        <v>1</v>
      </c>
    </row>
    <row r="311" spans="1:10">
      <c r="A311" s="617" t="str">
        <f t="shared" si="5"/>
        <v>Hungary</v>
      </c>
      <c r="B311" s="630" t="s">
        <v>944</v>
      </c>
      <c r="C311" s="630" t="s">
        <v>130</v>
      </c>
      <c r="D311" s="630" t="s">
        <v>943</v>
      </c>
      <c r="E311" s="630" t="s">
        <v>945</v>
      </c>
      <c r="F311" s="630" t="s">
        <v>1407</v>
      </c>
      <c r="G311" s="630" t="s">
        <v>946</v>
      </c>
      <c r="H311" s="621"/>
      <c r="I311" s="466"/>
      <c r="J311">
        <v>1</v>
      </c>
    </row>
    <row r="312" spans="1:10">
      <c r="A312" s="617" t="str">
        <f t="shared" si="5"/>
        <v>Iceland</v>
      </c>
      <c r="B312" s="630" t="s">
        <v>948</v>
      </c>
      <c r="C312" s="630" t="s">
        <v>131</v>
      </c>
      <c r="D312" s="630" t="s">
        <v>947</v>
      </c>
      <c r="E312" s="630" t="s">
        <v>949</v>
      </c>
      <c r="F312" s="630" t="s">
        <v>1408</v>
      </c>
      <c r="G312" s="630" t="s">
        <v>950</v>
      </c>
      <c r="H312" s="621"/>
      <c r="I312" s="466"/>
      <c r="J312">
        <v>1</v>
      </c>
    </row>
    <row r="313" spans="1:10">
      <c r="A313" s="617" t="str">
        <f t="shared" si="5"/>
        <v>Ireland</v>
      </c>
      <c r="B313" s="630" t="s">
        <v>952</v>
      </c>
      <c r="C313" s="630" t="s">
        <v>132</v>
      </c>
      <c r="D313" s="630" t="s">
        <v>951</v>
      </c>
      <c r="E313" s="630" t="s">
        <v>953</v>
      </c>
      <c r="F313" s="630" t="s">
        <v>953</v>
      </c>
      <c r="G313" s="630" t="s">
        <v>954</v>
      </c>
      <c r="H313" s="621"/>
      <c r="I313" s="466"/>
      <c r="J313">
        <v>1</v>
      </c>
    </row>
    <row r="314" spans="1:10">
      <c r="A314" s="617" t="str">
        <f t="shared" si="5"/>
        <v>Italy</v>
      </c>
      <c r="B314" s="630" t="s">
        <v>956</v>
      </c>
      <c r="C314" s="630" t="s">
        <v>133</v>
      </c>
      <c r="D314" s="630" t="s">
        <v>955</v>
      </c>
      <c r="E314" s="630" t="s">
        <v>957</v>
      </c>
      <c r="F314" s="630" t="s">
        <v>957</v>
      </c>
      <c r="G314" s="630" t="s">
        <v>958</v>
      </c>
      <c r="H314" s="621"/>
      <c r="I314" s="466"/>
      <c r="J314">
        <v>1</v>
      </c>
    </row>
    <row r="315" spans="1:10">
      <c r="A315" s="617" t="str">
        <f t="shared" si="5"/>
        <v>Luxembourg</v>
      </c>
      <c r="B315" s="630" t="s">
        <v>959</v>
      </c>
      <c r="C315" s="630" t="s">
        <v>134</v>
      </c>
      <c r="D315" s="630" t="s">
        <v>134</v>
      </c>
      <c r="E315" s="630" t="s">
        <v>960</v>
      </c>
      <c r="F315" s="630" t="s">
        <v>1409</v>
      </c>
      <c r="G315" s="630" t="s">
        <v>959</v>
      </c>
      <c r="H315" s="621"/>
      <c r="I315" s="466"/>
      <c r="J315">
        <v>1</v>
      </c>
    </row>
    <row r="316" spans="1:10">
      <c r="A316" s="617" t="str">
        <f t="shared" si="5"/>
        <v>Netherlands</v>
      </c>
      <c r="B316" s="630" t="s">
        <v>962</v>
      </c>
      <c r="C316" s="630" t="s">
        <v>135</v>
      </c>
      <c r="D316" s="630" t="s">
        <v>961</v>
      </c>
      <c r="E316" s="630" t="s">
        <v>963</v>
      </c>
      <c r="F316" s="630" t="s">
        <v>1410</v>
      </c>
      <c r="G316" s="630" t="s">
        <v>964</v>
      </c>
      <c r="H316" s="621"/>
      <c r="I316" s="466"/>
      <c r="J316">
        <v>1</v>
      </c>
    </row>
    <row r="317" spans="1:10">
      <c r="A317" s="617" t="str">
        <f t="shared" si="5"/>
        <v>Norway</v>
      </c>
      <c r="B317" s="630" t="s">
        <v>966</v>
      </c>
      <c r="C317" s="630" t="s">
        <v>136</v>
      </c>
      <c r="D317" s="630" t="s">
        <v>965</v>
      </c>
      <c r="E317" s="630" t="s">
        <v>967</v>
      </c>
      <c r="F317" s="630" t="s">
        <v>1411</v>
      </c>
      <c r="G317" s="630" t="s">
        <v>968</v>
      </c>
      <c r="H317" s="621"/>
      <c r="I317" s="466"/>
      <c r="J317">
        <v>1</v>
      </c>
    </row>
    <row r="318" spans="1:10">
      <c r="A318" s="617" t="str">
        <f t="shared" si="5"/>
        <v>Poland</v>
      </c>
      <c r="B318" s="630" t="s">
        <v>970</v>
      </c>
      <c r="C318" s="630" t="s">
        <v>137</v>
      </c>
      <c r="D318" s="630" t="s">
        <v>969</v>
      </c>
      <c r="E318" s="630" t="s">
        <v>971</v>
      </c>
      <c r="F318" s="630" t="s">
        <v>971</v>
      </c>
      <c r="G318" s="630" t="s">
        <v>970</v>
      </c>
      <c r="H318" s="621"/>
      <c r="I318" s="466"/>
      <c r="J318">
        <v>1</v>
      </c>
    </row>
    <row r="319" spans="1:10">
      <c r="A319" s="617" t="str">
        <f t="shared" si="5"/>
        <v>Portugal</v>
      </c>
      <c r="B319" s="630" t="s">
        <v>138</v>
      </c>
      <c r="C319" s="630" t="s">
        <v>138</v>
      </c>
      <c r="D319" s="630" t="s">
        <v>138</v>
      </c>
      <c r="E319" s="630" t="s">
        <v>138</v>
      </c>
      <c r="F319" s="630" t="s">
        <v>1412</v>
      </c>
      <c r="G319" s="630" t="s">
        <v>138</v>
      </c>
      <c r="H319" s="621"/>
      <c r="I319" s="466"/>
      <c r="J319">
        <v>1</v>
      </c>
    </row>
    <row r="320" spans="1:10">
      <c r="A320" s="617" t="str">
        <f t="shared" si="5"/>
        <v>Slovak Republic</v>
      </c>
      <c r="B320" s="630" t="s">
        <v>2488</v>
      </c>
      <c r="C320" s="630" t="s">
        <v>139</v>
      </c>
      <c r="D320" s="630" t="s">
        <v>972</v>
      </c>
      <c r="E320" s="630" t="s">
        <v>973</v>
      </c>
      <c r="F320" s="630" t="s">
        <v>1413</v>
      </c>
      <c r="G320" s="630" t="s">
        <v>1972</v>
      </c>
      <c r="H320" s="621"/>
      <c r="I320" s="466"/>
      <c r="J320">
        <v>1</v>
      </c>
    </row>
    <row r="321" spans="1:10">
      <c r="A321" s="617" t="str">
        <f t="shared" si="5"/>
        <v>Slovenia</v>
      </c>
      <c r="B321" s="630" t="s">
        <v>975</v>
      </c>
      <c r="C321" s="630" t="s">
        <v>140</v>
      </c>
      <c r="D321" s="630" t="s">
        <v>974</v>
      </c>
      <c r="E321" s="630" t="s">
        <v>976</v>
      </c>
      <c r="F321" s="630" t="s">
        <v>140</v>
      </c>
      <c r="G321" s="630" t="s">
        <v>977</v>
      </c>
      <c r="H321" s="621"/>
      <c r="I321" s="466"/>
      <c r="J321">
        <v>1</v>
      </c>
    </row>
    <row r="322" spans="1:10">
      <c r="A322" s="617" t="str">
        <f t="shared" si="5"/>
        <v>Spain</v>
      </c>
      <c r="B322" s="630" t="s">
        <v>979</v>
      </c>
      <c r="C322" s="630" t="s">
        <v>141</v>
      </c>
      <c r="D322" s="630" t="s">
        <v>978</v>
      </c>
      <c r="E322" s="630" t="s">
        <v>980</v>
      </c>
      <c r="F322" s="630" t="s">
        <v>1414</v>
      </c>
      <c r="G322" s="630" t="s">
        <v>981</v>
      </c>
      <c r="H322" s="621"/>
      <c r="I322" s="466"/>
      <c r="J322">
        <v>1</v>
      </c>
    </row>
    <row r="323" spans="1:10">
      <c r="A323" s="617" t="str">
        <f t="shared" si="5"/>
        <v>Sweden</v>
      </c>
      <c r="B323" s="630" t="s">
        <v>983</v>
      </c>
      <c r="C323" s="630" t="s">
        <v>142</v>
      </c>
      <c r="D323" s="630" t="s">
        <v>982</v>
      </c>
      <c r="E323" s="630" t="s">
        <v>984</v>
      </c>
      <c r="F323" s="630" t="s">
        <v>1415</v>
      </c>
      <c r="G323" s="630" t="s">
        <v>985</v>
      </c>
      <c r="H323" s="621"/>
      <c r="I323" s="466"/>
      <c r="J323">
        <v>1</v>
      </c>
    </row>
    <row r="324" spans="1:10">
      <c r="A324" s="617" t="str">
        <f t="shared" si="5"/>
        <v>Switzerland</v>
      </c>
      <c r="B324" s="630" t="s">
        <v>987</v>
      </c>
      <c r="C324" s="630" t="s">
        <v>143</v>
      </c>
      <c r="D324" s="630" t="s">
        <v>986</v>
      </c>
      <c r="E324" s="630" t="s">
        <v>988</v>
      </c>
      <c r="F324" s="630" t="s">
        <v>1416</v>
      </c>
      <c r="G324" s="630" t="s">
        <v>989</v>
      </c>
      <c r="H324" s="621"/>
      <c r="I324" s="466"/>
      <c r="J324">
        <v>1</v>
      </c>
    </row>
    <row r="325" spans="1:10">
      <c r="A325" s="617" t="str">
        <f t="shared" si="5"/>
        <v>Turkey</v>
      </c>
      <c r="B325" s="630" t="s">
        <v>991</v>
      </c>
      <c r="C325" s="630" t="s">
        <v>144</v>
      </c>
      <c r="D325" s="630" t="s">
        <v>990</v>
      </c>
      <c r="E325" s="630" t="s">
        <v>992</v>
      </c>
      <c r="F325" s="630" t="s">
        <v>1417</v>
      </c>
      <c r="G325" s="630" t="s">
        <v>993</v>
      </c>
      <c r="H325" s="621"/>
      <c r="I325" s="466"/>
      <c r="J325">
        <v>1</v>
      </c>
    </row>
    <row r="326" spans="1:10">
      <c r="A326" s="617" t="str">
        <f t="shared" si="5"/>
        <v>United Kingdom</v>
      </c>
      <c r="B326" s="630" t="s">
        <v>995</v>
      </c>
      <c r="C326" s="630" t="s">
        <v>145</v>
      </c>
      <c r="D326" s="630" t="s">
        <v>994</v>
      </c>
      <c r="E326" s="630" t="s">
        <v>996</v>
      </c>
      <c r="F326" s="630" t="s">
        <v>1418</v>
      </c>
      <c r="G326" s="630" t="s">
        <v>997</v>
      </c>
      <c r="H326" s="621"/>
      <c r="I326" s="466"/>
      <c r="J326">
        <v>1</v>
      </c>
    </row>
    <row r="327" spans="1:10">
      <c r="A327" s="617" t="str">
        <f t="shared" si="5"/>
        <v>---Non-OECD Europe and Eurasia</v>
      </c>
      <c r="B327" s="630" t="s">
        <v>1643</v>
      </c>
      <c r="C327" s="630" t="s">
        <v>112</v>
      </c>
      <c r="D327" s="630" t="s">
        <v>998</v>
      </c>
      <c r="E327" s="630" t="e">
        <v>#NAME?</v>
      </c>
      <c r="F327" s="630" t="s">
        <v>1896</v>
      </c>
      <c r="G327" s="630" t="s">
        <v>1973</v>
      </c>
      <c r="H327" s="621"/>
      <c r="I327" s="466"/>
      <c r="J327">
        <v>1</v>
      </c>
    </row>
    <row r="328" spans="1:10">
      <c r="A328" s="617" t="str">
        <f t="shared" si="5"/>
        <v>Albania</v>
      </c>
      <c r="B328" s="630" t="s">
        <v>1000</v>
      </c>
      <c r="C328" s="630" t="s">
        <v>146</v>
      </c>
      <c r="D328" s="630" t="s">
        <v>999</v>
      </c>
      <c r="E328" s="630" t="s">
        <v>146</v>
      </c>
      <c r="F328" s="630" t="s">
        <v>146</v>
      </c>
      <c r="G328" s="630" t="s">
        <v>1001</v>
      </c>
      <c r="H328" s="621"/>
      <c r="I328" s="466"/>
      <c r="J328">
        <v>1</v>
      </c>
    </row>
    <row r="329" spans="1:10">
      <c r="A329" s="617" t="str">
        <f t="shared" si="5"/>
        <v>Armenia</v>
      </c>
      <c r="B329" s="630" t="s">
        <v>1003</v>
      </c>
      <c r="C329" s="630" t="s">
        <v>147</v>
      </c>
      <c r="D329" s="630" t="s">
        <v>1002</v>
      </c>
      <c r="E329" s="630" t="s">
        <v>147</v>
      </c>
      <c r="F329" s="630" t="s">
        <v>147</v>
      </c>
      <c r="G329" s="630" t="s">
        <v>1004</v>
      </c>
      <c r="H329" s="621"/>
      <c r="I329" s="466"/>
      <c r="J329">
        <v>1</v>
      </c>
    </row>
    <row r="330" spans="1:10">
      <c r="A330" s="617" t="str">
        <f t="shared" si="5"/>
        <v>Azerbaijan</v>
      </c>
      <c r="B330" s="630" t="s">
        <v>1006</v>
      </c>
      <c r="C330" s="630" t="s">
        <v>148</v>
      </c>
      <c r="D330" s="630" t="s">
        <v>1005</v>
      </c>
      <c r="E330" s="630" t="s">
        <v>1007</v>
      </c>
      <c r="F330" s="630" t="s">
        <v>148</v>
      </c>
      <c r="G330" s="630" t="s">
        <v>1008</v>
      </c>
      <c r="H330" s="621"/>
      <c r="I330" s="466"/>
      <c r="J330">
        <v>1</v>
      </c>
    </row>
    <row r="331" spans="1:10">
      <c r="A331" s="617" t="str">
        <f t="shared" si="5"/>
        <v>Belarus</v>
      </c>
      <c r="B331" s="630" t="s">
        <v>1009</v>
      </c>
      <c r="C331" s="630" t="s">
        <v>149</v>
      </c>
      <c r="D331" s="630" t="s">
        <v>149</v>
      </c>
      <c r="E331" s="630" t="s">
        <v>1010</v>
      </c>
      <c r="F331" s="630" t="s">
        <v>1419</v>
      </c>
      <c r="G331" s="630" t="s">
        <v>1011</v>
      </c>
      <c r="H331" s="621"/>
      <c r="I331" s="466"/>
      <c r="J331">
        <v>1</v>
      </c>
    </row>
    <row r="332" spans="1:10">
      <c r="A332" s="617" t="str">
        <f t="shared" si="5"/>
        <v>Bosnia and Herzegovina</v>
      </c>
      <c r="B332" s="630" t="s">
        <v>2489</v>
      </c>
      <c r="C332" s="630" t="s">
        <v>150</v>
      </c>
      <c r="D332" s="630" t="s">
        <v>1012</v>
      </c>
      <c r="E332" s="630" t="s">
        <v>1013</v>
      </c>
      <c r="F332" s="630" t="s">
        <v>1420</v>
      </c>
      <c r="G332" s="630" t="s">
        <v>1014</v>
      </c>
      <c r="H332" s="621"/>
      <c r="I332" s="466"/>
      <c r="J332">
        <v>1</v>
      </c>
    </row>
    <row r="333" spans="1:10">
      <c r="A333" s="617" t="str">
        <f t="shared" si="5"/>
        <v>Bulgaria</v>
      </c>
      <c r="B333" s="630" t="s">
        <v>1016</v>
      </c>
      <c r="C333" s="630" t="s">
        <v>151</v>
      </c>
      <c r="D333" s="630" t="s">
        <v>1015</v>
      </c>
      <c r="E333" s="630" t="s">
        <v>151</v>
      </c>
      <c r="F333" s="630" t="s">
        <v>151</v>
      </c>
      <c r="G333" s="630" t="s">
        <v>1017</v>
      </c>
      <c r="H333" s="621"/>
      <c r="I333" s="466"/>
      <c r="J333">
        <v>1</v>
      </c>
    </row>
    <row r="334" spans="1:10">
      <c r="A334" s="617" t="str">
        <f t="shared" si="5"/>
        <v>Croatia</v>
      </c>
      <c r="B334" s="630" t="s">
        <v>1019</v>
      </c>
      <c r="C334" s="630" t="s">
        <v>152</v>
      </c>
      <c r="D334" s="630" t="s">
        <v>1018</v>
      </c>
      <c r="E334" s="630" t="s">
        <v>1020</v>
      </c>
      <c r="F334" s="630" t="s">
        <v>1421</v>
      </c>
      <c r="G334" s="630" t="s">
        <v>1021</v>
      </c>
      <c r="H334" s="621"/>
      <c r="I334" s="466"/>
      <c r="J334">
        <v>1</v>
      </c>
    </row>
    <row r="335" spans="1:10">
      <c r="A335" s="617" t="str">
        <f t="shared" si="5"/>
        <v>Cyprus</v>
      </c>
      <c r="B335" s="630" t="s">
        <v>1023</v>
      </c>
      <c r="C335" s="630" t="s">
        <v>153</v>
      </c>
      <c r="D335" s="630" t="s">
        <v>1022</v>
      </c>
      <c r="E335" s="630" t="s">
        <v>1024</v>
      </c>
      <c r="F335" s="630" t="s">
        <v>1422</v>
      </c>
      <c r="G335" s="630" t="s">
        <v>153</v>
      </c>
      <c r="H335" s="621"/>
      <c r="I335" s="466"/>
      <c r="J335">
        <v>1</v>
      </c>
    </row>
    <row r="336" spans="1:10">
      <c r="A336" s="617" t="str">
        <f t="shared" si="5"/>
        <v>Georgia</v>
      </c>
      <c r="B336" s="630" t="s">
        <v>1644</v>
      </c>
      <c r="C336" s="630" t="s">
        <v>154</v>
      </c>
      <c r="D336" s="630" t="s">
        <v>1025</v>
      </c>
      <c r="E336" s="630" t="s">
        <v>154</v>
      </c>
      <c r="F336" s="630" t="s">
        <v>154</v>
      </c>
      <c r="G336" s="630" t="s">
        <v>1026</v>
      </c>
      <c r="H336" s="621"/>
      <c r="I336" s="466"/>
      <c r="J336">
        <v>1</v>
      </c>
    </row>
    <row r="337" spans="1:10">
      <c r="A337" s="617" t="str">
        <f t="shared" si="5"/>
        <v>Gibraltar</v>
      </c>
      <c r="B337" s="630" t="s">
        <v>155</v>
      </c>
      <c r="C337" s="630" t="s">
        <v>155</v>
      </c>
      <c r="D337" s="630" t="s">
        <v>155</v>
      </c>
      <c r="E337" s="630" t="s">
        <v>155</v>
      </c>
      <c r="F337" s="630" t="s">
        <v>1423</v>
      </c>
      <c r="G337" s="630" t="s">
        <v>155</v>
      </c>
      <c r="H337" s="621"/>
      <c r="I337" s="466"/>
      <c r="J337">
        <v>1</v>
      </c>
    </row>
    <row r="338" spans="1:10">
      <c r="A338" s="617" t="str">
        <f t="shared" si="5"/>
        <v>Kazakhstan</v>
      </c>
      <c r="B338" s="630" t="s">
        <v>1027</v>
      </c>
      <c r="C338" s="630" t="s">
        <v>156</v>
      </c>
      <c r="D338" s="630" t="s">
        <v>156</v>
      </c>
      <c r="E338" s="630" t="s">
        <v>1028</v>
      </c>
      <c r="F338" s="630" t="s">
        <v>1424</v>
      </c>
      <c r="G338" s="630" t="s">
        <v>1029</v>
      </c>
      <c r="H338" s="621"/>
      <c r="I338" s="466"/>
      <c r="J338">
        <v>1</v>
      </c>
    </row>
    <row r="339" spans="1:10">
      <c r="A339" s="617" t="str">
        <f t="shared" si="5"/>
        <v>Kyrgyzstan</v>
      </c>
      <c r="B339" s="630" t="s">
        <v>1031</v>
      </c>
      <c r="C339" s="630" t="s">
        <v>157</v>
      </c>
      <c r="D339" s="630" t="s">
        <v>1030</v>
      </c>
      <c r="E339" s="630" t="s">
        <v>1032</v>
      </c>
      <c r="F339" s="630" t="s">
        <v>1030</v>
      </c>
      <c r="G339" s="630" t="s">
        <v>1033</v>
      </c>
      <c r="H339" s="621"/>
      <c r="I339" s="466"/>
      <c r="J339">
        <v>1</v>
      </c>
    </row>
    <row r="340" spans="1:10">
      <c r="A340" s="617" t="str">
        <f t="shared" si="5"/>
        <v>Latvia</v>
      </c>
      <c r="B340" s="630" t="s">
        <v>1035</v>
      </c>
      <c r="C340" s="630" t="s">
        <v>158</v>
      </c>
      <c r="D340" s="630" t="s">
        <v>1034</v>
      </c>
      <c r="E340" s="630" t="s">
        <v>1036</v>
      </c>
      <c r="F340" s="630" t="s">
        <v>1425</v>
      </c>
      <c r="G340" s="630" t="s">
        <v>1037</v>
      </c>
      <c r="H340" s="621"/>
      <c r="I340" s="466"/>
      <c r="J340">
        <v>1</v>
      </c>
    </row>
    <row r="341" spans="1:10">
      <c r="A341" s="617" t="str">
        <f t="shared" ref="A341:A431" si="7">INDEX(B341:I341,1,$A$1)</f>
        <v>Lithuania</v>
      </c>
      <c r="B341" s="630" t="s">
        <v>1039</v>
      </c>
      <c r="C341" s="630" t="s">
        <v>159</v>
      </c>
      <c r="D341" s="630" t="s">
        <v>1038</v>
      </c>
      <c r="E341" s="630" t="s">
        <v>1040</v>
      </c>
      <c r="F341" s="630" t="s">
        <v>1040</v>
      </c>
      <c r="G341" s="630" t="s">
        <v>1041</v>
      </c>
      <c r="H341" s="621"/>
      <c r="I341" s="466"/>
      <c r="J341">
        <v>1</v>
      </c>
    </row>
    <row r="342" spans="1:10">
      <c r="A342" s="617" t="str">
        <f t="shared" si="7"/>
        <v>FYR of Macedonia</v>
      </c>
      <c r="B342" s="630" t="s">
        <v>1645</v>
      </c>
      <c r="C342" s="630" t="s">
        <v>160</v>
      </c>
      <c r="D342" s="630" t="s">
        <v>1042</v>
      </c>
      <c r="E342" s="630" t="s">
        <v>1043</v>
      </c>
      <c r="F342" s="630" t="s">
        <v>1426</v>
      </c>
      <c r="G342" s="630" t="s">
        <v>1974</v>
      </c>
      <c r="H342" s="621"/>
      <c r="I342" s="466"/>
      <c r="J342">
        <v>1</v>
      </c>
    </row>
    <row r="343" spans="1:10">
      <c r="A343" s="617" t="str">
        <f t="shared" si="7"/>
        <v>Malta</v>
      </c>
      <c r="B343" s="630" t="s">
        <v>161</v>
      </c>
      <c r="C343" s="630" t="s">
        <v>161</v>
      </c>
      <c r="D343" s="630" t="s">
        <v>1044</v>
      </c>
      <c r="E343" s="630" t="s">
        <v>161</v>
      </c>
      <c r="F343" s="630" t="s">
        <v>161</v>
      </c>
      <c r="G343" s="630" t="s">
        <v>161</v>
      </c>
      <c r="H343" s="621"/>
      <c r="I343" s="466"/>
      <c r="J343">
        <v>1</v>
      </c>
    </row>
    <row r="344" spans="1:10">
      <c r="A344" s="617" t="str">
        <f t="shared" si="7"/>
        <v>Republic of Moldova</v>
      </c>
      <c r="B344" s="630" t="s">
        <v>1646</v>
      </c>
      <c r="C344" s="630" t="s">
        <v>162</v>
      </c>
      <c r="D344" s="630" t="s">
        <v>1045</v>
      </c>
      <c r="E344" s="630" t="s">
        <v>1046</v>
      </c>
      <c r="F344" s="630" t="s">
        <v>1427</v>
      </c>
      <c r="G344" s="630" t="s">
        <v>1975</v>
      </c>
      <c r="H344" s="621"/>
      <c r="I344" s="466"/>
      <c r="J344">
        <v>1</v>
      </c>
    </row>
    <row r="345" spans="1:10">
      <c r="A345" s="617" t="str">
        <f t="shared" si="7"/>
        <v>Romania</v>
      </c>
      <c r="B345" s="630" t="s">
        <v>1048</v>
      </c>
      <c r="C345" s="630" t="s">
        <v>163</v>
      </c>
      <c r="D345" s="630" t="s">
        <v>1047</v>
      </c>
      <c r="E345" s="630" t="s">
        <v>1049</v>
      </c>
      <c r="F345" s="630" t="s">
        <v>163</v>
      </c>
      <c r="G345" s="630" t="s">
        <v>1050</v>
      </c>
      <c r="H345" s="621"/>
      <c r="I345" s="466"/>
      <c r="J345">
        <v>1</v>
      </c>
    </row>
    <row r="346" spans="1:10">
      <c r="A346" s="617" t="str">
        <f t="shared" si="7"/>
        <v>Russian Federation</v>
      </c>
      <c r="B346" s="630" t="s">
        <v>1647</v>
      </c>
      <c r="C346" s="630" t="s">
        <v>164</v>
      </c>
      <c r="D346" s="630" t="s">
        <v>1051</v>
      </c>
      <c r="E346" s="630" t="s">
        <v>1052</v>
      </c>
      <c r="F346" s="630" t="s">
        <v>1428</v>
      </c>
      <c r="G346" s="630" t="s">
        <v>1976</v>
      </c>
      <c r="H346" s="621"/>
      <c r="I346" s="466"/>
      <c r="J346">
        <v>1</v>
      </c>
    </row>
    <row r="347" spans="1:10">
      <c r="A347" s="617" t="str">
        <f t="shared" si="7"/>
        <v>Serbia</v>
      </c>
      <c r="B347" s="630" t="s">
        <v>1054</v>
      </c>
      <c r="C347" s="630" t="s">
        <v>165</v>
      </c>
      <c r="D347" s="630" t="s">
        <v>1053</v>
      </c>
      <c r="E347" s="630" t="s">
        <v>165</v>
      </c>
      <c r="F347" s="630" t="s">
        <v>165</v>
      </c>
      <c r="G347" s="630" t="s">
        <v>1055</v>
      </c>
      <c r="H347" s="621"/>
      <c r="I347" s="466"/>
      <c r="J347">
        <v>1</v>
      </c>
    </row>
    <row r="348" spans="1:10">
      <c r="A348" s="617" t="str">
        <f t="shared" si="7"/>
        <v>Tajikistan</v>
      </c>
      <c r="B348" s="630" t="s">
        <v>1057</v>
      </c>
      <c r="C348" s="630" t="s">
        <v>166</v>
      </c>
      <c r="D348" s="630" t="s">
        <v>1056</v>
      </c>
      <c r="E348" s="630" t="s">
        <v>1058</v>
      </c>
      <c r="F348" s="630" t="s">
        <v>1429</v>
      </c>
      <c r="G348" s="630" t="s">
        <v>1059</v>
      </c>
      <c r="H348" s="621"/>
      <c r="I348" s="466"/>
      <c r="J348">
        <v>1</v>
      </c>
    </row>
    <row r="349" spans="1:10">
      <c r="A349" s="617" t="str">
        <f t="shared" si="7"/>
        <v>Turkmenistan</v>
      </c>
      <c r="B349" s="630" t="s">
        <v>167</v>
      </c>
      <c r="C349" s="630" t="s">
        <v>167</v>
      </c>
      <c r="D349" s="630" t="s">
        <v>1060</v>
      </c>
      <c r="E349" s="630" t="s">
        <v>1061</v>
      </c>
      <c r="F349" s="630" t="s">
        <v>167</v>
      </c>
      <c r="G349" s="630" t="s">
        <v>167</v>
      </c>
      <c r="H349" s="621"/>
      <c r="I349" s="466"/>
      <c r="J349">
        <v>1</v>
      </c>
    </row>
    <row r="350" spans="1:10">
      <c r="A350" s="617" t="str">
        <f t="shared" si="7"/>
        <v>Ukraine</v>
      </c>
      <c r="B350" s="630" t="s">
        <v>168</v>
      </c>
      <c r="C350" s="630" t="s">
        <v>168</v>
      </c>
      <c r="D350" s="630" t="s">
        <v>168</v>
      </c>
      <c r="E350" s="630" t="s">
        <v>1062</v>
      </c>
      <c r="F350" s="630" t="s">
        <v>1430</v>
      </c>
      <c r="G350" s="630" t="s">
        <v>1063</v>
      </c>
      <c r="H350" s="621"/>
      <c r="I350" s="466"/>
      <c r="J350">
        <v>1</v>
      </c>
    </row>
    <row r="351" spans="1:10">
      <c r="A351" s="617" t="str">
        <f t="shared" si="7"/>
        <v>Uzbekistan</v>
      </c>
      <c r="B351" s="630" t="s">
        <v>1065</v>
      </c>
      <c r="C351" s="630" t="s">
        <v>169</v>
      </c>
      <c r="D351" s="630" t="s">
        <v>1064</v>
      </c>
      <c r="E351" s="630" t="s">
        <v>1066</v>
      </c>
      <c r="F351" s="630" t="s">
        <v>169</v>
      </c>
      <c r="G351" s="630" t="s">
        <v>1067</v>
      </c>
      <c r="H351" s="621"/>
      <c r="I351" s="466"/>
      <c r="J351">
        <v>1</v>
      </c>
    </row>
    <row r="352" spans="1:10">
      <c r="A352" s="617" t="str">
        <f>INDEX(B352:I352,1,$A$1)</f>
        <v>---OECD America</v>
      </c>
      <c r="B352" s="630" t="s">
        <v>2490</v>
      </c>
      <c r="C352" s="630" t="s">
        <v>2158</v>
      </c>
      <c r="D352" s="630" t="s">
        <v>2158</v>
      </c>
      <c r="E352" s="630" t="s">
        <v>2158</v>
      </c>
      <c r="F352" s="630" t="s">
        <v>2158</v>
      </c>
      <c r="G352" s="630" t="s">
        <v>2158</v>
      </c>
      <c r="H352" s="621"/>
      <c r="I352" s="466"/>
      <c r="J352">
        <v>0</v>
      </c>
    </row>
    <row r="353" spans="1:10">
      <c r="A353" s="617" t="str">
        <f t="shared" si="7"/>
        <v>Canada</v>
      </c>
      <c r="B353" s="630" t="s">
        <v>1068</v>
      </c>
      <c r="C353" s="630" t="s">
        <v>170</v>
      </c>
      <c r="D353" s="630" t="s">
        <v>170</v>
      </c>
      <c r="E353" s="630" t="s">
        <v>1069</v>
      </c>
      <c r="F353" s="630" t="s">
        <v>170</v>
      </c>
      <c r="G353" s="630" t="s">
        <v>170</v>
      </c>
      <c r="H353" s="621"/>
      <c r="I353" s="466"/>
      <c r="J353">
        <v>1</v>
      </c>
    </row>
    <row r="354" spans="1:10">
      <c r="A354" s="617" t="str">
        <f t="shared" si="7"/>
        <v>Chile</v>
      </c>
      <c r="B354" s="630" t="s">
        <v>171</v>
      </c>
      <c r="C354" s="630" t="s">
        <v>171</v>
      </c>
      <c r="D354" s="630" t="s">
        <v>1070</v>
      </c>
      <c r="E354" s="630" t="s">
        <v>171</v>
      </c>
      <c r="F354" s="630" t="s">
        <v>171</v>
      </c>
      <c r="G354" s="630" t="s">
        <v>1070</v>
      </c>
      <c r="H354" s="621"/>
      <c r="I354" s="466"/>
      <c r="J354">
        <v>1</v>
      </c>
    </row>
    <row r="355" spans="1:10">
      <c r="A355" s="617" t="str">
        <f t="shared" si="7"/>
        <v>Mexico</v>
      </c>
      <c r="B355" s="630" t="s">
        <v>1072</v>
      </c>
      <c r="C355" s="630" t="s">
        <v>172</v>
      </c>
      <c r="D355" s="630" t="s">
        <v>1071</v>
      </c>
      <c r="E355" s="630" t="s">
        <v>1073</v>
      </c>
      <c r="F355" s="630" t="s">
        <v>1431</v>
      </c>
      <c r="G355" s="630" t="s">
        <v>172</v>
      </c>
      <c r="H355" s="621"/>
      <c r="I355" s="466"/>
      <c r="J355">
        <v>1</v>
      </c>
    </row>
    <row r="356" spans="1:10" ht="15.75" thickBot="1">
      <c r="A356" s="617" t="str">
        <f t="shared" si="7"/>
        <v>United States</v>
      </c>
      <c r="B356" s="630" t="s">
        <v>1075</v>
      </c>
      <c r="C356" s="630" t="s">
        <v>173</v>
      </c>
      <c r="D356" s="630" t="s">
        <v>1074</v>
      </c>
      <c r="E356" s="630" t="s">
        <v>1076</v>
      </c>
      <c r="F356" s="630" t="s">
        <v>1432</v>
      </c>
      <c r="G356" s="630" t="s">
        <v>1077</v>
      </c>
      <c r="H356" s="621"/>
      <c r="I356" s="466"/>
      <c r="J356">
        <v>1</v>
      </c>
    </row>
    <row r="357" spans="1:10">
      <c r="A357" s="617" t="str">
        <f t="shared" ref="A357:A382" si="8">INDEX(B357:I357,1,$A$1)</f>
        <v>AKGD (ASCC Alaska Grid)</v>
      </c>
      <c r="B357" s="666" t="s">
        <v>2159</v>
      </c>
      <c r="C357" s="666" t="s">
        <v>2159</v>
      </c>
      <c r="D357" s="666" t="s">
        <v>2159</v>
      </c>
      <c r="E357" s="666" t="s">
        <v>2159</v>
      </c>
      <c r="F357" s="666" t="s">
        <v>2159</v>
      </c>
      <c r="G357" s="666" t="s">
        <v>2159</v>
      </c>
      <c r="H357" s="621"/>
      <c r="I357" s="466"/>
      <c r="J357">
        <v>0</v>
      </c>
    </row>
    <row r="358" spans="1:10">
      <c r="A358" s="617" t="str">
        <f t="shared" si="8"/>
        <v>AKMS (ASCC Miscellaneous)</v>
      </c>
      <c r="B358" s="667" t="s">
        <v>2160</v>
      </c>
      <c r="C358" s="667" t="s">
        <v>2160</v>
      </c>
      <c r="D358" s="667" t="s">
        <v>2160</v>
      </c>
      <c r="E358" s="667" t="s">
        <v>2160</v>
      </c>
      <c r="F358" s="667" t="s">
        <v>2160</v>
      </c>
      <c r="G358" s="667" t="s">
        <v>2160</v>
      </c>
      <c r="H358" s="621"/>
      <c r="I358" s="466"/>
      <c r="J358">
        <v>0</v>
      </c>
    </row>
    <row r="359" spans="1:10">
      <c r="A359" s="617" t="str">
        <f t="shared" si="8"/>
        <v>AZNM (WECC Southwest)</v>
      </c>
      <c r="B359" s="667" t="s">
        <v>2161</v>
      </c>
      <c r="C359" s="667" t="s">
        <v>2161</v>
      </c>
      <c r="D359" s="667" t="s">
        <v>2161</v>
      </c>
      <c r="E359" s="667" t="s">
        <v>2161</v>
      </c>
      <c r="F359" s="667" t="s">
        <v>2161</v>
      </c>
      <c r="G359" s="667" t="s">
        <v>2161</v>
      </c>
      <c r="H359" s="621"/>
      <c r="I359" s="466"/>
      <c r="J359">
        <v>0</v>
      </c>
    </row>
    <row r="360" spans="1:10">
      <c r="A360" s="617" t="str">
        <f t="shared" si="8"/>
        <v>CAMX (WECC California)</v>
      </c>
      <c r="B360" s="667" t="s">
        <v>2162</v>
      </c>
      <c r="C360" s="667" t="s">
        <v>2162</v>
      </c>
      <c r="D360" s="667" t="s">
        <v>2162</v>
      </c>
      <c r="E360" s="667" t="s">
        <v>2162</v>
      </c>
      <c r="F360" s="667" t="s">
        <v>2162</v>
      </c>
      <c r="G360" s="667" t="s">
        <v>2162</v>
      </c>
      <c r="H360" s="621"/>
      <c r="I360" s="466"/>
      <c r="J360">
        <v>0</v>
      </c>
    </row>
    <row r="361" spans="1:10">
      <c r="A361" s="617" t="str">
        <f t="shared" si="8"/>
        <v>ERCT (ERCOT All)</v>
      </c>
      <c r="B361" s="667" t="s">
        <v>2163</v>
      </c>
      <c r="C361" s="667" t="s">
        <v>2163</v>
      </c>
      <c r="D361" s="667" t="s">
        <v>2163</v>
      </c>
      <c r="E361" s="667" t="s">
        <v>2163</v>
      </c>
      <c r="F361" s="667" t="s">
        <v>2163</v>
      </c>
      <c r="G361" s="667" t="s">
        <v>2163</v>
      </c>
      <c r="H361" s="621"/>
      <c r="I361" s="466"/>
      <c r="J361">
        <v>0</v>
      </c>
    </row>
    <row r="362" spans="1:10">
      <c r="A362" s="617" t="str">
        <f t="shared" si="8"/>
        <v>FRCC (FRCC All)</v>
      </c>
      <c r="B362" s="667" t="s">
        <v>2164</v>
      </c>
      <c r="C362" s="667" t="s">
        <v>2164</v>
      </c>
      <c r="D362" s="667" t="s">
        <v>2164</v>
      </c>
      <c r="E362" s="667" t="s">
        <v>2164</v>
      </c>
      <c r="F362" s="667" t="s">
        <v>2164</v>
      </c>
      <c r="G362" s="667" t="s">
        <v>2164</v>
      </c>
      <c r="H362" s="621"/>
      <c r="I362" s="466"/>
      <c r="J362">
        <v>0</v>
      </c>
    </row>
    <row r="363" spans="1:10">
      <c r="A363" s="617" t="str">
        <f t="shared" si="8"/>
        <v>HIMS (HICC Miscellaneous)</v>
      </c>
      <c r="B363" s="667" t="s">
        <v>2165</v>
      </c>
      <c r="C363" s="667" t="s">
        <v>2165</v>
      </c>
      <c r="D363" s="667" t="s">
        <v>2165</v>
      </c>
      <c r="E363" s="667" t="s">
        <v>2165</v>
      </c>
      <c r="F363" s="667" t="s">
        <v>2165</v>
      </c>
      <c r="G363" s="667" t="s">
        <v>2165</v>
      </c>
      <c r="H363" s="621"/>
      <c r="I363" s="466"/>
      <c r="J363">
        <v>0</v>
      </c>
    </row>
    <row r="364" spans="1:10">
      <c r="A364" s="617" t="str">
        <f t="shared" si="8"/>
        <v>HIOA (HICC Oahu)</v>
      </c>
      <c r="B364" s="667" t="s">
        <v>2166</v>
      </c>
      <c r="C364" s="667" t="s">
        <v>2166</v>
      </c>
      <c r="D364" s="667" t="s">
        <v>2166</v>
      </c>
      <c r="E364" s="667" t="s">
        <v>2166</v>
      </c>
      <c r="F364" s="667" t="s">
        <v>2166</v>
      </c>
      <c r="G364" s="667" t="s">
        <v>2166</v>
      </c>
      <c r="H364" s="621"/>
      <c r="I364" s="466"/>
      <c r="J364">
        <v>0</v>
      </c>
    </row>
    <row r="365" spans="1:10">
      <c r="A365" s="617" t="str">
        <f t="shared" si="8"/>
        <v>MROE (MRO East)</v>
      </c>
      <c r="B365" s="667" t="s">
        <v>2167</v>
      </c>
      <c r="C365" s="667" t="s">
        <v>2167</v>
      </c>
      <c r="D365" s="667" t="s">
        <v>2167</v>
      </c>
      <c r="E365" s="667" t="s">
        <v>2167</v>
      </c>
      <c r="F365" s="667" t="s">
        <v>2167</v>
      </c>
      <c r="G365" s="667" t="s">
        <v>2167</v>
      </c>
      <c r="H365" s="621"/>
      <c r="I365" s="466"/>
      <c r="J365">
        <v>0</v>
      </c>
    </row>
    <row r="366" spans="1:10">
      <c r="A366" s="617" t="str">
        <f t="shared" si="8"/>
        <v>MROW (MRO West)</v>
      </c>
      <c r="B366" s="667" t="s">
        <v>2168</v>
      </c>
      <c r="C366" s="667" t="s">
        <v>2168</v>
      </c>
      <c r="D366" s="667" t="s">
        <v>2168</v>
      </c>
      <c r="E366" s="667" t="s">
        <v>2168</v>
      </c>
      <c r="F366" s="667" t="s">
        <v>2168</v>
      </c>
      <c r="G366" s="667" t="s">
        <v>2168</v>
      </c>
      <c r="H366" s="621"/>
      <c r="I366" s="466"/>
      <c r="J366">
        <v>0</v>
      </c>
    </row>
    <row r="367" spans="1:10">
      <c r="A367" s="617" t="str">
        <f t="shared" si="8"/>
        <v>NEWE (NPCC New England)</v>
      </c>
      <c r="B367" s="667" t="s">
        <v>2169</v>
      </c>
      <c r="C367" s="667" t="s">
        <v>2169</v>
      </c>
      <c r="D367" s="667" t="s">
        <v>2169</v>
      </c>
      <c r="E367" s="667" t="s">
        <v>2169</v>
      </c>
      <c r="F367" s="667" t="s">
        <v>2169</v>
      </c>
      <c r="G367" s="667" t="s">
        <v>2169</v>
      </c>
      <c r="H367" s="621"/>
      <c r="I367" s="466"/>
      <c r="J367">
        <v>0</v>
      </c>
    </row>
    <row r="368" spans="1:10">
      <c r="A368" s="617" t="str">
        <f t="shared" si="8"/>
        <v>NWPP (WECC Northwest)</v>
      </c>
      <c r="B368" s="667" t="s">
        <v>2170</v>
      </c>
      <c r="C368" s="667" t="s">
        <v>2170</v>
      </c>
      <c r="D368" s="667" t="s">
        <v>2170</v>
      </c>
      <c r="E368" s="667" t="s">
        <v>2170</v>
      </c>
      <c r="F368" s="667" t="s">
        <v>2170</v>
      </c>
      <c r="G368" s="667" t="s">
        <v>2170</v>
      </c>
      <c r="H368" s="621"/>
      <c r="I368" s="466"/>
      <c r="J368">
        <v>0</v>
      </c>
    </row>
    <row r="369" spans="1:10">
      <c r="A369" s="617" t="str">
        <f t="shared" si="8"/>
        <v>NYCW (NPCC NYC/Westchester)</v>
      </c>
      <c r="B369" s="667" t="s">
        <v>2171</v>
      </c>
      <c r="C369" s="667" t="s">
        <v>2171</v>
      </c>
      <c r="D369" s="667" t="s">
        <v>2171</v>
      </c>
      <c r="E369" s="667" t="s">
        <v>2171</v>
      </c>
      <c r="F369" s="667" t="s">
        <v>2171</v>
      </c>
      <c r="G369" s="667" t="s">
        <v>2171</v>
      </c>
      <c r="H369" s="621"/>
      <c r="I369" s="466"/>
      <c r="J369">
        <v>0</v>
      </c>
    </row>
    <row r="370" spans="1:10">
      <c r="A370" s="617" t="str">
        <f t="shared" si="8"/>
        <v>NYLI (NPCC Long Island)</v>
      </c>
      <c r="B370" s="667" t="s">
        <v>2172</v>
      </c>
      <c r="C370" s="667" t="s">
        <v>2172</v>
      </c>
      <c r="D370" s="667" t="s">
        <v>2172</v>
      </c>
      <c r="E370" s="667" t="s">
        <v>2172</v>
      </c>
      <c r="F370" s="667" t="s">
        <v>2172</v>
      </c>
      <c r="G370" s="667" t="s">
        <v>2172</v>
      </c>
      <c r="H370" s="621"/>
      <c r="I370" s="466"/>
      <c r="J370">
        <v>0</v>
      </c>
    </row>
    <row r="371" spans="1:10">
      <c r="A371" s="617" t="str">
        <f t="shared" si="8"/>
        <v>NYUP (NPCC Upstate NY)</v>
      </c>
      <c r="B371" s="667" t="s">
        <v>2173</v>
      </c>
      <c r="C371" s="667" t="s">
        <v>2173</v>
      </c>
      <c r="D371" s="667" t="s">
        <v>2173</v>
      </c>
      <c r="E371" s="667" t="s">
        <v>2173</v>
      </c>
      <c r="F371" s="667" t="s">
        <v>2173</v>
      </c>
      <c r="G371" s="667" t="s">
        <v>2173</v>
      </c>
      <c r="H371" s="621"/>
      <c r="I371" s="466"/>
      <c r="J371">
        <v>0</v>
      </c>
    </row>
    <row r="372" spans="1:10">
      <c r="A372" s="617" t="str">
        <f t="shared" si="8"/>
        <v>RFCE (RFC East)</v>
      </c>
      <c r="B372" s="667" t="s">
        <v>2174</v>
      </c>
      <c r="C372" s="667" t="s">
        <v>2174</v>
      </c>
      <c r="D372" s="667" t="s">
        <v>2174</v>
      </c>
      <c r="E372" s="667" t="s">
        <v>2174</v>
      </c>
      <c r="F372" s="667" t="s">
        <v>2174</v>
      </c>
      <c r="G372" s="667" t="s">
        <v>2174</v>
      </c>
      <c r="H372" s="621"/>
      <c r="I372" s="466"/>
      <c r="J372">
        <v>0</v>
      </c>
    </row>
    <row r="373" spans="1:10">
      <c r="A373" s="617" t="str">
        <f t="shared" si="8"/>
        <v>RFCM (RFC Michigan)</v>
      </c>
      <c r="B373" s="667" t="s">
        <v>2175</v>
      </c>
      <c r="C373" s="667" t="s">
        <v>2175</v>
      </c>
      <c r="D373" s="667" t="s">
        <v>2175</v>
      </c>
      <c r="E373" s="667" t="s">
        <v>2175</v>
      </c>
      <c r="F373" s="667" t="s">
        <v>2175</v>
      </c>
      <c r="G373" s="667" t="s">
        <v>2175</v>
      </c>
      <c r="H373" s="621"/>
      <c r="I373" s="466"/>
      <c r="J373">
        <v>0</v>
      </c>
    </row>
    <row r="374" spans="1:10">
      <c r="A374" s="617" t="str">
        <f t="shared" si="8"/>
        <v>RFCW (RFC West)</v>
      </c>
      <c r="B374" s="667" t="s">
        <v>2176</v>
      </c>
      <c r="C374" s="667" t="s">
        <v>2176</v>
      </c>
      <c r="D374" s="667" t="s">
        <v>2176</v>
      </c>
      <c r="E374" s="667" t="s">
        <v>2176</v>
      </c>
      <c r="F374" s="667" t="s">
        <v>2176</v>
      </c>
      <c r="G374" s="667" t="s">
        <v>2176</v>
      </c>
      <c r="H374" s="621"/>
      <c r="I374" s="466"/>
      <c r="J374">
        <v>0</v>
      </c>
    </row>
    <row r="375" spans="1:10">
      <c r="A375" s="617" t="str">
        <f t="shared" si="8"/>
        <v>RMPA (WECC Rockies)</v>
      </c>
      <c r="B375" s="667" t="s">
        <v>2177</v>
      </c>
      <c r="C375" s="667" t="s">
        <v>2177</v>
      </c>
      <c r="D375" s="667" t="s">
        <v>2177</v>
      </c>
      <c r="E375" s="667" t="s">
        <v>2177</v>
      </c>
      <c r="F375" s="667" t="s">
        <v>2177</v>
      </c>
      <c r="G375" s="667" t="s">
        <v>2177</v>
      </c>
      <c r="H375" s="621"/>
      <c r="I375" s="466"/>
      <c r="J375">
        <v>0</v>
      </c>
    </row>
    <row r="376" spans="1:10">
      <c r="A376" s="617" t="str">
        <f t="shared" si="8"/>
        <v>SPNO (SPP North)</v>
      </c>
      <c r="B376" s="667" t="s">
        <v>2178</v>
      </c>
      <c r="C376" s="667" t="s">
        <v>2178</v>
      </c>
      <c r="D376" s="667" t="s">
        <v>2178</v>
      </c>
      <c r="E376" s="667" t="s">
        <v>2178</v>
      </c>
      <c r="F376" s="667" t="s">
        <v>2178</v>
      </c>
      <c r="G376" s="667" t="s">
        <v>2178</v>
      </c>
      <c r="H376" s="621"/>
      <c r="I376" s="466"/>
      <c r="J376">
        <v>0</v>
      </c>
    </row>
    <row r="377" spans="1:10">
      <c r="A377" s="617" t="str">
        <f t="shared" si="8"/>
        <v>SPSO (SPP South)</v>
      </c>
      <c r="B377" s="667" t="s">
        <v>2179</v>
      </c>
      <c r="C377" s="667" t="s">
        <v>2179</v>
      </c>
      <c r="D377" s="667" t="s">
        <v>2179</v>
      </c>
      <c r="E377" s="667" t="s">
        <v>2179</v>
      </c>
      <c r="F377" s="667" t="s">
        <v>2179</v>
      </c>
      <c r="G377" s="667" t="s">
        <v>2179</v>
      </c>
      <c r="H377" s="621"/>
      <c r="I377" s="466"/>
      <c r="J377">
        <v>0</v>
      </c>
    </row>
    <row r="378" spans="1:10">
      <c r="A378" s="617" t="str">
        <f t="shared" si="8"/>
        <v>SRMV (SERC Mississippi Valley)</v>
      </c>
      <c r="B378" s="667" t="s">
        <v>2180</v>
      </c>
      <c r="C378" s="667" t="s">
        <v>2180</v>
      </c>
      <c r="D378" s="667" t="s">
        <v>2180</v>
      </c>
      <c r="E378" s="667" t="s">
        <v>2180</v>
      </c>
      <c r="F378" s="667" t="s">
        <v>2180</v>
      </c>
      <c r="G378" s="667" t="s">
        <v>2180</v>
      </c>
      <c r="H378" s="621"/>
      <c r="I378" s="466"/>
      <c r="J378">
        <v>0</v>
      </c>
    </row>
    <row r="379" spans="1:10">
      <c r="A379" s="617" t="str">
        <f t="shared" si="8"/>
        <v>SRMW (SERC Midwest)</v>
      </c>
      <c r="B379" s="667" t="s">
        <v>2181</v>
      </c>
      <c r="C379" s="667" t="s">
        <v>2181</v>
      </c>
      <c r="D379" s="667" t="s">
        <v>2181</v>
      </c>
      <c r="E379" s="667" t="s">
        <v>2181</v>
      </c>
      <c r="F379" s="667" t="s">
        <v>2181</v>
      </c>
      <c r="G379" s="667" t="s">
        <v>2181</v>
      </c>
      <c r="H379" s="621"/>
      <c r="I379" s="466"/>
      <c r="J379">
        <v>0</v>
      </c>
    </row>
    <row r="380" spans="1:10">
      <c r="A380" s="617" t="str">
        <f t="shared" si="8"/>
        <v>SRSO (SERC South)</v>
      </c>
      <c r="B380" s="667" t="s">
        <v>2182</v>
      </c>
      <c r="C380" s="667" t="s">
        <v>2182</v>
      </c>
      <c r="D380" s="667" t="s">
        <v>2182</v>
      </c>
      <c r="E380" s="667" t="s">
        <v>2182</v>
      </c>
      <c r="F380" s="667" t="s">
        <v>2182</v>
      </c>
      <c r="G380" s="667" t="s">
        <v>2182</v>
      </c>
      <c r="H380" s="621"/>
      <c r="I380" s="466"/>
      <c r="J380">
        <v>0</v>
      </c>
    </row>
    <row r="381" spans="1:10">
      <c r="A381" s="617" t="str">
        <f t="shared" si="8"/>
        <v>SRTV (SERC Tennessee Valley)</v>
      </c>
      <c r="B381" s="667" t="s">
        <v>2183</v>
      </c>
      <c r="C381" s="667" t="s">
        <v>2183</v>
      </c>
      <c r="D381" s="667" t="s">
        <v>2183</v>
      </c>
      <c r="E381" s="667" t="s">
        <v>2183</v>
      </c>
      <c r="F381" s="667" t="s">
        <v>2183</v>
      </c>
      <c r="G381" s="667" t="s">
        <v>2183</v>
      </c>
      <c r="H381" s="621"/>
      <c r="I381" s="466"/>
      <c r="J381">
        <v>0</v>
      </c>
    </row>
    <row r="382" spans="1:10" ht="15.75" thickBot="1">
      <c r="A382" s="617" t="str">
        <f t="shared" si="8"/>
        <v>SRVC (SERC Virginia/Carolina)</v>
      </c>
      <c r="B382" s="668" t="s">
        <v>2184</v>
      </c>
      <c r="C382" s="668" t="s">
        <v>2184</v>
      </c>
      <c r="D382" s="668" t="s">
        <v>2184</v>
      </c>
      <c r="E382" s="668" t="s">
        <v>2184</v>
      </c>
      <c r="F382" s="668" t="s">
        <v>2184</v>
      </c>
      <c r="G382" s="668" t="s">
        <v>2184</v>
      </c>
      <c r="H382" s="621"/>
      <c r="I382" s="466"/>
      <c r="J382">
        <v>0</v>
      </c>
    </row>
    <row r="383" spans="1:10">
      <c r="A383" s="617" t="str">
        <f t="shared" si="7"/>
        <v>---OECD Asia Oceania</v>
      </c>
      <c r="B383" s="630" t="s">
        <v>1648</v>
      </c>
      <c r="C383" s="630" t="s">
        <v>113</v>
      </c>
      <c r="D383" s="630" t="s">
        <v>1270</v>
      </c>
      <c r="E383" s="630" t="s">
        <v>1787</v>
      </c>
      <c r="F383" s="630" t="s">
        <v>1897</v>
      </c>
      <c r="G383" s="630" t="s">
        <v>1977</v>
      </c>
      <c r="H383" s="621"/>
      <c r="I383" s="466"/>
      <c r="J383">
        <v>1</v>
      </c>
    </row>
    <row r="384" spans="1:10">
      <c r="A384" s="617" t="str">
        <f t="shared" si="7"/>
        <v>Australia</v>
      </c>
      <c r="B384" s="630" t="s">
        <v>1079</v>
      </c>
      <c r="C384" s="630" t="s">
        <v>174</v>
      </c>
      <c r="D384" s="630" t="s">
        <v>1078</v>
      </c>
      <c r="E384" s="630" t="s">
        <v>174</v>
      </c>
      <c r="F384" s="630" t="s">
        <v>174</v>
      </c>
      <c r="G384" s="630" t="s">
        <v>1080</v>
      </c>
      <c r="H384" s="621"/>
      <c r="I384" s="466"/>
      <c r="J384">
        <v>1</v>
      </c>
    </row>
    <row r="385" spans="1:10">
      <c r="A385" s="617" t="str">
        <f t="shared" si="7"/>
        <v>Israel</v>
      </c>
      <c r="B385" s="630" t="s">
        <v>175</v>
      </c>
      <c r="C385" s="630" t="s">
        <v>175</v>
      </c>
      <c r="D385" s="630" t="s">
        <v>1081</v>
      </c>
      <c r="E385" s="630" t="s">
        <v>175</v>
      </c>
      <c r="F385" s="630" t="s">
        <v>1433</v>
      </c>
      <c r="G385" s="630" t="s">
        <v>1081</v>
      </c>
      <c r="H385" s="621"/>
      <c r="I385" s="466"/>
      <c r="J385">
        <v>1</v>
      </c>
    </row>
    <row r="386" spans="1:10">
      <c r="A386" s="617" t="str">
        <f t="shared" si="7"/>
        <v>Japan</v>
      </c>
      <c r="B386" s="630" t="s">
        <v>176</v>
      </c>
      <c r="C386" s="630" t="s">
        <v>176</v>
      </c>
      <c r="D386" s="630" t="s">
        <v>1082</v>
      </c>
      <c r="E386" s="630" t="s">
        <v>1083</v>
      </c>
      <c r="F386" s="630" t="s">
        <v>1434</v>
      </c>
      <c r="G386" s="630" t="s">
        <v>176</v>
      </c>
      <c r="H386" s="621"/>
      <c r="I386" s="466"/>
      <c r="J386">
        <v>1</v>
      </c>
    </row>
    <row r="387" spans="1:10">
      <c r="A387" s="617" t="str">
        <f t="shared" si="7"/>
        <v>Korea</v>
      </c>
      <c r="B387" s="630" t="s">
        <v>177</v>
      </c>
      <c r="C387" s="630" t="s">
        <v>177</v>
      </c>
      <c r="D387" s="630" t="s">
        <v>1084</v>
      </c>
      <c r="E387" s="630" t="s">
        <v>1085</v>
      </c>
      <c r="F387" s="630" t="s">
        <v>1085</v>
      </c>
      <c r="G387" s="630" t="s">
        <v>177</v>
      </c>
      <c r="H387" s="621"/>
      <c r="I387" s="466"/>
      <c r="J387">
        <v>1</v>
      </c>
    </row>
    <row r="388" spans="1:10">
      <c r="A388" s="617" t="str">
        <f t="shared" si="7"/>
        <v>New Zealand</v>
      </c>
      <c r="B388" s="630" t="s">
        <v>1649</v>
      </c>
      <c r="C388" s="630" t="s">
        <v>178</v>
      </c>
      <c r="D388" s="630" t="s">
        <v>1086</v>
      </c>
      <c r="E388" s="630" t="s">
        <v>1087</v>
      </c>
      <c r="F388" s="630" t="s">
        <v>1898</v>
      </c>
      <c r="G388" s="630" t="s">
        <v>178</v>
      </c>
      <c r="H388" s="621"/>
      <c r="I388" s="466"/>
      <c r="J388">
        <v>1</v>
      </c>
    </row>
    <row r="389" spans="1:10">
      <c r="A389" s="617" t="str">
        <f t="shared" si="7"/>
        <v>---Africa</v>
      </c>
      <c r="B389" s="630" t="s">
        <v>1650</v>
      </c>
      <c r="C389" s="630" t="s">
        <v>114</v>
      </c>
      <c r="D389" s="630" t="s">
        <v>1271</v>
      </c>
      <c r="E389" s="630" t="s">
        <v>1788</v>
      </c>
      <c r="F389" s="630" t="s">
        <v>1899</v>
      </c>
      <c r="G389" s="630" t="s">
        <v>1978</v>
      </c>
      <c r="H389" s="621"/>
      <c r="I389" s="466"/>
      <c r="J389">
        <v>1</v>
      </c>
    </row>
    <row r="390" spans="1:10">
      <c r="A390" s="617" t="str">
        <f t="shared" si="7"/>
        <v>Algeria</v>
      </c>
      <c r="B390" s="630" t="s">
        <v>1089</v>
      </c>
      <c r="C390" s="630" t="s">
        <v>179</v>
      </c>
      <c r="D390" s="630" t="s">
        <v>1088</v>
      </c>
      <c r="E390" s="630" t="s">
        <v>1090</v>
      </c>
      <c r="F390" s="630" t="s">
        <v>179</v>
      </c>
      <c r="G390" s="630" t="s">
        <v>1091</v>
      </c>
      <c r="H390" s="621"/>
      <c r="I390" s="466"/>
      <c r="J390">
        <v>1</v>
      </c>
    </row>
    <row r="391" spans="1:10">
      <c r="A391" s="617" t="str">
        <f t="shared" si="7"/>
        <v>Angola</v>
      </c>
      <c r="B391" s="630" t="s">
        <v>180</v>
      </c>
      <c r="C391" s="630" t="s">
        <v>180</v>
      </c>
      <c r="D391" s="630" t="s">
        <v>180</v>
      </c>
      <c r="E391" s="630" t="s">
        <v>180</v>
      </c>
      <c r="F391" s="630" t="s">
        <v>180</v>
      </c>
      <c r="G391" s="630" t="s">
        <v>180</v>
      </c>
      <c r="H391" s="621"/>
      <c r="I391" s="466"/>
      <c r="J391">
        <v>1</v>
      </c>
    </row>
    <row r="392" spans="1:10">
      <c r="A392" s="617" t="str">
        <f t="shared" si="7"/>
        <v>Benin</v>
      </c>
      <c r="B392" s="630" t="s">
        <v>181</v>
      </c>
      <c r="C392" s="630" t="s">
        <v>181</v>
      </c>
      <c r="D392" s="630" t="s">
        <v>1092</v>
      </c>
      <c r="E392" s="630" t="s">
        <v>181</v>
      </c>
      <c r="F392" s="630" t="s">
        <v>181</v>
      </c>
      <c r="G392" s="630" t="s">
        <v>181</v>
      </c>
      <c r="H392" s="621"/>
      <c r="I392" s="466"/>
      <c r="J392">
        <v>1</v>
      </c>
    </row>
    <row r="393" spans="1:10">
      <c r="A393" s="617" t="str">
        <f t="shared" si="7"/>
        <v>Botswana</v>
      </c>
      <c r="B393" s="630" t="s">
        <v>182</v>
      </c>
      <c r="C393" s="630" t="s">
        <v>182</v>
      </c>
      <c r="D393" s="630" t="s">
        <v>182</v>
      </c>
      <c r="E393" s="630" t="s">
        <v>182</v>
      </c>
      <c r="F393" s="630" t="s">
        <v>182</v>
      </c>
      <c r="G393" s="630" t="s">
        <v>182</v>
      </c>
      <c r="H393" s="621"/>
      <c r="I393" s="466"/>
      <c r="J393">
        <v>1</v>
      </c>
    </row>
    <row r="394" spans="1:10">
      <c r="A394" s="617" t="str">
        <f t="shared" si="7"/>
        <v>Cameroon</v>
      </c>
      <c r="B394" s="630" t="s">
        <v>1094</v>
      </c>
      <c r="C394" s="630" t="s">
        <v>183</v>
      </c>
      <c r="D394" s="630" t="s">
        <v>1093</v>
      </c>
      <c r="E394" s="630" t="s">
        <v>1095</v>
      </c>
      <c r="F394" s="630" t="s">
        <v>1435</v>
      </c>
      <c r="G394" s="630" t="s">
        <v>1096</v>
      </c>
      <c r="H394" s="621"/>
      <c r="I394" s="466"/>
      <c r="J394">
        <v>1</v>
      </c>
    </row>
    <row r="395" spans="1:10">
      <c r="A395" s="617" t="str">
        <f t="shared" si="7"/>
        <v>Congo</v>
      </c>
      <c r="B395" s="630" t="s">
        <v>1097</v>
      </c>
      <c r="C395" s="630" t="s">
        <v>184</v>
      </c>
      <c r="D395" s="630" t="s">
        <v>184</v>
      </c>
      <c r="E395" s="630" t="s">
        <v>184</v>
      </c>
      <c r="F395" s="630" t="s">
        <v>184</v>
      </c>
      <c r="G395" s="630" t="s">
        <v>184</v>
      </c>
      <c r="H395" s="621"/>
      <c r="I395" s="466"/>
      <c r="J395">
        <v>1</v>
      </c>
    </row>
    <row r="396" spans="1:10">
      <c r="A396" s="617" t="str">
        <f t="shared" si="7"/>
        <v>Dem. Rep. of Congo</v>
      </c>
      <c r="B396" s="630" t="s">
        <v>1099</v>
      </c>
      <c r="C396" s="630" t="s">
        <v>185</v>
      </c>
      <c r="D396" s="630" t="s">
        <v>1098</v>
      </c>
      <c r="E396" s="630" t="s">
        <v>1100</v>
      </c>
      <c r="F396" s="630" t="s">
        <v>1100</v>
      </c>
      <c r="G396" s="630" t="s">
        <v>1979</v>
      </c>
      <c r="H396" s="621"/>
      <c r="I396" s="466"/>
      <c r="J396">
        <v>1</v>
      </c>
    </row>
    <row r="397" spans="1:10">
      <c r="A397" s="617" t="str">
        <f t="shared" si="7"/>
        <v>Côte d'Ivoire</v>
      </c>
      <c r="B397" s="630" t="s">
        <v>1651</v>
      </c>
      <c r="C397" s="630" t="s">
        <v>186</v>
      </c>
      <c r="D397" s="630" t="s">
        <v>186</v>
      </c>
      <c r="E397" s="630" t="s">
        <v>186</v>
      </c>
      <c r="F397" s="630" t="s">
        <v>1436</v>
      </c>
      <c r="G397" s="630" t="s">
        <v>1980</v>
      </c>
      <c r="H397" s="621"/>
      <c r="I397" s="466"/>
      <c r="J397">
        <v>1</v>
      </c>
    </row>
    <row r="398" spans="1:10">
      <c r="A398" s="617" t="str">
        <f t="shared" si="7"/>
        <v>Egypt</v>
      </c>
      <c r="B398" s="630" t="s">
        <v>1102</v>
      </c>
      <c r="C398" s="630" t="s">
        <v>187</v>
      </c>
      <c r="D398" s="630" t="s">
        <v>1101</v>
      </c>
      <c r="E398" s="630" t="s">
        <v>1103</v>
      </c>
      <c r="F398" s="630" t="s">
        <v>1437</v>
      </c>
      <c r="G398" s="630" t="s">
        <v>1101</v>
      </c>
      <c r="H398" s="621"/>
      <c r="I398" s="466"/>
      <c r="J398">
        <v>1</v>
      </c>
    </row>
    <row r="399" spans="1:10">
      <c r="A399" s="617" t="str">
        <f t="shared" si="7"/>
        <v>Eritrea</v>
      </c>
      <c r="B399" s="630" t="s">
        <v>188</v>
      </c>
      <c r="C399" s="630" t="s">
        <v>188</v>
      </c>
      <c r="D399" s="630" t="s">
        <v>1104</v>
      </c>
      <c r="E399" s="630" t="s">
        <v>188</v>
      </c>
      <c r="F399" s="630" t="s">
        <v>188</v>
      </c>
      <c r="G399" s="630" t="s">
        <v>188</v>
      </c>
      <c r="H399" s="621"/>
      <c r="I399" s="466"/>
      <c r="J399">
        <v>1</v>
      </c>
    </row>
    <row r="400" spans="1:10">
      <c r="A400" s="617" t="str">
        <f t="shared" si="7"/>
        <v>Ethiopia</v>
      </c>
      <c r="B400" s="630" t="s">
        <v>1106</v>
      </c>
      <c r="C400" s="630" t="s">
        <v>189</v>
      </c>
      <c r="D400" s="630" t="s">
        <v>1105</v>
      </c>
      <c r="E400" s="630" t="s">
        <v>1107</v>
      </c>
      <c r="F400" s="630" t="s">
        <v>1438</v>
      </c>
      <c r="G400" s="630" t="s">
        <v>1108</v>
      </c>
      <c r="H400" s="621"/>
      <c r="I400" s="466"/>
      <c r="J400">
        <v>1</v>
      </c>
    </row>
    <row r="401" spans="1:10">
      <c r="A401" s="617" t="str">
        <f t="shared" si="7"/>
        <v>Gabon</v>
      </c>
      <c r="B401" s="630" t="s">
        <v>2491</v>
      </c>
      <c r="C401" s="630" t="s">
        <v>190</v>
      </c>
      <c r="D401" s="630" t="s">
        <v>190</v>
      </c>
      <c r="E401" s="630" t="s">
        <v>1109</v>
      </c>
      <c r="F401" s="630" t="s">
        <v>190</v>
      </c>
      <c r="G401" s="630" t="s">
        <v>190</v>
      </c>
      <c r="H401" s="621"/>
      <c r="I401" s="466"/>
      <c r="J401">
        <v>1</v>
      </c>
    </row>
    <row r="402" spans="1:10">
      <c r="A402" s="617" t="str">
        <f t="shared" si="7"/>
        <v>Ghana</v>
      </c>
      <c r="B402" s="630" t="s">
        <v>191</v>
      </c>
      <c r="C402" s="630" t="s">
        <v>191</v>
      </c>
      <c r="D402" s="630" t="s">
        <v>191</v>
      </c>
      <c r="E402" s="630" t="s">
        <v>191</v>
      </c>
      <c r="F402" s="630" t="s">
        <v>191</v>
      </c>
      <c r="G402" s="630" t="s">
        <v>191</v>
      </c>
      <c r="H402" s="621"/>
      <c r="I402" s="466"/>
      <c r="J402">
        <v>1</v>
      </c>
    </row>
    <row r="403" spans="1:10">
      <c r="A403" s="617" t="str">
        <f t="shared" si="7"/>
        <v>Kenya</v>
      </c>
      <c r="B403" s="630" t="s">
        <v>1110</v>
      </c>
      <c r="C403" s="630" t="s">
        <v>192</v>
      </c>
      <c r="D403" s="630" t="s">
        <v>192</v>
      </c>
      <c r="E403" s="630" t="s">
        <v>1110</v>
      </c>
      <c r="F403" s="630" t="s">
        <v>192</v>
      </c>
      <c r="G403" s="630" t="s">
        <v>1110</v>
      </c>
      <c r="H403" s="621"/>
      <c r="I403" s="466"/>
      <c r="J403">
        <v>1</v>
      </c>
    </row>
    <row r="404" spans="1:10">
      <c r="A404" s="617" t="str">
        <f t="shared" si="7"/>
        <v>Libyan Arab Jamahiriya</v>
      </c>
      <c r="B404" s="630" t="s">
        <v>2492</v>
      </c>
      <c r="C404" s="630" t="s">
        <v>193</v>
      </c>
      <c r="D404" s="630" t="s">
        <v>1111</v>
      </c>
      <c r="E404" s="630" t="s">
        <v>1112</v>
      </c>
      <c r="F404" s="630" t="s">
        <v>1439</v>
      </c>
      <c r="G404" s="630" t="s">
        <v>1113</v>
      </c>
      <c r="H404" s="621"/>
      <c r="I404" s="466"/>
      <c r="J404">
        <v>1</v>
      </c>
    </row>
    <row r="405" spans="1:10">
      <c r="A405" s="617" t="str">
        <f t="shared" si="7"/>
        <v>Morocco</v>
      </c>
      <c r="B405" s="630" t="s">
        <v>1115</v>
      </c>
      <c r="C405" s="630" t="s">
        <v>194</v>
      </c>
      <c r="D405" s="630" t="s">
        <v>1114</v>
      </c>
      <c r="E405" s="630" t="s">
        <v>1116</v>
      </c>
      <c r="F405" s="630" t="s">
        <v>1440</v>
      </c>
      <c r="G405" s="630" t="s">
        <v>1115</v>
      </c>
      <c r="H405" s="621"/>
      <c r="I405" s="466"/>
      <c r="J405">
        <v>1</v>
      </c>
    </row>
    <row r="406" spans="1:10">
      <c r="A406" s="617" t="str">
        <f t="shared" si="7"/>
        <v>Mozambique</v>
      </c>
      <c r="B406" s="630" t="s">
        <v>2493</v>
      </c>
      <c r="C406" s="630" t="s">
        <v>195</v>
      </c>
      <c r="D406" s="630" t="s">
        <v>195</v>
      </c>
      <c r="E406" s="630" t="s">
        <v>195</v>
      </c>
      <c r="F406" s="630" t="s">
        <v>1441</v>
      </c>
      <c r="G406" s="630" t="s">
        <v>195</v>
      </c>
      <c r="H406" s="621"/>
      <c r="I406" s="466"/>
      <c r="J406">
        <v>1</v>
      </c>
    </row>
    <row r="407" spans="1:10">
      <c r="A407" s="617" t="str">
        <f t="shared" si="7"/>
        <v>Namibia</v>
      </c>
      <c r="B407" s="630" t="s">
        <v>196</v>
      </c>
      <c r="C407" s="630" t="s">
        <v>196</v>
      </c>
      <c r="D407" s="630" t="s">
        <v>1117</v>
      </c>
      <c r="E407" s="630" t="s">
        <v>196</v>
      </c>
      <c r="F407" s="630" t="s">
        <v>196</v>
      </c>
      <c r="G407" s="630" t="s">
        <v>1118</v>
      </c>
      <c r="H407" s="621"/>
      <c r="I407" s="466"/>
      <c r="J407">
        <v>1</v>
      </c>
    </row>
    <row r="408" spans="1:10">
      <c r="A408" s="617" t="str">
        <f t="shared" si="7"/>
        <v>Nigeria</v>
      </c>
      <c r="B408" s="630" t="s">
        <v>197</v>
      </c>
      <c r="C408" s="630" t="s">
        <v>197</v>
      </c>
      <c r="D408" s="630" t="s">
        <v>197</v>
      </c>
      <c r="E408" s="630" t="s">
        <v>197</v>
      </c>
      <c r="F408" s="630" t="s">
        <v>197</v>
      </c>
      <c r="G408" s="630" t="s">
        <v>197</v>
      </c>
      <c r="H408" s="621"/>
      <c r="I408" s="466"/>
      <c r="J408">
        <v>1</v>
      </c>
    </row>
    <row r="409" spans="1:10">
      <c r="A409" s="617" t="str">
        <f t="shared" si="7"/>
        <v>Senegal</v>
      </c>
      <c r="B409" s="630" t="s">
        <v>198</v>
      </c>
      <c r="C409" s="630" t="s">
        <v>198</v>
      </c>
      <c r="D409" s="630" t="s">
        <v>1119</v>
      </c>
      <c r="E409" s="630" t="s">
        <v>198</v>
      </c>
      <c r="F409" s="630" t="s">
        <v>198</v>
      </c>
      <c r="G409" s="630" t="s">
        <v>198</v>
      </c>
      <c r="H409" s="621"/>
      <c r="I409" s="466"/>
      <c r="J409">
        <v>1</v>
      </c>
    </row>
    <row r="410" spans="1:10">
      <c r="A410" s="617" t="str">
        <f t="shared" si="7"/>
        <v>South Africa</v>
      </c>
      <c r="B410" s="630" t="s">
        <v>1121</v>
      </c>
      <c r="C410" s="630" t="s">
        <v>199</v>
      </c>
      <c r="D410" s="630" t="s">
        <v>1120</v>
      </c>
      <c r="E410" s="630" t="s">
        <v>1122</v>
      </c>
      <c r="F410" s="630" t="s">
        <v>1442</v>
      </c>
      <c r="G410" s="630" t="s">
        <v>199</v>
      </c>
      <c r="H410" s="621"/>
      <c r="I410" s="466"/>
      <c r="J410">
        <v>1</v>
      </c>
    </row>
    <row r="411" spans="1:10">
      <c r="A411" s="617" t="str">
        <f t="shared" si="7"/>
        <v>Sudan</v>
      </c>
      <c r="B411" s="630" t="s">
        <v>200</v>
      </c>
      <c r="C411" s="630" t="s">
        <v>200</v>
      </c>
      <c r="D411" s="630" t="s">
        <v>1123</v>
      </c>
      <c r="E411" s="630" t="s">
        <v>1124</v>
      </c>
      <c r="F411" s="630" t="s">
        <v>200</v>
      </c>
      <c r="G411" s="630" t="s">
        <v>1125</v>
      </c>
      <c r="H411" s="621"/>
      <c r="I411" s="466"/>
      <c r="J411">
        <v>1</v>
      </c>
    </row>
    <row r="412" spans="1:10">
      <c r="A412" s="617" t="str">
        <f t="shared" si="7"/>
        <v>United Rep. of Tanzania</v>
      </c>
      <c r="B412" s="630" t="s">
        <v>2494</v>
      </c>
      <c r="C412" s="630" t="s">
        <v>201</v>
      </c>
      <c r="D412" s="630" t="s">
        <v>1126</v>
      </c>
      <c r="E412" s="630" t="s">
        <v>1127</v>
      </c>
      <c r="F412" s="630" t="s">
        <v>1443</v>
      </c>
      <c r="G412" s="630" t="s">
        <v>1981</v>
      </c>
      <c r="H412" s="621"/>
      <c r="I412" s="466"/>
      <c r="J412">
        <v>1</v>
      </c>
    </row>
    <row r="413" spans="1:10">
      <c r="A413" s="617" t="str">
        <f t="shared" si="7"/>
        <v>Togo</v>
      </c>
      <c r="B413" s="630" t="s">
        <v>202</v>
      </c>
      <c r="C413" s="630" t="s">
        <v>202</v>
      </c>
      <c r="D413" s="630" t="s">
        <v>202</v>
      </c>
      <c r="E413" s="630" t="s">
        <v>202</v>
      </c>
      <c r="F413" s="630" t="s">
        <v>202</v>
      </c>
      <c r="G413" s="630" t="s">
        <v>202</v>
      </c>
      <c r="H413" s="621"/>
      <c r="I413" s="466"/>
      <c r="J413">
        <v>1</v>
      </c>
    </row>
    <row r="414" spans="1:10">
      <c r="A414" s="617" t="str">
        <f t="shared" si="7"/>
        <v>Tunisia</v>
      </c>
      <c r="B414" s="630" t="s">
        <v>1129</v>
      </c>
      <c r="C414" s="630" t="s">
        <v>203</v>
      </c>
      <c r="D414" s="630" t="s">
        <v>1128</v>
      </c>
      <c r="E414" s="630" t="s">
        <v>1130</v>
      </c>
      <c r="F414" s="630" t="s">
        <v>203</v>
      </c>
      <c r="G414" s="630" t="s">
        <v>1131</v>
      </c>
      <c r="H414" s="621"/>
      <c r="I414" s="466"/>
      <c r="J414">
        <v>1</v>
      </c>
    </row>
    <row r="415" spans="1:10">
      <c r="A415" s="617" t="str">
        <f t="shared" si="7"/>
        <v>Zambia</v>
      </c>
      <c r="B415" s="630" t="s">
        <v>1133</v>
      </c>
      <c r="C415" s="630" t="s">
        <v>204</v>
      </c>
      <c r="D415" s="630" t="s">
        <v>1132</v>
      </c>
      <c r="E415" s="630" t="s">
        <v>204</v>
      </c>
      <c r="F415" s="630" t="s">
        <v>204</v>
      </c>
      <c r="G415" s="630" t="s">
        <v>204</v>
      </c>
      <c r="H415" s="621"/>
      <c r="I415" s="466"/>
      <c r="J415">
        <v>1</v>
      </c>
    </row>
    <row r="416" spans="1:10">
      <c r="A416" s="617" t="str">
        <f t="shared" si="7"/>
        <v>Zimbabwe</v>
      </c>
      <c r="B416" s="630" t="s">
        <v>2495</v>
      </c>
      <c r="C416" s="630" t="s">
        <v>205</v>
      </c>
      <c r="D416" s="630" t="s">
        <v>205</v>
      </c>
      <c r="E416" s="630" t="s">
        <v>1134</v>
      </c>
      <c r="F416" s="630" t="s">
        <v>205</v>
      </c>
      <c r="G416" s="630" t="s">
        <v>205</v>
      </c>
      <c r="H416" s="621"/>
      <c r="I416" s="466"/>
      <c r="J416">
        <v>1</v>
      </c>
    </row>
    <row r="417" spans="1:10">
      <c r="A417" s="617" t="str">
        <f t="shared" si="7"/>
        <v>Other Africa</v>
      </c>
      <c r="B417" s="630" t="s">
        <v>1652</v>
      </c>
      <c r="C417" s="630" t="s">
        <v>206</v>
      </c>
      <c r="D417" s="630" t="s">
        <v>1135</v>
      </c>
      <c r="E417" s="630" t="s">
        <v>1136</v>
      </c>
      <c r="F417" s="630" t="s">
        <v>1444</v>
      </c>
      <c r="G417" s="630" t="s">
        <v>1997</v>
      </c>
      <c r="H417" s="621"/>
      <c r="I417" s="466"/>
      <c r="J417">
        <v>1</v>
      </c>
    </row>
    <row r="418" spans="1:10">
      <c r="A418" s="617" t="str">
        <f t="shared" si="7"/>
        <v>---Middle East</v>
      </c>
      <c r="B418" s="630" t="s">
        <v>1653</v>
      </c>
      <c r="C418" s="630" t="s">
        <v>115</v>
      </c>
      <c r="D418" s="630" t="s">
        <v>1272</v>
      </c>
      <c r="E418" s="630" t="s">
        <v>1789</v>
      </c>
      <c r="F418" s="630" t="s">
        <v>1900</v>
      </c>
      <c r="G418" s="630" t="s">
        <v>1998</v>
      </c>
      <c r="H418" s="621"/>
      <c r="I418" s="466"/>
      <c r="J418">
        <v>1</v>
      </c>
    </row>
    <row r="419" spans="1:10">
      <c r="A419" s="617" t="str">
        <f t="shared" si="7"/>
        <v>Bahrain</v>
      </c>
      <c r="B419" s="630" t="s">
        <v>1138</v>
      </c>
      <c r="C419" s="630" t="s">
        <v>207</v>
      </c>
      <c r="D419" s="630" t="s">
        <v>1137</v>
      </c>
      <c r="E419" s="630" t="s">
        <v>1139</v>
      </c>
      <c r="F419" s="630" t="s">
        <v>207</v>
      </c>
      <c r="G419" s="630" t="s">
        <v>1138</v>
      </c>
      <c r="H419" s="621"/>
      <c r="I419" s="466"/>
      <c r="J419">
        <v>1</v>
      </c>
    </row>
    <row r="420" spans="1:10">
      <c r="A420" s="617" t="str">
        <f t="shared" si="7"/>
        <v>Islamic Rep. of Iran</v>
      </c>
      <c r="B420" s="630" t="s">
        <v>1982</v>
      </c>
      <c r="C420" s="630" t="s">
        <v>208</v>
      </c>
      <c r="D420" s="630" t="s">
        <v>1140</v>
      </c>
      <c r="E420" s="630" t="s">
        <v>1141</v>
      </c>
      <c r="F420" s="630" t="s">
        <v>1445</v>
      </c>
      <c r="G420" s="630" t="s">
        <v>1982</v>
      </c>
      <c r="H420" s="621"/>
      <c r="I420" s="466"/>
      <c r="J420">
        <v>1</v>
      </c>
    </row>
    <row r="421" spans="1:10">
      <c r="A421" s="617" t="str">
        <f t="shared" si="7"/>
        <v>Iraq</v>
      </c>
      <c r="B421" s="630" t="s">
        <v>1142</v>
      </c>
      <c r="C421" s="630" t="s">
        <v>209</v>
      </c>
      <c r="D421" s="630" t="s">
        <v>1142</v>
      </c>
      <c r="E421" s="630" t="s">
        <v>1142</v>
      </c>
      <c r="F421" s="630" t="s">
        <v>209</v>
      </c>
      <c r="G421" s="630" t="s">
        <v>1142</v>
      </c>
      <c r="H421" s="621"/>
      <c r="I421" s="466"/>
      <c r="J421">
        <v>1</v>
      </c>
    </row>
    <row r="422" spans="1:10">
      <c r="A422" s="617" t="str">
        <f t="shared" si="7"/>
        <v>Jordan</v>
      </c>
      <c r="B422" s="630" t="s">
        <v>1654</v>
      </c>
      <c r="C422" s="630" t="s">
        <v>210</v>
      </c>
      <c r="D422" s="630" t="s">
        <v>1143</v>
      </c>
      <c r="E422" s="630" t="s">
        <v>1144</v>
      </c>
      <c r="F422" s="630" t="s">
        <v>1446</v>
      </c>
      <c r="G422" s="630" t="s">
        <v>1145</v>
      </c>
      <c r="H422" s="621"/>
      <c r="I422" s="466"/>
      <c r="J422">
        <v>1</v>
      </c>
    </row>
    <row r="423" spans="1:10">
      <c r="A423" s="617" t="str">
        <f t="shared" si="7"/>
        <v>Kuwait</v>
      </c>
      <c r="B423" s="630" t="s">
        <v>211</v>
      </c>
      <c r="C423" s="630" t="s">
        <v>211</v>
      </c>
      <c r="D423" s="630" t="s">
        <v>1146</v>
      </c>
      <c r="E423" s="630" t="s">
        <v>211</v>
      </c>
      <c r="F423" s="630" t="s">
        <v>211</v>
      </c>
      <c r="G423" s="630" t="s">
        <v>1147</v>
      </c>
      <c r="H423" s="621"/>
      <c r="I423" s="466"/>
      <c r="J423">
        <v>1</v>
      </c>
    </row>
    <row r="424" spans="1:10">
      <c r="A424" s="617" t="str">
        <f t="shared" si="7"/>
        <v>Lebanon</v>
      </c>
      <c r="B424" s="630" t="s">
        <v>1149</v>
      </c>
      <c r="C424" s="630" t="s">
        <v>212</v>
      </c>
      <c r="D424" s="630" t="s">
        <v>1148</v>
      </c>
      <c r="E424" s="630" t="s">
        <v>1150</v>
      </c>
      <c r="F424" s="630" t="s">
        <v>1447</v>
      </c>
      <c r="G424" s="630" t="s">
        <v>1149</v>
      </c>
      <c r="H424" s="621"/>
      <c r="I424" s="466"/>
      <c r="J424">
        <v>1</v>
      </c>
    </row>
    <row r="425" spans="1:10">
      <c r="A425" s="617" t="str">
        <f t="shared" si="7"/>
        <v>Oman</v>
      </c>
      <c r="B425" s="630" t="s">
        <v>213</v>
      </c>
      <c r="C425" s="630" t="s">
        <v>213</v>
      </c>
      <c r="D425" s="630" t="s">
        <v>213</v>
      </c>
      <c r="E425" s="630" t="s">
        <v>1151</v>
      </c>
      <c r="F425" s="630" t="s">
        <v>213</v>
      </c>
      <c r="G425" s="630" t="s">
        <v>213</v>
      </c>
      <c r="H425" s="621"/>
      <c r="I425" s="466"/>
      <c r="J425">
        <v>1</v>
      </c>
    </row>
    <row r="426" spans="1:10">
      <c r="A426" s="617" t="str">
        <f t="shared" si="7"/>
        <v>Qatar</v>
      </c>
      <c r="B426" s="630" t="s">
        <v>1152</v>
      </c>
      <c r="C426" s="630" t="s">
        <v>214</v>
      </c>
      <c r="D426" s="630" t="s">
        <v>214</v>
      </c>
      <c r="E426" s="630" t="s">
        <v>1152</v>
      </c>
      <c r="F426" s="630" t="s">
        <v>214</v>
      </c>
      <c r="G426" s="630" t="s">
        <v>1152</v>
      </c>
      <c r="H426" s="621"/>
      <c r="I426" s="466"/>
      <c r="J426">
        <v>1</v>
      </c>
    </row>
    <row r="427" spans="1:10">
      <c r="A427" s="617" t="str">
        <f t="shared" si="7"/>
        <v>Saudi Arabia</v>
      </c>
      <c r="B427" s="630" t="s">
        <v>1154</v>
      </c>
      <c r="C427" s="630" t="s">
        <v>215</v>
      </c>
      <c r="D427" s="630" t="s">
        <v>1153</v>
      </c>
      <c r="E427" s="630" t="s">
        <v>1155</v>
      </c>
      <c r="F427" s="630" t="s">
        <v>1155</v>
      </c>
      <c r="G427" s="630" t="s">
        <v>1156</v>
      </c>
      <c r="H427" s="621"/>
      <c r="I427" s="466"/>
      <c r="J427">
        <v>1</v>
      </c>
    </row>
    <row r="428" spans="1:10">
      <c r="A428" s="617" t="str">
        <f t="shared" si="7"/>
        <v xml:space="preserve">Syrian Arab Republic </v>
      </c>
      <c r="B428" s="630" t="s">
        <v>1655</v>
      </c>
      <c r="C428" s="630" t="s">
        <v>216</v>
      </c>
      <c r="D428" s="630" t="s">
        <v>1157</v>
      </c>
      <c r="E428" s="630" t="s">
        <v>1158</v>
      </c>
      <c r="F428" s="630" t="s">
        <v>1448</v>
      </c>
      <c r="G428" s="630" t="s">
        <v>1983</v>
      </c>
      <c r="H428" s="621"/>
      <c r="I428" s="466"/>
      <c r="J428">
        <v>1</v>
      </c>
    </row>
    <row r="429" spans="1:10">
      <c r="A429" s="617" t="str">
        <f t="shared" si="7"/>
        <v>United Arab Emirates</v>
      </c>
      <c r="B429" s="630" t="s">
        <v>1160</v>
      </c>
      <c r="C429" s="630" t="s">
        <v>217</v>
      </c>
      <c r="D429" s="630" t="s">
        <v>1159</v>
      </c>
      <c r="E429" s="630" t="s">
        <v>1161</v>
      </c>
      <c r="F429" s="630" t="s">
        <v>1449</v>
      </c>
      <c r="G429" s="630" t="s">
        <v>1162</v>
      </c>
      <c r="H429" s="621"/>
      <c r="I429" s="466"/>
      <c r="J429">
        <v>1</v>
      </c>
    </row>
    <row r="430" spans="1:10">
      <c r="A430" s="617" t="str">
        <f t="shared" si="7"/>
        <v>Yemen</v>
      </c>
      <c r="B430" s="630" t="s">
        <v>1164</v>
      </c>
      <c r="C430" s="630" t="s">
        <v>218</v>
      </c>
      <c r="D430" s="630" t="s">
        <v>1163</v>
      </c>
      <c r="E430" s="630" t="s">
        <v>218</v>
      </c>
      <c r="F430" s="630" t="s">
        <v>218</v>
      </c>
      <c r="G430" s="630" t="s">
        <v>1164</v>
      </c>
      <c r="H430" s="621"/>
      <c r="I430" s="466"/>
      <c r="J430">
        <v>1</v>
      </c>
    </row>
    <row r="431" spans="1:10">
      <c r="A431" s="617" t="str">
        <f t="shared" si="7"/>
        <v>---Latin America</v>
      </c>
      <c r="B431" s="630" t="s">
        <v>2496</v>
      </c>
      <c r="C431" s="630" t="s">
        <v>116</v>
      </c>
      <c r="D431" s="630" t="s">
        <v>1273</v>
      </c>
      <c r="E431" s="630" t="s">
        <v>1790</v>
      </c>
      <c r="F431" s="630" t="s">
        <v>1901</v>
      </c>
      <c r="G431" s="630" t="s">
        <v>1984</v>
      </c>
      <c r="H431" s="621"/>
      <c r="I431" s="466"/>
      <c r="J431">
        <v>1</v>
      </c>
    </row>
    <row r="432" spans="1:10">
      <c r="A432" s="617" t="str">
        <f t="shared" ref="A432:A497" si="9">INDEX(B432:I432,1,$A$1)</f>
        <v>Argentina</v>
      </c>
      <c r="B432" s="630" t="s">
        <v>1166</v>
      </c>
      <c r="C432" s="630" t="s">
        <v>219</v>
      </c>
      <c r="D432" s="630" t="s">
        <v>1165</v>
      </c>
      <c r="E432" s="630" t="s">
        <v>219</v>
      </c>
      <c r="F432" s="630" t="s">
        <v>219</v>
      </c>
      <c r="G432" s="630" t="s">
        <v>1167</v>
      </c>
      <c r="H432" s="621"/>
      <c r="I432" s="466"/>
      <c r="J432">
        <v>1</v>
      </c>
    </row>
    <row r="433" spans="1:10">
      <c r="A433" s="617" t="str">
        <f t="shared" si="9"/>
        <v>Bolivia</v>
      </c>
      <c r="B433" s="630" t="s">
        <v>1169</v>
      </c>
      <c r="C433" s="630" t="s">
        <v>220</v>
      </c>
      <c r="D433" s="630" t="s">
        <v>1168</v>
      </c>
      <c r="E433" s="630" t="s">
        <v>220</v>
      </c>
      <c r="F433" s="630" t="s">
        <v>220</v>
      </c>
      <c r="G433" s="630" t="s">
        <v>220</v>
      </c>
      <c r="H433" s="621"/>
      <c r="I433" s="466"/>
      <c r="J433">
        <v>1</v>
      </c>
    </row>
    <row r="434" spans="1:10">
      <c r="A434" s="617" t="str">
        <f t="shared" si="9"/>
        <v>Brazil</v>
      </c>
      <c r="B434" s="630" t="s">
        <v>1171</v>
      </c>
      <c r="C434" s="630" t="s">
        <v>221</v>
      </c>
      <c r="D434" s="630" t="s">
        <v>1170</v>
      </c>
      <c r="E434" s="630" t="s">
        <v>1172</v>
      </c>
      <c r="F434" s="630" t="s">
        <v>1450</v>
      </c>
      <c r="G434" s="630" t="s">
        <v>1173</v>
      </c>
      <c r="H434" s="621"/>
      <c r="I434" s="466"/>
      <c r="J434">
        <v>1</v>
      </c>
    </row>
    <row r="435" spans="1:10">
      <c r="A435" s="617" t="str">
        <f t="shared" si="9"/>
        <v>Colombia</v>
      </c>
      <c r="B435" s="630" t="s">
        <v>1175</v>
      </c>
      <c r="C435" s="630" t="s">
        <v>222</v>
      </c>
      <c r="D435" s="630" t="s">
        <v>1174</v>
      </c>
      <c r="E435" s="630" t="s">
        <v>222</v>
      </c>
      <c r="F435" s="630" t="s">
        <v>222</v>
      </c>
      <c r="G435" s="630" t="s">
        <v>222</v>
      </c>
      <c r="H435" s="621"/>
      <c r="I435" s="466"/>
      <c r="J435">
        <v>1</v>
      </c>
    </row>
    <row r="436" spans="1:10">
      <c r="A436" s="617" t="str">
        <f t="shared" si="9"/>
        <v>Costa Rica</v>
      </c>
      <c r="B436" s="630" t="s">
        <v>223</v>
      </c>
      <c r="C436" s="630" t="s">
        <v>223</v>
      </c>
      <c r="D436" s="630" t="s">
        <v>223</v>
      </c>
      <c r="E436" s="630" t="s">
        <v>223</v>
      </c>
      <c r="F436" s="630" t="s">
        <v>1451</v>
      </c>
      <c r="G436" s="630" t="s">
        <v>223</v>
      </c>
      <c r="H436" s="621"/>
      <c r="I436" s="466"/>
      <c r="J436">
        <v>1</v>
      </c>
    </row>
    <row r="437" spans="1:10">
      <c r="A437" s="617" t="str">
        <f t="shared" si="9"/>
        <v>Cuba</v>
      </c>
      <c r="B437" s="630" t="s">
        <v>1176</v>
      </c>
      <c r="C437" s="630" t="s">
        <v>224</v>
      </c>
      <c r="D437" s="630" t="s">
        <v>224</v>
      </c>
      <c r="E437" s="630" t="s">
        <v>224</v>
      </c>
      <c r="F437" s="630" t="s">
        <v>224</v>
      </c>
      <c r="G437" s="630" t="s">
        <v>224</v>
      </c>
      <c r="H437" s="621"/>
      <c r="I437" s="466"/>
      <c r="J437">
        <v>1</v>
      </c>
    </row>
    <row r="438" spans="1:10">
      <c r="A438" s="617" t="str">
        <f t="shared" si="9"/>
        <v>Dominican Republic</v>
      </c>
      <c r="B438" s="630" t="s">
        <v>1178</v>
      </c>
      <c r="C438" s="630" t="s">
        <v>225</v>
      </c>
      <c r="D438" s="630" t="s">
        <v>1177</v>
      </c>
      <c r="E438" s="630" t="s">
        <v>1179</v>
      </c>
      <c r="F438" s="630" t="s">
        <v>1452</v>
      </c>
      <c r="G438" s="630" t="s">
        <v>1180</v>
      </c>
      <c r="H438" s="621"/>
      <c r="I438" s="466"/>
      <c r="J438">
        <v>1</v>
      </c>
    </row>
    <row r="439" spans="1:10">
      <c r="A439" s="617" t="str">
        <f t="shared" si="9"/>
        <v>Ecuador</v>
      </c>
      <c r="B439" s="630" t="s">
        <v>226</v>
      </c>
      <c r="C439" s="630" t="s">
        <v>226</v>
      </c>
      <c r="D439" s="630" t="s">
        <v>1181</v>
      </c>
      <c r="E439" s="630" t="s">
        <v>226</v>
      </c>
      <c r="F439" s="630" t="s">
        <v>226</v>
      </c>
      <c r="G439" s="630" t="s">
        <v>226</v>
      </c>
      <c r="H439" s="621"/>
      <c r="I439" s="466"/>
      <c r="J439">
        <v>1</v>
      </c>
    </row>
    <row r="440" spans="1:10">
      <c r="A440" s="617" t="str">
        <f t="shared" si="9"/>
        <v>El Salvador</v>
      </c>
      <c r="B440" s="630" t="s">
        <v>227</v>
      </c>
      <c r="C440" s="630" t="s">
        <v>227</v>
      </c>
      <c r="D440" s="630" t="s">
        <v>227</v>
      </c>
      <c r="E440" s="630" t="s">
        <v>227</v>
      </c>
      <c r="F440" s="630" t="s">
        <v>227</v>
      </c>
      <c r="G440" s="630" t="s">
        <v>227</v>
      </c>
      <c r="H440" s="621"/>
      <c r="I440" s="466"/>
      <c r="J440">
        <v>1</v>
      </c>
    </row>
    <row r="441" spans="1:10">
      <c r="A441" s="617" t="str">
        <f t="shared" si="9"/>
        <v>Guatemala</v>
      </c>
      <c r="B441" s="630" t="s">
        <v>228</v>
      </c>
      <c r="C441" s="630" t="s">
        <v>228</v>
      </c>
      <c r="D441" s="630" t="s">
        <v>228</v>
      </c>
      <c r="E441" s="630" t="s">
        <v>228</v>
      </c>
      <c r="F441" s="630" t="s">
        <v>228</v>
      </c>
      <c r="G441" s="630" t="s">
        <v>228</v>
      </c>
      <c r="H441" s="621"/>
      <c r="I441" s="466"/>
      <c r="J441">
        <v>1</v>
      </c>
    </row>
    <row r="442" spans="1:10">
      <c r="A442" s="617" t="str">
        <f t="shared" si="9"/>
        <v>Haiti</v>
      </c>
      <c r="B442" s="630" t="s">
        <v>229</v>
      </c>
      <c r="C442" s="630" t="s">
        <v>229</v>
      </c>
      <c r="D442" s="630" t="s">
        <v>1182</v>
      </c>
      <c r="E442" s="630" t="s">
        <v>1183</v>
      </c>
      <c r="F442" s="630" t="s">
        <v>229</v>
      </c>
      <c r="G442" s="630" t="s">
        <v>1182</v>
      </c>
      <c r="H442" s="621"/>
      <c r="I442" s="466"/>
      <c r="J442">
        <v>1</v>
      </c>
    </row>
    <row r="443" spans="1:10">
      <c r="A443" s="617" t="str">
        <f t="shared" si="9"/>
        <v>Honduras</v>
      </c>
      <c r="B443" s="630" t="s">
        <v>230</v>
      </c>
      <c r="C443" s="630" t="s">
        <v>230</v>
      </c>
      <c r="D443" s="630" t="s">
        <v>230</v>
      </c>
      <c r="E443" s="630" t="s">
        <v>230</v>
      </c>
      <c r="F443" s="630" t="s">
        <v>230</v>
      </c>
      <c r="G443" s="630" t="s">
        <v>230</v>
      </c>
      <c r="H443" s="621"/>
      <c r="I443" s="466"/>
      <c r="J443">
        <v>1</v>
      </c>
    </row>
    <row r="444" spans="1:10">
      <c r="A444" s="617" t="str">
        <f t="shared" si="9"/>
        <v>Jamaica</v>
      </c>
      <c r="B444" s="630" t="s">
        <v>1185</v>
      </c>
      <c r="C444" s="630" t="s">
        <v>231</v>
      </c>
      <c r="D444" s="630" t="s">
        <v>1184</v>
      </c>
      <c r="E444" s="630" t="s">
        <v>231</v>
      </c>
      <c r="F444" s="630" t="s">
        <v>1453</v>
      </c>
      <c r="G444" s="630" t="s">
        <v>231</v>
      </c>
      <c r="H444" s="621"/>
      <c r="I444" s="466"/>
      <c r="J444">
        <v>1</v>
      </c>
    </row>
    <row r="445" spans="1:10">
      <c r="A445" s="617" t="str">
        <f t="shared" si="9"/>
        <v>Netherlands Antilles</v>
      </c>
      <c r="B445" s="630" t="s">
        <v>1656</v>
      </c>
      <c r="C445" s="630" t="s">
        <v>232</v>
      </c>
      <c r="D445" s="630" t="s">
        <v>1186</v>
      </c>
      <c r="E445" s="630" t="s">
        <v>1187</v>
      </c>
      <c r="F445" s="630" t="s">
        <v>1454</v>
      </c>
      <c r="G445" s="630" t="s">
        <v>1188</v>
      </c>
      <c r="H445" s="621"/>
      <c r="I445" s="466"/>
      <c r="J445">
        <v>1</v>
      </c>
    </row>
    <row r="446" spans="1:10">
      <c r="A446" s="617" t="str">
        <f t="shared" si="9"/>
        <v>Nicaragua</v>
      </c>
      <c r="B446" s="630" t="s">
        <v>233</v>
      </c>
      <c r="C446" s="630" t="s">
        <v>233</v>
      </c>
      <c r="D446" s="630" t="s">
        <v>233</v>
      </c>
      <c r="E446" s="630" t="s">
        <v>233</v>
      </c>
      <c r="F446" s="630" t="s">
        <v>233</v>
      </c>
      <c r="G446" s="630" t="s">
        <v>233</v>
      </c>
      <c r="H446" s="621"/>
      <c r="I446" s="466"/>
      <c r="J446">
        <v>1</v>
      </c>
    </row>
    <row r="447" spans="1:10">
      <c r="A447" s="617" t="str">
        <f t="shared" si="9"/>
        <v>Panama</v>
      </c>
      <c r="B447" s="630" t="s">
        <v>234</v>
      </c>
      <c r="C447" s="630" t="s">
        <v>234</v>
      </c>
      <c r="D447" s="630" t="s">
        <v>234</v>
      </c>
      <c r="E447" s="630" t="s">
        <v>1189</v>
      </c>
      <c r="F447" s="630" t="s">
        <v>234</v>
      </c>
      <c r="G447" s="630" t="s">
        <v>234</v>
      </c>
      <c r="H447" s="621"/>
      <c r="I447" s="466"/>
      <c r="J447">
        <v>1</v>
      </c>
    </row>
    <row r="448" spans="1:10">
      <c r="A448" s="617" t="str">
        <f t="shared" si="9"/>
        <v>Peru</v>
      </c>
      <c r="B448" s="630" t="s">
        <v>235</v>
      </c>
      <c r="C448" s="630" t="s">
        <v>235</v>
      </c>
      <c r="D448" s="630" t="s">
        <v>1190</v>
      </c>
      <c r="E448" s="630" t="s">
        <v>1191</v>
      </c>
      <c r="F448" s="630" t="s">
        <v>1455</v>
      </c>
      <c r="G448" s="630" t="s">
        <v>235</v>
      </c>
      <c r="H448" s="621"/>
      <c r="I448" s="466"/>
      <c r="J448">
        <v>1</v>
      </c>
    </row>
    <row r="449" spans="1:10">
      <c r="A449" s="617" t="str">
        <f t="shared" si="9"/>
        <v>Trinidad and Tobago</v>
      </c>
      <c r="B449" s="630" t="s">
        <v>1193</v>
      </c>
      <c r="C449" s="630" t="s">
        <v>236</v>
      </c>
      <c r="D449" s="630" t="s">
        <v>1192</v>
      </c>
      <c r="E449" s="630" t="s">
        <v>1194</v>
      </c>
      <c r="F449" s="630" t="s">
        <v>1456</v>
      </c>
      <c r="G449" s="630" t="s">
        <v>1195</v>
      </c>
      <c r="H449" s="621"/>
      <c r="I449" s="466"/>
      <c r="J449">
        <v>1</v>
      </c>
    </row>
    <row r="450" spans="1:10">
      <c r="A450" s="617" t="str">
        <f t="shared" si="9"/>
        <v>Uruguay</v>
      </c>
      <c r="B450" s="630" t="s">
        <v>237</v>
      </c>
      <c r="C450" s="630" t="s">
        <v>237</v>
      </c>
      <c r="D450" s="630" t="s">
        <v>237</v>
      </c>
      <c r="E450" s="630" t="s">
        <v>237</v>
      </c>
      <c r="F450" s="630" t="s">
        <v>237</v>
      </c>
      <c r="G450" s="630" t="s">
        <v>237</v>
      </c>
      <c r="H450" s="621"/>
      <c r="I450" s="466"/>
      <c r="J450">
        <v>1</v>
      </c>
    </row>
    <row r="451" spans="1:10">
      <c r="A451" s="617" t="str">
        <f t="shared" si="9"/>
        <v>Venezuela</v>
      </c>
      <c r="B451" s="630" t="s">
        <v>238</v>
      </c>
      <c r="C451" s="630" t="s">
        <v>238</v>
      </c>
      <c r="D451" s="630" t="s">
        <v>238</v>
      </c>
      <c r="E451" s="630" t="s">
        <v>238</v>
      </c>
      <c r="F451" s="630" t="s">
        <v>238</v>
      </c>
      <c r="G451" s="630" t="s">
        <v>238</v>
      </c>
      <c r="H451" s="621"/>
      <c r="I451" s="466"/>
      <c r="J451">
        <v>1</v>
      </c>
    </row>
    <row r="452" spans="1:10">
      <c r="A452" s="617" t="str">
        <f t="shared" si="9"/>
        <v>Other Latin America</v>
      </c>
      <c r="B452" s="630" t="s">
        <v>2497</v>
      </c>
      <c r="C452" s="630" t="s">
        <v>239</v>
      </c>
      <c r="D452" s="630" t="s">
        <v>1196</v>
      </c>
      <c r="E452" s="630" t="s">
        <v>1197</v>
      </c>
      <c r="F452" s="630" t="s">
        <v>1457</v>
      </c>
      <c r="G452" s="630" t="s">
        <v>1985</v>
      </c>
      <c r="H452" s="621"/>
      <c r="I452" s="466"/>
      <c r="J452">
        <v>1</v>
      </c>
    </row>
    <row r="453" spans="1:10">
      <c r="A453" s="617" t="str">
        <f t="shared" si="9"/>
        <v>---Asia</v>
      </c>
      <c r="B453" s="630" t="s">
        <v>1657</v>
      </c>
      <c r="C453" s="630" t="s">
        <v>117</v>
      </c>
      <c r="D453" s="630" t="s">
        <v>1274</v>
      </c>
      <c r="E453" s="630" t="s">
        <v>1791</v>
      </c>
      <c r="F453" s="630" t="s">
        <v>1902</v>
      </c>
      <c r="G453" s="630" t="s">
        <v>1986</v>
      </c>
      <c r="H453" s="621"/>
      <c r="I453" s="466"/>
      <c r="J453">
        <v>1</v>
      </c>
    </row>
    <row r="454" spans="1:10">
      <c r="A454" s="617" t="str">
        <f t="shared" si="9"/>
        <v>Bangladesh</v>
      </c>
      <c r="B454" s="630" t="s">
        <v>1198</v>
      </c>
      <c r="C454" s="630" t="s">
        <v>240</v>
      </c>
      <c r="D454" s="630" t="s">
        <v>240</v>
      </c>
      <c r="E454" s="630" t="s">
        <v>240</v>
      </c>
      <c r="F454" s="630" t="s">
        <v>240</v>
      </c>
      <c r="G454" s="630" t="s">
        <v>240</v>
      </c>
      <c r="H454" s="621"/>
      <c r="I454" s="466"/>
      <c r="J454">
        <v>1</v>
      </c>
    </row>
    <row r="455" spans="1:10">
      <c r="A455" s="617" t="str">
        <f t="shared" si="9"/>
        <v>Brunei Darussalam</v>
      </c>
      <c r="B455" s="630" t="s">
        <v>2498</v>
      </c>
      <c r="C455" s="630" t="s">
        <v>241</v>
      </c>
      <c r="D455" s="630" t="s">
        <v>241</v>
      </c>
      <c r="E455" s="630" t="s">
        <v>241</v>
      </c>
      <c r="F455" s="630" t="s">
        <v>241</v>
      </c>
      <c r="G455" s="630" t="s">
        <v>241</v>
      </c>
      <c r="H455" s="621"/>
      <c r="I455" s="466"/>
      <c r="J455">
        <v>1</v>
      </c>
    </row>
    <row r="456" spans="1:10">
      <c r="A456" s="617" t="str">
        <f t="shared" si="9"/>
        <v>Cambodia</v>
      </c>
      <c r="B456" s="630" t="s">
        <v>1200</v>
      </c>
      <c r="C456" s="630" t="s">
        <v>242</v>
      </c>
      <c r="D456" s="630" t="s">
        <v>1199</v>
      </c>
      <c r="E456" s="630" t="s">
        <v>1201</v>
      </c>
      <c r="F456" s="630" t="s">
        <v>1458</v>
      </c>
      <c r="G456" s="630" t="s">
        <v>1202</v>
      </c>
      <c r="H456" s="621"/>
      <c r="I456" s="466"/>
      <c r="J456">
        <v>1</v>
      </c>
    </row>
    <row r="457" spans="1:10">
      <c r="A457" s="617" t="str">
        <f t="shared" si="9"/>
        <v>China</v>
      </c>
      <c r="B457" s="630" t="s">
        <v>243</v>
      </c>
      <c r="C457" s="630" t="s">
        <v>243</v>
      </c>
      <c r="D457" s="630" t="s">
        <v>1203</v>
      </c>
      <c r="E457" s="630" t="s">
        <v>243</v>
      </c>
      <c r="F457" s="630" t="s">
        <v>1459</v>
      </c>
      <c r="G457" s="630" t="s">
        <v>243</v>
      </c>
      <c r="H457" s="621"/>
      <c r="I457" s="466"/>
      <c r="J457">
        <v>1</v>
      </c>
    </row>
    <row r="458" spans="1:10">
      <c r="A458" s="617" t="str">
        <f t="shared" si="9"/>
        <v>Chinese Taipei</v>
      </c>
      <c r="B458" s="630" t="s">
        <v>1658</v>
      </c>
      <c r="C458" s="630" t="s">
        <v>244</v>
      </c>
      <c r="D458" s="630" t="s">
        <v>1204</v>
      </c>
      <c r="E458" s="630" t="s">
        <v>1205</v>
      </c>
      <c r="F458" s="630" t="s">
        <v>1460</v>
      </c>
      <c r="G458" s="630" t="s">
        <v>244</v>
      </c>
      <c r="H458" s="621"/>
      <c r="I458" s="466"/>
      <c r="J458">
        <v>1</v>
      </c>
    </row>
    <row r="459" spans="1:10">
      <c r="A459" s="617" t="str">
        <f t="shared" si="9"/>
        <v>India</v>
      </c>
      <c r="B459" s="630" t="s">
        <v>1207</v>
      </c>
      <c r="C459" s="630" t="s">
        <v>245</v>
      </c>
      <c r="D459" s="630" t="s">
        <v>1206</v>
      </c>
      <c r="E459" s="630" t="s">
        <v>245</v>
      </c>
      <c r="F459" s="630" t="s">
        <v>245</v>
      </c>
      <c r="G459" s="630" t="s">
        <v>245</v>
      </c>
      <c r="H459" s="621"/>
      <c r="I459" s="466"/>
      <c r="J459">
        <v>1</v>
      </c>
    </row>
    <row r="460" spans="1:10">
      <c r="A460" s="617" t="str">
        <f t="shared" si="9"/>
        <v>Indonesia</v>
      </c>
      <c r="B460" s="630" t="s">
        <v>1209</v>
      </c>
      <c r="C460" s="630" t="s">
        <v>246</v>
      </c>
      <c r="D460" s="630" t="s">
        <v>1208</v>
      </c>
      <c r="E460" s="630" t="s">
        <v>246</v>
      </c>
      <c r="F460" s="630" t="s">
        <v>246</v>
      </c>
      <c r="G460" s="630" t="s">
        <v>1210</v>
      </c>
      <c r="H460" s="621"/>
      <c r="I460" s="466"/>
      <c r="J460">
        <v>1</v>
      </c>
    </row>
    <row r="461" spans="1:10">
      <c r="A461" s="617" t="str">
        <f t="shared" si="9"/>
        <v>DPR of Korea</v>
      </c>
      <c r="B461" s="630" t="s">
        <v>2499</v>
      </c>
      <c r="C461" s="630" t="s">
        <v>247</v>
      </c>
      <c r="D461" s="630" t="s">
        <v>1211</v>
      </c>
      <c r="E461" s="630" t="s">
        <v>1212</v>
      </c>
      <c r="F461" s="630" t="s">
        <v>1461</v>
      </c>
      <c r="G461" s="630" t="s">
        <v>2021</v>
      </c>
      <c r="H461" s="621"/>
      <c r="I461" s="466"/>
      <c r="J461">
        <v>1</v>
      </c>
    </row>
    <row r="462" spans="1:10">
      <c r="A462" s="617" t="str">
        <f t="shared" si="9"/>
        <v>Malaysia</v>
      </c>
      <c r="B462" s="630" t="s">
        <v>248</v>
      </c>
      <c r="C462" s="630" t="s">
        <v>248</v>
      </c>
      <c r="D462" s="630" t="s">
        <v>1213</v>
      </c>
      <c r="E462" s="630" t="s">
        <v>1214</v>
      </c>
      <c r="F462" s="630" t="s">
        <v>248</v>
      </c>
      <c r="G462" s="630" t="s">
        <v>1215</v>
      </c>
      <c r="H462" s="621"/>
      <c r="I462" s="466"/>
      <c r="J462">
        <v>1</v>
      </c>
    </row>
    <row r="463" spans="1:10">
      <c r="A463" s="617" t="str">
        <f t="shared" si="9"/>
        <v>Mongolia</v>
      </c>
      <c r="B463" s="630" t="s">
        <v>1217</v>
      </c>
      <c r="C463" s="630" t="s">
        <v>249</v>
      </c>
      <c r="D463" s="630" t="s">
        <v>1216</v>
      </c>
      <c r="E463" s="630" t="s">
        <v>249</v>
      </c>
      <c r="F463" s="630" t="s">
        <v>249</v>
      </c>
      <c r="G463" s="630" t="s">
        <v>1218</v>
      </c>
      <c r="H463" s="621"/>
      <c r="I463" s="466"/>
      <c r="J463">
        <v>1</v>
      </c>
    </row>
    <row r="464" spans="1:10">
      <c r="A464" s="617" t="str">
        <f t="shared" si="9"/>
        <v>Myanmar</v>
      </c>
      <c r="B464" s="630" t="s">
        <v>250</v>
      </c>
      <c r="C464" s="630" t="s">
        <v>250</v>
      </c>
      <c r="D464" s="630" t="s">
        <v>250</v>
      </c>
      <c r="E464" s="630" t="s">
        <v>250</v>
      </c>
      <c r="F464" s="630" t="s">
        <v>250</v>
      </c>
      <c r="G464" s="630" t="s">
        <v>250</v>
      </c>
      <c r="H464" s="621"/>
      <c r="I464" s="466"/>
      <c r="J464">
        <v>1</v>
      </c>
    </row>
    <row r="465" spans="1:10">
      <c r="A465" s="617" t="str">
        <f t="shared" si="9"/>
        <v>Nepal</v>
      </c>
      <c r="B465" s="630" t="s">
        <v>251</v>
      </c>
      <c r="C465" s="630" t="s">
        <v>251</v>
      </c>
      <c r="D465" s="630" t="s">
        <v>1219</v>
      </c>
      <c r="E465" s="630" t="s">
        <v>251</v>
      </c>
      <c r="F465" s="630" t="s">
        <v>251</v>
      </c>
      <c r="G465" s="630" t="s">
        <v>251</v>
      </c>
      <c r="H465" s="621"/>
      <c r="I465" s="466"/>
      <c r="J465">
        <v>1</v>
      </c>
    </row>
    <row r="466" spans="1:10">
      <c r="A466" s="617" t="str">
        <f t="shared" si="9"/>
        <v>Pakistan</v>
      </c>
      <c r="B466" s="630" t="s">
        <v>252</v>
      </c>
      <c r="C466" s="630" t="s">
        <v>252</v>
      </c>
      <c r="D466" s="630" t="s">
        <v>252</v>
      </c>
      <c r="E466" s="630" t="s">
        <v>1220</v>
      </c>
      <c r="F466" s="630" t="s">
        <v>252</v>
      </c>
      <c r="G466" s="630" t="s">
        <v>252</v>
      </c>
      <c r="H466" s="621"/>
      <c r="I466" s="466"/>
      <c r="J466">
        <v>1</v>
      </c>
    </row>
    <row r="467" spans="1:10">
      <c r="A467" s="617" t="str">
        <f t="shared" si="9"/>
        <v>Philippines</v>
      </c>
      <c r="B467" s="630" t="s">
        <v>1221</v>
      </c>
      <c r="C467" s="630" t="s">
        <v>253</v>
      </c>
      <c r="D467" s="630" t="s">
        <v>253</v>
      </c>
      <c r="E467" s="630" t="s">
        <v>1222</v>
      </c>
      <c r="F467" s="630" t="s">
        <v>1462</v>
      </c>
      <c r="G467" s="630" t="s">
        <v>1223</v>
      </c>
      <c r="H467" s="621"/>
      <c r="I467" s="466"/>
      <c r="J467">
        <v>1</v>
      </c>
    </row>
    <row r="468" spans="1:10">
      <c r="A468" s="617" t="str">
        <f t="shared" si="9"/>
        <v>Singapore</v>
      </c>
      <c r="B468" s="630" t="s">
        <v>1225</v>
      </c>
      <c r="C468" s="630" t="s">
        <v>254</v>
      </c>
      <c r="D468" s="630" t="s">
        <v>1224</v>
      </c>
      <c r="E468" s="630" t="s">
        <v>1225</v>
      </c>
      <c r="F468" s="630" t="s">
        <v>254</v>
      </c>
      <c r="G468" s="630" t="s">
        <v>254</v>
      </c>
      <c r="H468" s="621"/>
      <c r="I468" s="466"/>
      <c r="J468">
        <v>1</v>
      </c>
    </row>
    <row r="469" spans="1:10">
      <c r="A469" s="617" t="str">
        <f t="shared" si="9"/>
        <v>Sri Lanka</v>
      </c>
      <c r="B469" s="630" t="s">
        <v>255</v>
      </c>
      <c r="C469" s="630" t="s">
        <v>255</v>
      </c>
      <c r="D469" s="630" t="s">
        <v>255</v>
      </c>
      <c r="E469" s="630" t="s">
        <v>255</v>
      </c>
      <c r="F469" s="630" t="s">
        <v>255</v>
      </c>
      <c r="G469" s="630" t="s">
        <v>255</v>
      </c>
      <c r="H469" s="621"/>
      <c r="I469" s="466"/>
      <c r="J469">
        <v>1</v>
      </c>
    </row>
    <row r="470" spans="1:10">
      <c r="A470" s="617" t="str">
        <f t="shared" si="9"/>
        <v>Thailand</v>
      </c>
      <c r="B470" s="630" t="s">
        <v>256</v>
      </c>
      <c r="C470" s="630" t="s">
        <v>256</v>
      </c>
      <c r="D470" s="630" t="s">
        <v>1226</v>
      </c>
      <c r="E470" s="630" t="s">
        <v>1227</v>
      </c>
      <c r="F470" s="630" t="s">
        <v>1463</v>
      </c>
      <c r="G470" s="630" t="s">
        <v>256</v>
      </c>
      <c r="H470" s="621"/>
      <c r="I470" s="466"/>
      <c r="J470">
        <v>1</v>
      </c>
    </row>
    <row r="471" spans="1:10">
      <c r="A471" s="617" t="str">
        <f t="shared" si="9"/>
        <v>Vietnam</v>
      </c>
      <c r="B471" s="630" t="s">
        <v>257</v>
      </c>
      <c r="C471" s="630" t="s">
        <v>257</v>
      </c>
      <c r="D471" s="630" t="s">
        <v>1228</v>
      </c>
      <c r="E471" s="630" t="s">
        <v>257</v>
      </c>
      <c r="F471" s="630" t="s">
        <v>257</v>
      </c>
      <c r="G471" s="630" t="s">
        <v>257</v>
      </c>
      <c r="H471" s="621"/>
      <c r="I471" s="466"/>
      <c r="J471">
        <v>1</v>
      </c>
    </row>
    <row r="472" spans="1:10">
      <c r="A472" s="617" t="str">
        <f t="shared" si="9"/>
        <v>Other Asia</v>
      </c>
      <c r="B472" s="630" t="s">
        <v>1659</v>
      </c>
      <c r="C472" s="630" t="s">
        <v>258</v>
      </c>
      <c r="D472" s="630" t="s">
        <v>1229</v>
      </c>
      <c r="E472" s="630" t="s">
        <v>1230</v>
      </c>
      <c r="F472" s="630" t="s">
        <v>1903</v>
      </c>
      <c r="G472" s="630" t="s">
        <v>1231</v>
      </c>
      <c r="H472" s="621"/>
      <c r="I472" s="466"/>
      <c r="J472">
        <v>1</v>
      </c>
    </row>
    <row r="473" spans="1:10">
      <c r="A473" s="617" t="str">
        <f t="shared" si="9"/>
        <v>RailFreightElectric</v>
      </c>
      <c r="B473" s="631" t="s">
        <v>2500</v>
      </c>
      <c r="C473" s="631" t="s">
        <v>388</v>
      </c>
      <c r="D473" s="631" t="s">
        <v>388</v>
      </c>
      <c r="E473" s="631" t="s">
        <v>388</v>
      </c>
      <c r="F473" s="631" t="s">
        <v>2097</v>
      </c>
      <c r="G473" s="631" t="s">
        <v>388</v>
      </c>
      <c r="H473" s="621"/>
      <c r="I473" s="466"/>
      <c r="J473">
        <v>1</v>
      </c>
    </row>
    <row r="474" spans="1:10">
      <c r="A474" s="617" t="str">
        <f t="shared" si="9"/>
        <v xml:space="preserve">Rail - Average freight - electric - </v>
      </c>
      <c r="B474" s="630" t="s">
        <v>2501</v>
      </c>
      <c r="C474" s="630" t="s">
        <v>484</v>
      </c>
      <c r="D474" s="630" t="s">
        <v>1563</v>
      </c>
      <c r="E474" s="630" t="s">
        <v>1792</v>
      </c>
      <c r="F474" s="630" t="s">
        <v>1464</v>
      </c>
      <c r="G474" s="630" t="s">
        <v>2022</v>
      </c>
      <c r="H474" s="621"/>
      <c r="I474" s="466"/>
      <c r="J474">
        <v>1</v>
      </c>
    </row>
    <row r="475" spans="1:10">
      <c r="A475" s="617" t="str">
        <f t="shared" si="9"/>
        <v>made at plant</v>
      </c>
      <c r="B475" s="630" t="s">
        <v>2502</v>
      </c>
      <c r="C475" s="630" t="s">
        <v>310</v>
      </c>
      <c r="D475" s="630" t="s">
        <v>1564</v>
      </c>
      <c r="E475" s="630" t="s">
        <v>1793</v>
      </c>
      <c r="F475" s="630" t="s">
        <v>2098</v>
      </c>
      <c r="G475" s="630" t="s">
        <v>1987</v>
      </c>
      <c r="H475" s="621"/>
      <c r="I475" s="466"/>
      <c r="J475">
        <v>1</v>
      </c>
    </row>
    <row r="476" spans="1:10">
      <c r="A476" s="617" t="str">
        <f t="shared" si="9"/>
        <v>Manually turned OFF</v>
      </c>
      <c r="B476" s="630" t="s">
        <v>1660</v>
      </c>
      <c r="C476" s="630" t="s">
        <v>461</v>
      </c>
      <c r="D476" s="630" t="s">
        <v>1232</v>
      </c>
      <c r="E476" s="630" t="s">
        <v>1233</v>
      </c>
      <c r="F476" s="630" t="s">
        <v>2099</v>
      </c>
      <c r="G476" s="630" t="s">
        <v>2067</v>
      </c>
      <c r="H476" s="621"/>
      <c r="I476" s="466"/>
      <c r="J476">
        <v>1</v>
      </c>
    </row>
    <row r="477" spans="1:10">
      <c r="A477" s="617" t="str">
        <f t="shared" si="9"/>
        <v>new_recycled_reused</v>
      </c>
      <c r="B477" s="630" t="s">
        <v>1661</v>
      </c>
      <c r="C477" s="630" t="s">
        <v>464</v>
      </c>
      <c r="D477" s="630" t="s">
        <v>464</v>
      </c>
      <c r="E477" s="630" t="s">
        <v>1794</v>
      </c>
      <c r="F477" s="630" t="s">
        <v>464</v>
      </c>
      <c r="G477" s="630" t="s">
        <v>464</v>
      </c>
      <c r="H477" s="621"/>
      <c r="I477" s="466"/>
      <c r="J477">
        <v>1</v>
      </c>
    </row>
    <row r="478" spans="1:10">
      <c r="A478" s="617" t="str">
        <f t="shared" si="9"/>
        <v>-new or recycled-</v>
      </c>
      <c r="B478" s="630" t="s">
        <v>2503</v>
      </c>
      <c r="C478" s="630" t="s">
        <v>385</v>
      </c>
      <c r="D478" s="630" t="s">
        <v>1565</v>
      </c>
      <c r="E478" s="630" t="s">
        <v>1234</v>
      </c>
      <c r="F478" s="630" t="s">
        <v>1465</v>
      </c>
      <c r="G478" s="630" t="s">
        <v>1988</v>
      </c>
      <c r="H478" s="621"/>
      <c r="I478" s="466"/>
      <c r="J478">
        <v>1</v>
      </c>
    </row>
    <row r="479" spans="1:10" ht="30">
      <c r="A479" s="617" t="str">
        <f t="shared" si="9"/>
        <v xml:space="preserve">Enter the number of working days
</v>
      </c>
      <c r="B479" s="630" t="s">
        <v>2504</v>
      </c>
      <c r="C479" s="630" t="s">
        <v>274</v>
      </c>
      <c r="D479" s="630" t="s">
        <v>1566</v>
      </c>
      <c r="E479" s="630" t="s">
        <v>1235</v>
      </c>
      <c r="F479" s="630" t="s">
        <v>1904</v>
      </c>
      <c r="G479" s="630" t="s">
        <v>2023</v>
      </c>
      <c r="H479" s="621"/>
      <c r="I479" s="466"/>
      <c r="J479">
        <v>1</v>
      </c>
    </row>
    <row r="480" spans="1:10" ht="30">
      <c r="A480" s="617" t="str">
        <f t="shared" si="9"/>
        <v xml:space="preserve">Enter the average number of people working on the project
</v>
      </c>
      <c r="B480" s="630" t="s">
        <v>2505</v>
      </c>
      <c r="C480" s="630" t="s">
        <v>275</v>
      </c>
      <c r="D480" s="630" t="s">
        <v>1236</v>
      </c>
      <c r="E480" s="630" t="s">
        <v>1795</v>
      </c>
      <c r="F480" s="630" t="s">
        <v>2100</v>
      </c>
      <c r="G480" s="630" t="s">
        <v>2024</v>
      </c>
      <c r="H480" s="621"/>
      <c r="I480" s="466"/>
      <c r="J480">
        <v>1</v>
      </c>
    </row>
    <row r="481" spans="1:10" ht="30">
      <c r="A481" s="617" t="str">
        <f t="shared" si="9"/>
        <v xml:space="preserve">Select a country
</v>
      </c>
      <c r="B481" s="630" t="s">
        <v>1238</v>
      </c>
      <c r="C481" s="630" t="s">
        <v>276</v>
      </c>
      <c r="D481" s="630" t="s">
        <v>1237</v>
      </c>
      <c r="E481" s="630" t="s">
        <v>1239</v>
      </c>
      <c r="F481" s="630" t="s">
        <v>1905</v>
      </c>
      <c r="G481" s="630" t="s">
        <v>1240</v>
      </c>
      <c r="H481" s="621"/>
      <c r="I481" s="466"/>
      <c r="J481">
        <v>1</v>
      </c>
    </row>
    <row r="482" spans="1:10" ht="30">
      <c r="A482" s="617" t="str">
        <f t="shared" si="9"/>
        <v xml:space="preserve"> emissions are relatively high
</v>
      </c>
      <c r="B482" s="630" t="s">
        <v>1662</v>
      </c>
      <c r="C482" s="630" t="s">
        <v>272</v>
      </c>
      <c r="D482" s="630" t="s">
        <v>1567</v>
      </c>
      <c r="E482" s="630" t="s">
        <v>1796</v>
      </c>
      <c r="F482" s="630" t="s">
        <v>1906</v>
      </c>
      <c r="G482" s="630" t="s">
        <v>1241</v>
      </c>
      <c r="H482" s="621"/>
      <c r="I482" s="466"/>
      <c r="J482">
        <v>1</v>
      </c>
    </row>
    <row r="483" spans="1:10" ht="30">
      <c r="A483" s="617" t="str">
        <f t="shared" si="9"/>
        <v xml:space="preserve"> emissions are relatively low
</v>
      </c>
      <c r="B483" s="630" t="s">
        <v>2506</v>
      </c>
      <c r="C483" s="630" t="s">
        <v>273</v>
      </c>
      <c r="D483" s="630" t="s">
        <v>1242</v>
      </c>
      <c r="E483" s="630" t="s">
        <v>1797</v>
      </c>
      <c r="F483" s="630" t="s">
        <v>1907</v>
      </c>
      <c r="G483" s="630" t="s">
        <v>1243</v>
      </c>
      <c r="H483" s="621"/>
      <c r="I483" s="466"/>
      <c r="J483">
        <v>1</v>
      </c>
    </row>
    <row r="484" spans="1:10">
      <c r="A484" s="617" t="str">
        <f t="shared" si="9"/>
        <v xml:space="preserve">    (Primary source)</v>
      </c>
      <c r="B484" s="630" t="s">
        <v>1663</v>
      </c>
      <c r="C484" s="630" t="s">
        <v>311</v>
      </c>
      <c r="D484" s="630" t="s">
        <v>1244</v>
      </c>
      <c r="E484" s="630" t="s">
        <v>1245</v>
      </c>
      <c r="F484" s="630" t="s">
        <v>1908</v>
      </c>
      <c r="G484" s="630" t="s">
        <v>1246</v>
      </c>
      <c r="H484" s="621"/>
      <c r="I484" s="466"/>
      <c r="J484">
        <v>1</v>
      </c>
    </row>
    <row r="485" spans="1:10">
      <c r="A485" s="617" t="str">
        <f t="shared" si="9"/>
        <v xml:space="preserve">    (Secondary source)</v>
      </c>
      <c r="B485" s="630" t="s">
        <v>1664</v>
      </c>
      <c r="C485" s="630" t="s">
        <v>309</v>
      </c>
      <c r="D485" s="630" t="s">
        <v>1247</v>
      </c>
      <c r="E485" s="630" t="s">
        <v>1248</v>
      </c>
      <c r="F485" s="630" t="s">
        <v>1909</v>
      </c>
      <c r="G485" s="630" t="s">
        <v>1249</v>
      </c>
      <c r="H485" s="621"/>
      <c r="I485" s="466"/>
      <c r="J485">
        <v>1</v>
      </c>
    </row>
    <row r="486" spans="1:10" ht="150">
      <c r="A486" s="617" t="str">
        <f t="shared" si="9"/>
        <v>General Principles :  emission sources are split into two categories :
 - primary emission sources (represented in colors)
  - secondary emission sources (represented in gray)
The method recommends to start with the primary emission sources,with the secondary emission sources being automatically estimated. Then you may want to fine tune the calculation using specific activity data for the secondary emission sources also.</v>
      </c>
      <c r="B486" s="630" t="s">
        <v>2507</v>
      </c>
      <c r="C486" s="630" t="s">
        <v>1253</v>
      </c>
      <c r="D486" s="630" t="s">
        <v>1568</v>
      </c>
      <c r="E486" s="630" t="s">
        <v>1798</v>
      </c>
      <c r="F486" s="630" t="s">
        <v>1910</v>
      </c>
      <c r="G486" s="630" t="s">
        <v>2078</v>
      </c>
      <c r="H486" s="621"/>
      <c r="I486" s="466"/>
      <c r="J486">
        <v>1</v>
      </c>
    </row>
    <row r="487" spans="1:10">
      <c r="A487" s="617" t="str">
        <f t="shared" si="9"/>
        <v>New Subproject sheet</v>
      </c>
      <c r="B487" s="630" t="s">
        <v>1665</v>
      </c>
      <c r="C487" s="630" t="s">
        <v>1254</v>
      </c>
      <c r="D487" s="630" t="s">
        <v>1569</v>
      </c>
      <c r="E487" s="630" t="s">
        <v>1799</v>
      </c>
      <c r="F487" s="630" t="s">
        <v>2101</v>
      </c>
      <c r="G487" s="630" t="s">
        <v>1989</v>
      </c>
      <c r="H487" s="466"/>
      <c r="I487" s="466"/>
      <c r="J487">
        <v>1</v>
      </c>
    </row>
    <row r="488" spans="1:10">
      <c r="A488" s="617" t="str">
        <f t="shared" si="9"/>
        <v>New Project sheet</v>
      </c>
      <c r="B488" s="630" t="s">
        <v>2508</v>
      </c>
      <c r="C488" s="630" t="s">
        <v>1255</v>
      </c>
      <c r="D488" s="630" t="s">
        <v>1570</v>
      </c>
      <c r="E488" s="630" t="s">
        <v>1800</v>
      </c>
      <c r="F488" s="630" t="s">
        <v>2102</v>
      </c>
      <c r="G488" s="630" t="s">
        <v>1990</v>
      </c>
      <c r="H488" s="466"/>
      <c r="I488" s="466"/>
      <c r="J488">
        <v>1</v>
      </c>
    </row>
    <row r="489" spans="1:10">
      <c r="A489" s="617" t="str">
        <f t="shared" si="9"/>
        <v>New Comparison sheet</v>
      </c>
      <c r="B489" s="630" t="s">
        <v>2509</v>
      </c>
      <c r="C489" s="630" t="s">
        <v>1256</v>
      </c>
      <c r="D489" s="630" t="s">
        <v>1571</v>
      </c>
      <c r="E489" s="630" t="s">
        <v>1801</v>
      </c>
      <c r="F489" s="630" t="s">
        <v>1911</v>
      </c>
      <c r="G489" s="630" t="s">
        <v>1992</v>
      </c>
      <c r="H489" s="466"/>
      <c r="I489" s="466"/>
      <c r="J489">
        <v>1</v>
      </c>
    </row>
    <row r="490" spans="1:10">
      <c r="A490" s="617" t="str">
        <f t="shared" si="9"/>
        <v>New Results sheet</v>
      </c>
      <c r="B490" s="630" t="s">
        <v>2510</v>
      </c>
      <c r="C490" s="630" t="s">
        <v>1257</v>
      </c>
      <c r="D490" s="630" t="s">
        <v>1258</v>
      </c>
      <c r="E490" s="630" t="s">
        <v>1802</v>
      </c>
      <c r="F490" s="630" t="s">
        <v>1912</v>
      </c>
      <c r="G490" s="630" t="s">
        <v>1991</v>
      </c>
      <c r="H490" s="466"/>
      <c r="I490" s="466"/>
      <c r="J490">
        <v>1</v>
      </c>
    </row>
    <row r="491" spans="1:10">
      <c r="A491" s="617" t="str">
        <f t="shared" si="9"/>
        <v>Load your logo</v>
      </c>
      <c r="B491" s="630" t="s">
        <v>1666</v>
      </c>
      <c r="C491" s="630" t="s">
        <v>1259</v>
      </c>
      <c r="D491" s="630" t="s">
        <v>1260</v>
      </c>
      <c r="E491" s="630" t="s">
        <v>1261</v>
      </c>
      <c r="F491" s="630" t="s">
        <v>2103</v>
      </c>
      <c r="G491" s="630" t="s">
        <v>1993</v>
      </c>
      <c r="H491" s="623"/>
      <c r="I491" s="623"/>
      <c r="J491">
        <v>1</v>
      </c>
    </row>
    <row r="492" spans="1:10">
      <c r="A492" s="617" t="str">
        <f t="shared" si="9"/>
        <v>Set the size</v>
      </c>
      <c r="B492" s="630" t="s">
        <v>1667</v>
      </c>
      <c r="C492" s="630" t="s">
        <v>1262</v>
      </c>
      <c r="D492" s="630" t="s">
        <v>1263</v>
      </c>
      <c r="E492" s="630" t="s">
        <v>1264</v>
      </c>
      <c r="F492" s="630" t="s">
        <v>1466</v>
      </c>
      <c r="G492" s="630" t="s">
        <v>1994</v>
      </c>
      <c r="H492" s="466"/>
      <c r="I492" s="466"/>
      <c r="J492">
        <v>1</v>
      </c>
    </row>
    <row r="493" spans="1:10" ht="30">
      <c r="A493" s="617" t="str">
        <f t="shared" si="9"/>
        <v>When your image fit in the white box, click here to import the logo</v>
      </c>
      <c r="B493" s="630" t="s">
        <v>2511</v>
      </c>
      <c r="C493" s="630" t="s">
        <v>1265</v>
      </c>
      <c r="D493" s="630" t="s">
        <v>1572</v>
      </c>
      <c r="E493" s="630" t="s">
        <v>1803</v>
      </c>
      <c r="F493" s="630" t="s">
        <v>1913</v>
      </c>
      <c r="G493" s="630" t="s">
        <v>2025</v>
      </c>
      <c r="H493" s="466"/>
      <c r="I493" s="466"/>
      <c r="J493">
        <v>1</v>
      </c>
    </row>
    <row r="494" spans="1:10">
      <c r="A494" s="617" t="str">
        <f>INDEX(B494:I494,1,$A$1)</f>
        <v>Start</v>
      </c>
      <c r="B494" s="631" t="s">
        <v>2388</v>
      </c>
      <c r="C494" s="631" t="s">
        <v>2141</v>
      </c>
      <c r="D494" s="631" t="s">
        <v>2389</v>
      </c>
      <c r="E494" s="631" t="s">
        <v>2390</v>
      </c>
      <c r="F494" s="631" t="s">
        <v>2386</v>
      </c>
      <c r="G494" s="631" t="s">
        <v>2388</v>
      </c>
      <c r="H494" s="466"/>
      <c r="I494" s="466"/>
      <c r="J494">
        <v>0</v>
      </c>
    </row>
    <row r="495" spans="1:10">
      <c r="A495" s="617" t="str">
        <f>INDEX(B495:I495,1,$A$1)</f>
        <v>ACCEPT</v>
      </c>
      <c r="B495" s="631" t="s">
        <v>2439</v>
      </c>
      <c r="C495" s="631" t="s">
        <v>2142</v>
      </c>
      <c r="D495" s="631" t="s">
        <v>2391</v>
      </c>
      <c r="E495" s="631" t="s">
        <v>2392</v>
      </c>
      <c r="F495" s="631" t="s">
        <v>2387</v>
      </c>
      <c r="G495" s="631" t="s">
        <v>2142</v>
      </c>
      <c r="H495" s="466"/>
      <c r="I495" s="466"/>
      <c r="J495">
        <v>0</v>
      </c>
    </row>
    <row r="496" spans="1:10">
      <c r="A496" s="618" t="str">
        <f t="shared" si="9"/>
        <v>Projects emissions</v>
      </c>
      <c r="B496" s="630" t="s">
        <v>1668</v>
      </c>
      <c r="C496" s="630" t="s">
        <v>1266</v>
      </c>
      <c r="D496" s="630" t="s">
        <v>1573</v>
      </c>
      <c r="E496" s="630" t="s">
        <v>1804</v>
      </c>
      <c r="F496" s="630" t="s">
        <v>2104</v>
      </c>
      <c r="G496" s="630" t="s">
        <v>1995</v>
      </c>
      <c r="H496" s="623"/>
      <c r="I496" s="623"/>
      <c r="J496">
        <v>1</v>
      </c>
    </row>
    <row r="497" spans="1:10">
      <c r="A497" s="618" t="str">
        <f t="shared" si="9"/>
        <v>Projects emission repartitions</v>
      </c>
      <c r="B497" s="630" t="s">
        <v>1669</v>
      </c>
      <c r="C497" s="630" t="s">
        <v>462</v>
      </c>
      <c r="D497" s="630" t="s">
        <v>737</v>
      </c>
      <c r="E497" s="630" t="s">
        <v>1805</v>
      </c>
      <c r="F497" s="630" t="s">
        <v>1365</v>
      </c>
      <c r="G497" s="630" t="s">
        <v>1942</v>
      </c>
      <c r="H497" s="623"/>
      <c r="I497" s="623"/>
      <c r="J497">
        <v>2</v>
      </c>
    </row>
    <row r="498" spans="1:10">
      <c r="A498" s="618" t="str">
        <f>INDEX(B498:I498,1,$A$1)</f>
        <v>emissions repartition</v>
      </c>
      <c r="B498" s="630" t="s">
        <v>1670</v>
      </c>
      <c r="C498" s="630" t="s">
        <v>463</v>
      </c>
      <c r="D498" s="630" t="s">
        <v>738</v>
      </c>
      <c r="E498" s="630" t="s">
        <v>1806</v>
      </c>
      <c r="F498" s="630" t="s">
        <v>2105</v>
      </c>
      <c r="G498" s="630" t="s">
        <v>1996</v>
      </c>
      <c r="H498" s="623"/>
      <c r="I498" s="623"/>
      <c r="J498">
        <v>2</v>
      </c>
    </row>
    <row r="499" spans="1:10">
      <c r="A499" s="618" t="str">
        <f>INDEX(B499:I499,1,$A$1)</f>
        <v>Materials Detail</v>
      </c>
      <c r="B499" s="630" t="s">
        <v>2512</v>
      </c>
      <c r="C499" s="630" t="s">
        <v>1267</v>
      </c>
      <c r="D499" s="630" t="s">
        <v>685</v>
      </c>
      <c r="E499" s="630" t="s">
        <v>1723</v>
      </c>
      <c r="F499" s="630" t="s">
        <v>1467</v>
      </c>
      <c r="G499" s="630" t="s">
        <v>1935</v>
      </c>
      <c r="H499" s="623"/>
      <c r="I499" s="623"/>
      <c r="J499">
        <v>2</v>
      </c>
    </row>
    <row r="500" spans="1:10">
      <c r="A500" s="618" t="str">
        <f t="shared" ref="A500:A544" si="10">INDEX(B500:I500,1,$A$1)</f>
        <v>Language</v>
      </c>
      <c r="B500" s="630" t="s">
        <v>2221</v>
      </c>
      <c r="C500" s="630" t="s">
        <v>488</v>
      </c>
      <c r="D500" s="630" t="s">
        <v>2222</v>
      </c>
      <c r="E500" s="630" t="s">
        <v>2223</v>
      </c>
      <c r="F500" s="630" t="s">
        <v>2224</v>
      </c>
      <c r="G500" s="630" t="s">
        <v>2225</v>
      </c>
      <c r="H500" s="623"/>
      <c r="I500" s="623"/>
      <c r="J500">
        <v>0</v>
      </c>
    </row>
    <row r="501" spans="1:10" ht="30">
      <c r="A501" s="618" t="str">
        <f t="shared" si="10"/>
        <v>Emission breakdown : Average results (based on samples studied to develop the methodology)</v>
      </c>
      <c r="B501" s="630" t="s">
        <v>2513</v>
      </c>
      <c r="C501" s="630" t="s">
        <v>2209</v>
      </c>
      <c r="D501" s="630" t="s">
        <v>2226</v>
      </c>
      <c r="E501" s="630" t="s">
        <v>2227</v>
      </c>
      <c r="F501" s="630" t="s">
        <v>2228</v>
      </c>
      <c r="G501" s="630" t="s">
        <v>2229</v>
      </c>
      <c r="H501" s="623"/>
      <c r="I501" s="623"/>
      <c r="J501">
        <v>0</v>
      </c>
    </row>
    <row r="502" spans="1:10">
      <c r="A502" s="618" t="str">
        <f t="shared" si="10"/>
        <v>Units system</v>
      </c>
      <c r="B502" s="630" t="s">
        <v>2425</v>
      </c>
      <c r="C502" s="630" t="s">
        <v>2217</v>
      </c>
      <c r="D502" s="630" t="s">
        <v>2230</v>
      </c>
      <c r="E502" s="630" t="s">
        <v>2231</v>
      </c>
      <c r="F502" s="630" t="s">
        <v>2232</v>
      </c>
      <c r="G502" s="630" t="s">
        <v>2233</v>
      </c>
      <c r="H502" s="623"/>
      <c r="I502" s="623"/>
      <c r="J502">
        <v>0</v>
      </c>
    </row>
    <row r="503" spans="1:10">
      <c r="A503" s="618" t="str">
        <f t="shared" si="10"/>
        <v>Metric system</v>
      </c>
      <c r="B503" s="630" t="s">
        <v>2426</v>
      </c>
      <c r="C503" s="630" t="s">
        <v>2215</v>
      </c>
      <c r="D503" s="630" t="s">
        <v>2234</v>
      </c>
      <c r="E503" s="630" t="s">
        <v>2235</v>
      </c>
      <c r="F503" s="630" t="s">
        <v>2236</v>
      </c>
      <c r="G503" s="630" t="s">
        <v>2237</v>
      </c>
      <c r="H503" s="623"/>
      <c r="I503" s="623"/>
      <c r="J503">
        <v>0</v>
      </c>
    </row>
    <row r="504" spans="1:10">
      <c r="A504" s="618" t="str">
        <f t="shared" si="10"/>
        <v>US units</v>
      </c>
      <c r="B504" s="630" t="s">
        <v>2238</v>
      </c>
      <c r="C504" s="630" t="s">
        <v>2155</v>
      </c>
      <c r="D504" s="630" t="s">
        <v>2239</v>
      </c>
      <c r="E504" s="630" t="s">
        <v>2240</v>
      </c>
      <c r="F504" s="630" t="s">
        <v>2241</v>
      </c>
      <c r="G504" s="630" t="s">
        <v>2242</v>
      </c>
      <c r="H504" s="623"/>
      <c r="I504" s="623"/>
      <c r="J504">
        <v>0</v>
      </c>
    </row>
    <row r="505" spans="1:10">
      <c r="A505" s="618" t="str">
        <f t="shared" si="10"/>
        <v>Road concrete transportation</v>
      </c>
      <c r="B505" s="630" t="s">
        <v>2427</v>
      </c>
      <c r="C505" s="630" t="s">
        <v>2243</v>
      </c>
      <c r="D505" s="630" t="s">
        <v>2244</v>
      </c>
      <c r="E505" s="630" t="s">
        <v>2245</v>
      </c>
      <c r="F505" s="630" t="s">
        <v>2246</v>
      </c>
      <c r="G505" s="630" t="s">
        <v>2247</v>
      </c>
      <c r="H505" s="623"/>
      <c r="I505" s="623"/>
      <c r="J505">
        <v>0</v>
      </c>
    </row>
    <row r="506" spans="1:10">
      <c r="A506" s="618" t="str">
        <f t="shared" si="10"/>
        <v>Standard ratios</v>
      </c>
      <c r="B506" s="630" t="s">
        <v>2428</v>
      </c>
      <c r="C506" s="630" t="s">
        <v>381</v>
      </c>
      <c r="D506" s="630" t="s">
        <v>2248</v>
      </c>
      <c r="E506" s="630" t="s">
        <v>2249</v>
      </c>
      <c r="F506" s="630" t="s">
        <v>2250</v>
      </c>
      <c r="G506" s="630" t="s">
        <v>2251</v>
      </c>
      <c r="H506" s="623"/>
      <c r="I506" s="623"/>
      <c r="J506">
        <v>0</v>
      </c>
    </row>
    <row r="507" spans="1:10">
      <c r="A507" s="618" t="str">
        <f t="shared" si="10"/>
        <v>Units</v>
      </c>
      <c r="B507" s="630" t="s">
        <v>2429</v>
      </c>
      <c r="C507" s="630" t="s">
        <v>2219</v>
      </c>
      <c r="D507" s="630" t="s">
        <v>2252</v>
      </c>
      <c r="E507" s="630" t="s">
        <v>2253</v>
      </c>
      <c r="F507" s="630" t="s">
        <v>2254</v>
      </c>
      <c r="G507" s="630" t="s">
        <v>2255</v>
      </c>
      <c r="H507" s="623"/>
      <c r="I507" s="623"/>
      <c r="J507">
        <v>0</v>
      </c>
    </row>
    <row r="508" spans="1:10">
      <c r="A508" s="618" t="str">
        <f t="shared" si="10"/>
        <v>mass</v>
      </c>
      <c r="B508" s="630" t="s">
        <v>2256</v>
      </c>
      <c r="C508" s="630" t="s">
        <v>2192</v>
      </c>
      <c r="D508" s="630" t="s">
        <v>2257</v>
      </c>
      <c r="E508" s="630" t="s">
        <v>2258</v>
      </c>
      <c r="F508" s="630" t="s">
        <v>2259</v>
      </c>
      <c r="G508" s="630" t="s">
        <v>2259</v>
      </c>
      <c r="H508" s="623"/>
      <c r="I508" s="623"/>
      <c r="J508">
        <v>0</v>
      </c>
    </row>
    <row r="509" spans="1:10">
      <c r="A509" s="618" t="str">
        <f t="shared" si="10"/>
        <v>volume</v>
      </c>
      <c r="B509" s="630" t="s">
        <v>2260</v>
      </c>
      <c r="C509" s="630" t="s">
        <v>2195</v>
      </c>
      <c r="D509" s="630" t="s">
        <v>2261</v>
      </c>
      <c r="E509" s="630" t="s">
        <v>2262</v>
      </c>
      <c r="F509" s="630" t="s">
        <v>2263</v>
      </c>
      <c r="G509" s="630" t="s">
        <v>2195</v>
      </c>
      <c r="H509" s="623"/>
      <c r="I509" s="623"/>
      <c r="J509">
        <v>0</v>
      </c>
    </row>
    <row r="510" spans="1:10">
      <c r="A510" s="618" t="str">
        <f t="shared" si="10"/>
        <v>transportation-vehicule</v>
      </c>
      <c r="B510" s="630" t="s">
        <v>2264</v>
      </c>
      <c r="C510" s="630" t="s">
        <v>2212</v>
      </c>
      <c r="D510" s="630" t="s">
        <v>2265</v>
      </c>
      <c r="E510" s="630" t="s">
        <v>2266</v>
      </c>
      <c r="F510" s="630" t="s">
        <v>2267</v>
      </c>
      <c r="G510" s="630" t="s">
        <v>2268</v>
      </c>
      <c r="H510" s="623"/>
      <c r="I510" s="623"/>
      <c r="J510">
        <v>0</v>
      </c>
    </row>
    <row r="511" spans="1:10">
      <c r="A511" s="618" t="str">
        <f t="shared" si="10"/>
        <v>transportation-tonne</v>
      </c>
      <c r="B511" s="630" t="s">
        <v>2269</v>
      </c>
      <c r="C511" s="630" t="s">
        <v>2213</v>
      </c>
      <c r="D511" s="630" t="s">
        <v>2270</v>
      </c>
      <c r="E511" s="630" t="s">
        <v>2271</v>
      </c>
      <c r="F511" s="630" t="s">
        <v>2272</v>
      </c>
      <c r="G511" s="630" t="s">
        <v>2273</v>
      </c>
      <c r="H511" s="623"/>
      <c r="I511" s="623"/>
      <c r="J511">
        <v>0</v>
      </c>
    </row>
    <row r="512" spans="1:10">
      <c r="A512" s="618" t="str">
        <f t="shared" si="10"/>
        <v>transportation-passenger</v>
      </c>
      <c r="B512" s="630" t="s">
        <v>2274</v>
      </c>
      <c r="C512" s="630" t="s">
        <v>2214</v>
      </c>
      <c r="D512" s="630" t="s">
        <v>2275</v>
      </c>
      <c r="E512" s="630" t="s">
        <v>2276</v>
      </c>
      <c r="F512" s="630" t="s">
        <v>2277</v>
      </c>
      <c r="G512" s="630" t="s">
        <v>2278</v>
      </c>
      <c r="H512" s="623"/>
      <c r="I512" s="623"/>
      <c r="J512">
        <v>0</v>
      </c>
    </row>
    <row r="513" spans="1:10">
      <c r="A513" s="618" t="str">
        <f t="shared" si="10"/>
        <v>Average ratio</v>
      </c>
      <c r="B513" s="630" t="s">
        <v>2430</v>
      </c>
      <c r="C513" s="630" t="s">
        <v>278</v>
      </c>
      <c r="D513" s="630" t="s">
        <v>2279</v>
      </c>
      <c r="E513" s="630" t="s">
        <v>2280</v>
      </c>
      <c r="F513" s="630" t="s">
        <v>2281</v>
      </c>
      <c r="G513" s="630" t="s">
        <v>2282</v>
      </c>
      <c r="H513" s="623"/>
      <c r="I513" s="623"/>
      <c r="J513">
        <v>0</v>
      </c>
    </row>
    <row r="514" spans="1:10">
      <c r="A514" s="618" t="str">
        <f t="shared" si="10"/>
        <v>Cement used</v>
      </c>
      <c r="B514" s="630" t="s">
        <v>2431</v>
      </c>
      <c r="C514" s="630" t="s">
        <v>449</v>
      </c>
      <c r="D514" s="630" t="s">
        <v>2283</v>
      </c>
      <c r="E514" s="630" t="s">
        <v>2284</v>
      </c>
      <c r="F514" s="630" t="s">
        <v>2285</v>
      </c>
      <c r="G514" s="630" t="s">
        <v>2286</v>
      </c>
      <c r="H514" s="623"/>
      <c r="I514" s="623"/>
      <c r="J514">
        <v>0</v>
      </c>
    </row>
    <row r="515" spans="1:10">
      <c r="A515" s="618" t="str">
        <f t="shared" si="10"/>
        <v>European</v>
      </c>
      <c r="B515" s="630" t="s">
        <v>2432</v>
      </c>
      <c r="C515" s="630" t="s">
        <v>2190</v>
      </c>
      <c r="D515" s="630" t="s">
        <v>2287</v>
      </c>
      <c r="E515" s="630" t="s">
        <v>2288</v>
      </c>
      <c r="F515" s="630" t="s">
        <v>2288</v>
      </c>
      <c r="G515" s="630" t="s">
        <v>2289</v>
      </c>
      <c r="H515" s="623"/>
      <c r="I515" s="623"/>
      <c r="J515">
        <v>0</v>
      </c>
    </row>
    <row r="516" spans="1:10">
      <c r="A516" s="618" t="str">
        <f t="shared" si="10"/>
        <v>m3</v>
      </c>
      <c r="B516" s="630" t="s">
        <v>20</v>
      </c>
      <c r="C516" s="630" t="s">
        <v>20</v>
      </c>
      <c r="D516" s="630" t="s">
        <v>20</v>
      </c>
      <c r="E516" s="630" t="s">
        <v>20</v>
      </c>
      <c r="F516" s="630" t="s">
        <v>20</v>
      </c>
      <c r="G516" s="630" t="s">
        <v>20</v>
      </c>
      <c r="H516" s="623"/>
      <c r="I516" s="623"/>
      <c r="J516">
        <v>0</v>
      </c>
    </row>
    <row r="517" spans="1:10">
      <c r="A517" s="618" t="str">
        <f t="shared" si="10"/>
        <v>kg</v>
      </c>
      <c r="B517" s="630" t="s">
        <v>2197</v>
      </c>
      <c r="C517" s="630" t="s">
        <v>2197</v>
      </c>
      <c r="D517" s="630" t="s">
        <v>2197</v>
      </c>
      <c r="E517" s="630" t="s">
        <v>2197</v>
      </c>
      <c r="F517" s="630" t="s">
        <v>2197</v>
      </c>
      <c r="G517" s="630" t="s">
        <v>2197</v>
      </c>
      <c r="H517" s="623"/>
      <c r="I517" s="623"/>
      <c r="J517">
        <v>0</v>
      </c>
    </row>
    <row r="518" spans="1:10">
      <c r="A518" s="618" t="str">
        <f t="shared" si="10"/>
        <v>US</v>
      </c>
      <c r="B518" s="630" t="s">
        <v>2191</v>
      </c>
      <c r="C518" s="630" t="s">
        <v>2191</v>
      </c>
      <c r="D518" s="630" t="s">
        <v>1074</v>
      </c>
      <c r="E518" s="630" t="s">
        <v>2290</v>
      </c>
      <c r="F518" s="630" t="s">
        <v>2191</v>
      </c>
      <c r="G518" s="630" t="s">
        <v>2191</v>
      </c>
      <c r="H518" s="623"/>
      <c r="I518" s="623"/>
      <c r="J518">
        <v>0</v>
      </c>
    </row>
    <row r="519" spans="1:10">
      <c r="A519" s="618" t="str">
        <f t="shared" si="10"/>
        <v>miles</v>
      </c>
      <c r="B519" s="630" t="s">
        <v>2291</v>
      </c>
      <c r="C519" s="630" t="s">
        <v>2194</v>
      </c>
      <c r="D519" s="630" t="s">
        <v>2194</v>
      </c>
      <c r="E519" s="630" t="s">
        <v>2292</v>
      </c>
      <c r="F519" s="630" t="s">
        <v>2293</v>
      </c>
      <c r="G519" s="630" t="s">
        <v>2294</v>
      </c>
      <c r="H519" s="623"/>
      <c r="I519" s="623"/>
      <c r="J519">
        <v>0</v>
      </c>
    </row>
    <row r="520" spans="1:10">
      <c r="A520" s="618" t="str">
        <f t="shared" si="10"/>
        <v>lb</v>
      </c>
      <c r="B520" s="630" t="s">
        <v>2433</v>
      </c>
      <c r="C520" s="630" t="s">
        <v>2189</v>
      </c>
      <c r="D520" s="630" t="s">
        <v>2189</v>
      </c>
      <c r="E520" s="630" t="s">
        <v>2189</v>
      </c>
      <c r="F520" s="630" t="s">
        <v>2189</v>
      </c>
      <c r="G520" s="630" t="s">
        <v>2189</v>
      </c>
      <c r="H520" s="623"/>
      <c r="I520" s="623"/>
      <c r="J520">
        <v>0</v>
      </c>
    </row>
    <row r="521" spans="1:10">
      <c r="A521" s="618" t="str">
        <f t="shared" si="10"/>
        <v>ton</v>
      </c>
      <c r="B521" s="630" t="s">
        <v>2434</v>
      </c>
      <c r="C521" s="630" t="s">
        <v>2216</v>
      </c>
      <c r="D521" s="630" t="s">
        <v>2295</v>
      </c>
      <c r="E521" s="630" t="s">
        <v>2296</v>
      </c>
      <c r="F521" s="630" t="s">
        <v>2216</v>
      </c>
      <c r="G521" s="630" t="s">
        <v>2216</v>
      </c>
      <c r="H521" s="623"/>
      <c r="I521" s="623"/>
      <c r="J521">
        <v>0</v>
      </c>
    </row>
    <row r="522" spans="1:10">
      <c r="A522" s="618" t="str">
        <f t="shared" si="10"/>
        <v>yd3</v>
      </c>
      <c r="B522" s="630" t="s">
        <v>2196</v>
      </c>
      <c r="C522" s="630" t="s">
        <v>2196</v>
      </c>
      <c r="D522" s="630" t="s">
        <v>2196</v>
      </c>
      <c r="E522" s="630" t="s">
        <v>2196</v>
      </c>
      <c r="F522" s="630" t="s">
        <v>2196</v>
      </c>
      <c r="G522" s="630" t="s">
        <v>2196</v>
      </c>
      <c r="H522" s="623"/>
      <c r="I522" s="623"/>
      <c r="J522">
        <v>0</v>
      </c>
    </row>
    <row r="523" spans="1:10">
      <c r="A523" s="618" t="str">
        <f t="shared" si="10"/>
        <v>gallon</v>
      </c>
      <c r="B523" s="630" t="s">
        <v>2297</v>
      </c>
      <c r="C523" s="630" t="s">
        <v>2157</v>
      </c>
      <c r="D523" s="630" t="s">
        <v>2157</v>
      </c>
      <c r="E523" s="630" t="s">
        <v>2298</v>
      </c>
      <c r="F523" s="630" t="s">
        <v>2299</v>
      </c>
      <c r="G523" s="630" t="s">
        <v>2157</v>
      </c>
      <c r="H523" s="623"/>
      <c r="I523" s="623"/>
      <c r="J523">
        <v>0</v>
      </c>
    </row>
    <row r="524" spans="1:10">
      <c r="A524" s="618" t="str">
        <f t="shared" si="10"/>
        <v>vehicle-mile</v>
      </c>
      <c r="B524" s="630" t="s">
        <v>2300</v>
      </c>
      <c r="C524" s="630" t="s">
        <v>2187</v>
      </c>
      <c r="D524" s="630" t="s">
        <v>2301</v>
      </c>
      <c r="E524" s="630" t="s">
        <v>2302</v>
      </c>
      <c r="F524" s="630" t="s">
        <v>2303</v>
      </c>
      <c r="G524" s="630" t="s">
        <v>2304</v>
      </c>
      <c r="H524" s="623"/>
      <c r="I524" s="623"/>
      <c r="J524">
        <v>0</v>
      </c>
    </row>
    <row r="525" spans="1:10">
      <c r="A525" s="618" t="str">
        <f t="shared" si="10"/>
        <v>ton-mile</v>
      </c>
      <c r="B525" s="630" t="s">
        <v>2305</v>
      </c>
      <c r="C525" s="630" t="s">
        <v>2188</v>
      </c>
      <c r="D525" s="630" t="s">
        <v>2306</v>
      </c>
      <c r="E525" s="630" t="s">
        <v>2307</v>
      </c>
      <c r="F525" s="630" t="s">
        <v>2308</v>
      </c>
      <c r="G525" s="630" t="s">
        <v>2309</v>
      </c>
      <c r="H525" s="623"/>
      <c r="I525" s="623"/>
      <c r="J525">
        <v>0</v>
      </c>
    </row>
    <row r="526" spans="1:10">
      <c r="A526" s="618" t="str">
        <f t="shared" si="10"/>
        <v>passenger-mile</v>
      </c>
      <c r="B526" s="630" t="s">
        <v>2310</v>
      </c>
      <c r="C526" s="630" t="s">
        <v>2186</v>
      </c>
      <c r="D526" s="630" t="s">
        <v>2311</v>
      </c>
      <c r="E526" s="630" t="s">
        <v>2312</v>
      </c>
      <c r="F526" s="630" t="s">
        <v>2313</v>
      </c>
      <c r="G526" s="630" t="s">
        <v>2314</v>
      </c>
      <c r="H526" s="623"/>
      <c r="I526" s="623"/>
      <c r="J526">
        <v>0</v>
      </c>
    </row>
    <row r="527" spans="1:10">
      <c r="A527" s="618" t="str">
        <f t="shared" si="10"/>
        <v>Selected</v>
      </c>
      <c r="B527" s="630" t="s">
        <v>2315</v>
      </c>
      <c r="C527" s="630" t="s">
        <v>2193</v>
      </c>
      <c r="D527" s="630" t="s">
        <v>2316</v>
      </c>
      <c r="E527" s="630" t="s">
        <v>2317</v>
      </c>
      <c r="F527" s="630" t="s">
        <v>2193</v>
      </c>
      <c r="G527" s="630" t="s">
        <v>2318</v>
      </c>
      <c r="H527" s="623"/>
      <c r="I527" s="623"/>
      <c r="J527">
        <v>0</v>
      </c>
    </row>
    <row r="528" spans="1:10">
      <c r="A528" s="618" t="str">
        <f t="shared" si="10"/>
        <v>Common distance (miles)</v>
      </c>
      <c r="B528" s="630" t="s">
        <v>2435</v>
      </c>
      <c r="C528" s="630" t="s">
        <v>2203</v>
      </c>
      <c r="D528" s="630" t="s">
        <v>2319</v>
      </c>
      <c r="E528" s="630" t="s">
        <v>2320</v>
      </c>
      <c r="F528" s="630" t="s">
        <v>2321</v>
      </c>
      <c r="G528" s="630" t="s">
        <v>2322</v>
      </c>
      <c r="H528" s="623"/>
      <c r="I528" s="623"/>
      <c r="J528">
        <v>0</v>
      </c>
    </row>
    <row r="529" spans="1:10">
      <c r="A529" s="618" t="str">
        <f t="shared" si="10"/>
        <v>Conversion factor</v>
      </c>
      <c r="B529" s="630" t="s">
        <v>2323</v>
      </c>
      <c r="C529" s="630" t="s">
        <v>2210</v>
      </c>
      <c r="D529" s="630" t="s">
        <v>2324</v>
      </c>
      <c r="E529" s="630" t="s">
        <v>2325</v>
      </c>
      <c r="F529" s="630" t="s">
        <v>2326</v>
      </c>
      <c r="G529" s="630" t="s">
        <v>2327</v>
      </c>
      <c r="H529" s="623"/>
      <c r="I529" s="623"/>
      <c r="J529">
        <v>0</v>
      </c>
    </row>
    <row r="530" spans="1:10">
      <c r="A530" s="618" t="str">
        <f t="shared" si="10"/>
        <v>Maximum ratio</v>
      </c>
      <c r="B530" s="630" t="s">
        <v>2328</v>
      </c>
      <c r="C530" s="630" t="s">
        <v>270</v>
      </c>
      <c r="D530" s="630" t="s">
        <v>2329</v>
      </c>
      <c r="E530" s="630" t="s">
        <v>2330</v>
      </c>
      <c r="F530" s="630" t="s">
        <v>2331</v>
      </c>
      <c r="G530" s="630" t="s">
        <v>2332</v>
      </c>
      <c r="H530" s="623"/>
      <c r="I530" s="623"/>
      <c r="J530">
        <v>0</v>
      </c>
    </row>
    <row r="531" spans="1:10">
      <c r="A531" s="618" t="str">
        <f t="shared" si="10"/>
        <v>US - EPA</v>
      </c>
      <c r="B531" s="630" t="s">
        <v>2156</v>
      </c>
      <c r="C531" s="630" t="s">
        <v>2156</v>
      </c>
      <c r="D531" s="630" t="s">
        <v>2156</v>
      </c>
      <c r="E531" s="630" t="s">
        <v>2333</v>
      </c>
      <c r="F531" s="630" t="s">
        <v>2334</v>
      </c>
      <c r="G531" s="630" t="s">
        <v>2156</v>
      </c>
      <c r="H531" s="623"/>
      <c r="I531" s="623"/>
      <c r="J531">
        <v>0</v>
      </c>
    </row>
    <row r="532" spans="1:10">
      <c r="A532" s="618" t="str">
        <f t="shared" si="10"/>
        <v>EPA</v>
      </c>
      <c r="B532" s="630" t="s">
        <v>2154</v>
      </c>
      <c r="C532" s="630" t="s">
        <v>2154</v>
      </c>
      <c r="D532" s="630" t="s">
        <v>2154</v>
      </c>
      <c r="E532" s="630" t="s">
        <v>2154</v>
      </c>
      <c r="F532" s="630" t="s">
        <v>2154</v>
      </c>
      <c r="G532" s="630" t="s">
        <v>2154</v>
      </c>
      <c r="H532" s="623"/>
      <c r="I532" s="623"/>
      <c r="J532">
        <v>0</v>
      </c>
    </row>
    <row r="533" spans="1:10" ht="30">
      <c r="A533" s="618" t="str">
        <f t="shared" si="10"/>
        <v>the table values are in metric system units</v>
      </c>
      <c r="B533" s="630" t="s">
        <v>2514</v>
      </c>
      <c r="C533" s="630" t="s">
        <v>2218</v>
      </c>
      <c r="D533" s="630" t="s">
        <v>2335</v>
      </c>
      <c r="E533" s="630" t="s">
        <v>2336</v>
      </c>
      <c r="F533" s="630" t="s">
        <v>2337</v>
      </c>
      <c r="G533" s="630" t="s">
        <v>2338</v>
      </c>
      <c r="H533" s="623"/>
      <c r="I533" s="623"/>
      <c r="J533">
        <v>0</v>
      </c>
    </row>
    <row r="534" spans="1:10">
      <c r="A534" s="618" t="str">
        <f t="shared" si="10"/>
        <v>Minimum ratio</v>
      </c>
      <c r="B534" s="630" t="s">
        <v>2436</v>
      </c>
      <c r="C534" s="630" t="s">
        <v>271</v>
      </c>
      <c r="D534" s="630" t="s">
        <v>2339</v>
      </c>
      <c r="E534" s="630" t="s">
        <v>2340</v>
      </c>
      <c r="F534" s="630" t="s">
        <v>2341</v>
      </c>
      <c r="G534" s="630" t="s">
        <v>2342</v>
      </c>
      <c r="H534" s="623"/>
      <c r="I534" s="623"/>
      <c r="J534">
        <v>0</v>
      </c>
    </row>
    <row r="535" spans="1:10">
      <c r="A535" s="618" t="str">
        <f t="shared" si="10"/>
        <v>Primary (1) / Secoundary (2) sources</v>
      </c>
      <c r="B535" s="630" t="s">
        <v>2437</v>
      </c>
      <c r="C535" s="630" t="s">
        <v>277</v>
      </c>
      <c r="D535" s="630" t="s">
        <v>2343</v>
      </c>
      <c r="E535" s="630" t="s">
        <v>2344</v>
      </c>
      <c r="F535" s="630" t="s">
        <v>2345</v>
      </c>
      <c r="G535" s="630" t="s">
        <v>2346</v>
      </c>
      <c r="H535" s="623"/>
      <c r="I535" s="623"/>
      <c r="J535">
        <v>0</v>
      </c>
    </row>
    <row r="536" spans="1:10">
      <c r="A536" s="618" t="str">
        <f t="shared" si="10"/>
        <v>EFFC DFI Disclaimer</v>
      </c>
      <c r="B536" s="630" t="s">
        <v>2515</v>
      </c>
      <c r="C536" s="630" t="s">
        <v>2400</v>
      </c>
      <c r="D536" s="630" t="s">
        <v>2400</v>
      </c>
      <c r="E536" s="630" t="s">
        <v>2400</v>
      </c>
      <c r="F536" s="630" t="s">
        <v>2400</v>
      </c>
      <c r="G536" s="630" t="s">
        <v>2400</v>
      </c>
      <c r="H536" s="623"/>
      <c r="I536" s="623"/>
      <c r="J536">
        <v>0</v>
      </c>
    </row>
    <row r="537" spans="1:10" ht="45">
      <c r="A537" s="618" t="str">
        <f t="shared" si="10"/>
        <v>The Calculator has been designed without liability with the intention of assisting in the calculation of the carbon footprint of foundation projects.</v>
      </c>
      <c r="B537" s="630" t="s">
        <v>2516</v>
      </c>
      <c r="C537" s="630" t="s">
        <v>2347</v>
      </c>
      <c r="D537" s="630" t="s">
        <v>2348</v>
      </c>
      <c r="E537" s="630" t="s">
        <v>2349</v>
      </c>
      <c r="F537" s="630" t="s">
        <v>2350</v>
      </c>
      <c r="G537" s="630" t="s">
        <v>2351</v>
      </c>
      <c r="H537" s="623"/>
      <c r="I537" s="623"/>
      <c r="J537">
        <v>0</v>
      </c>
    </row>
    <row r="538" spans="1:10">
      <c r="A538" s="618" t="str">
        <f t="shared" si="10"/>
        <v>European Federation of Foundation Contractor (EFFC)</v>
      </c>
      <c r="B538" s="630" t="s">
        <v>2438</v>
      </c>
      <c r="C538" s="630" t="s">
        <v>2033</v>
      </c>
      <c r="D538" s="630" t="s">
        <v>2352</v>
      </c>
      <c r="E538" s="630" t="s">
        <v>2353</v>
      </c>
      <c r="F538" s="630" t="s">
        <v>2354</v>
      </c>
      <c r="G538" s="630" t="s">
        <v>2355</v>
      </c>
      <c r="H538" s="623"/>
      <c r="I538" s="623"/>
      <c r="J538">
        <v>0</v>
      </c>
    </row>
    <row r="539" spans="1:10">
      <c r="A539" s="618" t="str">
        <f t="shared" si="10"/>
        <v>Deep Foundations Institute (DFI)</v>
      </c>
      <c r="B539" s="630" t="s">
        <v>2034</v>
      </c>
      <c r="C539" s="630" t="s">
        <v>2034</v>
      </c>
      <c r="D539" s="630" t="s">
        <v>2356</v>
      </c>
      <c r="E539" s="630" t="s">
        <v>2357</v>
      </c>
      <c r="F539" s="630" t="s">
        <v>2358</v>
      </c>
      <c r="G539" s="630" t="s">
        <v>2359</v>
      </c>
      <c r="H539" s="623"/>
      <c r="I539" s="623"/>
      <c r="J539">
        <v>0</v>
      </c>
    </row>
    <row r="540" spans="1:10">
      <c r="A540" s="618" t="str">
        <f t="shared" si="10"/>
        <v>Carbone 4 (the “authors")</v>
      </c>
      <c r="B540" s="630" t="s">
        <v>2360</v>
      </c>
      <c r="C540" s="630" t="s">
        <v>2037</v>
      </c>
      <c r="D540" s="630" t="s">
        <v>2361</v>
      </c>
      <c r="E540" s="630" t="s">
        <v>2362</v>
      </c>
      <c r="F540" s="630" t="s">
        <v>2363</v>
      </c>
      <c r="G540" s="630" t="s">
        <v>2364</v>
      </c>
      <c r="H540" s="623"/>
      <c r="I540" s="623"/>
      <c r="J540">
        <v>0</v>
      </c>
    </row>
    <row r="541" spans="1:10">
      <c r="A541" s="618" t="str">
        <f t="shared" si="10"/>
        <v>Carbon Calculator for Foundations (the “Calculator”)</v>
      </c>
      <c r="B541" s="630" t="s">
        <v>2517</v>
      </c>
      <c r="C541" s="630" t="s">
        <v>2365</v>
      </c>
      <c r="D541" s="630" t="s">
        <v>2366</v>
      </c>
      <c r="E541" s="630" t="s">
        <v>2367</v>
      </c>
      <c r="F541" s="630" t="s">
        <v>2368</v>
      </c>
      <c r="G541" s="630" t="s">
        <v>2369</v>
      </c>
      <c r="H541" s="623"/>
      <c r="I541" s="623"/>
      <c r="J541">
        <v>0</v>
      </c>
    </row>
    <row r="542" spans="1:10">
      <c r="A542" s="618" t="str">
        <f t="shared" si="10"/>
        <v> Disclaimer</v>
      </c>
      <c r="B542" s="630" t="s">
        <v>2370</v>
      </c>
      <c r="C542" s="630" t="s">
        <v>2220</v>
      </c>
      <c r="D542" s="630" t="s">
        <v>2371</v>
      </c>
      <c r="E542" s="630" t="s">
        <v>2372</v>
      </c>
      <c r="F542" s="630" t="s">
        <v>2373</v>
      </c>
      <c r="G542" s="630" t="s">
        <v>2374</v>
      </c>
      <c r="H542" s="623"/>
      <c r="I542" s="623"/>
      <c r="J542">
        <v>0</v>
      </c>
    </row>
    <row r="543" spans="1:10" ht="15" customHeight="1">
      <c r="A543" s="618" t="str">
        <f t="shared" si="10"/>
        <v>Whilst we have taken steps to check the accuracy of the Calculator and its database, the EFFC, DFI and the authors of the Calculator do not give any warranty, guarantee, representation or other assurance as to:  the operation, quality or functionality of the Calculator; the accuracy or completeness of the Calculator; or its fitness for any particular purpose.</v>
      </c>
      <c r="B543" s="630" t="s">
        <v>2518</v>
      </c>
      <c r="C543" s="630" t="s">
        <v>2401</v>
      </c>
      <c r="D543" s="630" t="s">
        <v>2402</v>
      </c>
      <c r="E543" s="630" t="s">
        <v>2403</v>
      </c>
      <c r="F543" s="630" t="s">
        <v>2404</v>
      </c>
      <c r="G543" s="630" t="s">
        <v>2405</v>
      </c>
      <c r="H543" s="623"/>
      <c r="I543" s="623"/>
      <c r="J543">
        <v>0</v>
      </c>
    </row>
    <row r="544" spans="1:10" ht="120">
      <c r="A544" s="618" t="str">
        <f t="shared" si="10"/>
        <v>To the fullest extent permissible by law, the EFFC, DFI and the authors of the Spreadsheet each disclaim all responsibility for any damages or losses (including, without limitation, financial loss, damages for loss in business projects, loss of profits or other consequential losses) arising in contract, or otherwise from the use of or inability to use the Calculator, or from any action or decision taken as a result of using the Calculator.</v>
      </c>
      <c r="B544" s="630" t="s">
        <v>2519</v>
      </c>
      <c r="C544" s="630" t="s">
        <v>2035</v>
      </c>
      <c r="D544" s="630" t="s">
        <v>2406</v>
      </c>
      <c r="E544" s="630" t="s">
        <v>2407</v>
      </c>
      <c r="F544" s="630" t="s">
        <v>2408</v>
      </c>
      <c r="G544" s="630" t="s">
        <v>2409</v>
      </c>
      <c r="H544" s="623"/>
      <c r="I544" s="623"/>
      <c r="J544">
        <v>0</v>
      </c>
    </row>
    <row r="545" spans="1:10">
      <c r="A545" s="618" t="str">
        <f>INDEX(B545:I545,1,$A$1)</f>
        <v>English</v>
      </c>
      <c r="B545" s="626" t="s">
        <v>1250</v>
      </c>
      <c r="C545" s="626" t="s">
        <v>486</v>
      </c>
      <c r="D545" s="626" t="s">
        <v>487</v>
      </c>
      <c r="E545" s="626" t="s">
        <v>1252</v>
      </c>
      <c r="F545" s="626" t="s">
        <v>1468</v>
      </c>
      <c r="G545" s="626" t="s">
        <v>1251</v>
      </c>
      <c r="H545" s="623"/>
      <c r="I545" s="623"/>
      <c r="J545">
        <v>0</v>
      </c>
    </row>
    <row r="546" spans="1:10">
      <c r="A546" s="618"/>
      <c r="B546"/>
      <c r="E546"/>
      <c r="H546" s="623"/>
      <c r="I546" s="623"/>
      <c r="J546">
        <v>0</v>
      </c>
    </row>
    <row r="547" spans="1:10">
      <c r="A547" s="618"/>
      <c r="B547"/>
      <c r="E547"/>
      <c r="H547" s="623"/>
      <c r="I547" s="623"/>
      <c r="J547">
        <v>0</v>
      </c>
    </row>
    <row r="548" spans="1:10">
      <c r="A548" s="618"/>
      <c r="B548"/>
      <c r="E548"/>
      <c r="H548" s="623"/>
      <c r="I548" s="623"/>
      <c r="J548">
        <v>0</v>
      </c>
    </row>
    <row r="549" spans="1:10">
      <c r="A549" s="618"/>
      <c r="B549"/>
      <c r="E549"/>
      <c r="H549" s="623"/>
      <c r="I549" s="623"/>
      <c r="J549">
        <v>0</v>
      </c>
    </row>
    <row r="550" spans="1:10">
      <c r="A550" s="618"/>
      <c r="B550"/>
      <c r="E550"/>
      <c r="H550" s="623"/>
      <c r="I550" s="623"/>
      <c r="J550" s="420"/>
    </row>
  </sheetData>
  <sheetProtection formatColumns="0" formatRows="0"/>
  <autoFilter ref="A2:L545" xr:uid="{00000000-0009-0000-0000-00000C000000}"/>
  <pageMargins left="0.7" right="0.7" top="0.75" bottom="0.75" header="0.5" footer="0.5"/>
  <pageSetup paperSize="9" orientation="portrait" horizontalDpi="4294967292" verticalDpi="4294967292"/>
  <legacyDrawing r:id="rId1"/>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3">
    <tabColor theme="1" tint="0.79998168889431442"/>
  </sheetPr>
  <dimension ref="C1:M22"/>
  <sheetViews>
    <sheetView showGridLines="0" zoomScale="90" zoomScaleNormal="90" zoomScalePageLayoutView="90" workbookViewId="0">
      <selection activeCell="D4" sqref="D4"/>
    </sheetView>
  </sheetViews>
  <sheetFormatPr baseColWidth="10" defaultColWidth="11.5546875" defaultRowHeight="15"/>
  <cols>
    <col min="1" max="1" width="3.88671875" customWidth="1"/>
    <col min="2" max="2" width="2.109375" customWidth="1"/>
    <col min="3" max="5" width="11.5546875" customWidth="1"/>
    <col min="6" max="6" width="10.88671875" customWidth="1"/>
    <col min="7" max="8" width="22.88671875" customWidth="1"/>
    <col min="9" max="11" width="11.5546875" customWidth="1"/>
    <col min="12" max="12" width="6.33203125" customWidth="1"/>
    <col min="13" max="13" width="5.5546875" customWidth="1"/>
  </cols>
  <sheetData>
    <row r="1" spans="3:13" ht="15.75" thickBot="1"/>
    <row r="2" spans="3:13" ht="15.75">
      <c r="C2" s="686" t="s">
        <v>488</v>
      </c>
      <c r="D2" s="687"/>
      <c r="E2" s="347"/>
    </row>
    <row r="3" spans="3:13">
      <c r="C3" s="688"/>
      <c r="D3" s="689"/>
      <c r="E3" s="137"/>
    </row>
    <row r="4" spans="3:13" ht="15.75">
      <c r="C4" s="690"/>
      <c r="D4" s="692" t="str">
        <f>Translate!$A$545</f>
        <v>English</v>
      </c>
      <c r="E4" s="137"/>
    </row>
    <row r="5" spans="3:13" ht="15.75">
      <c r="C5" s="690"/>
      <c r="D5" s="691"/>
      <c r="E5" s="137"/>
    </row>
    <row r="6" spans="3:13" ht="9" customHeight="1" thickBot="1">
      <c r="C6" s="138"/>
      <c r="D6" s="139"/>
      <c r="E6" s="140"/>
    </row>
    <row r="7" spans="3:13" ht="15.75" thickBot="1"/>
    <row r="8" spans="3:13" s="183" customFormat="1" ht="15.75">
      <c r="C8" s="634" t="str">
        <f>Translate!$A$536</f>
        <v>EFFC DFI Disclaimer</v>
      </c>
      <c r="D8" s="635"/>
      <c r="E8" s="635"/>
      <c r="F8" s="635"/>
      <c r="G8" s="635"/>
      <c r="H8" s="635"/>
      <c r="I8" s="636"/>
      <c r="J8" s="636"/>
      <c r="K8" s="636"/>
      <c r="L8" s="636"/>
      <c r="M8" s="637"/>
    </row>
    <row r="9" spans="3:13" s="183" customFormat="1" ht="6.75" customHeight="1" thickBot="1">
      <c r="C9" s="638"/>
      <c r="D9" s="639"/>
      <c r="E9" s="639"/>
      <c r="F9" s="639"/>
      <c r="G9" s="639"/>
      <c r="H9" s="639"/>
      <c r="I9" s="639"/>
      <c r="J9" s="639"/>
      <c r="K9" s="639"/>
      <c r="L9" s="639"/>
      <c r="M9" s="640"/>
    </row>
    <row r="10" spans="3:13" s="183" customFormat="1">
      <c r="C10" s="638"/>
      <c r="D10" s="639"/>
      <c r="E10" s="639"/>
      <c r="F10" s="639"/>
      <c r="G10" s="832" t="str">
        <f>Translate!$A$538</f>
        <v>European Federation of Foundation Contractor (EFFC)</v>
      </c>
      <c r="H10" s="833"/>
      <c r="I10" s="639"/>
      <c r="J10" s="639"/>
      <c r="K10" s="639"/>
      <c r="L10" s="639"/>
      <c r="M10" s="640"/>
    </row>
    <row r="11" spans="3:13" s="183" customFormat="1">
      <c r="C11" s="638"/>
      <c r="D11" s="639"/>
      <c r="E11" s="639"/>
      <c r="F11" s="639"/>
      <c r="G11" s="834" t="str">
        <f>Translate!$A$539</f>
        <v>Deep Foundations Institute (DFI)</v>
      </c>
      <c r="H11" s="835"/>
      <c r="I11" s="639"/>
      <c r="J11" s="639"/>
      <c r="K11" s="639"/>
      <c r="L11" s="639"/>
      <c r="M11" s="640"/>
    </row>
    <row r="12" spans="3:13" s="183" customFormat="1">
      <c r="C12" s="638"/>
      <c r="D12" s="639"/>
      <c r="E12" s="639"/>
      <c r="F12" s="639"/>
      <c r="G12" s="834" t="str">
        <f>Translate!$A$540</f>
        <v>Carbone 4 (the “authors")</v>
      </c>
      <c r="H12" s="835"/>
      <c r="I12" s="639"/>
      <c r="J12" s="639"/>
      <c r="K12" s="639"/>
      <c r="L12" s="639"/>
      <c r="M12" s="640"/>
    </row>
    <row r="13" spans="3:13" s="183" customFormat="1">
      <c r="C13" s="638"/>
      <c r="D13" s="641"/>
      <c r="E13" s="641"/>
      <c r="F13" s="641"/>
      <c r="G13" s="834" t="str">
        <f>Translate!$A$541</f>
        <v>Carbon Calculator for Foundations (the “Calculator”)</v>
      </c>
      <c r="H13" s="835"/>
      <c r="I13" s="639"/>
      <c r="J13" s="639"/>
      <c r="K13" s="639"/>
      <c r="L13" s="639"/>
      <c r="M13" s="640"/>
    </row>
    <row r="14" spans="3:13" s="183" customFormat="1" ht="16.5" thickBot="1">
      <c r="C14" s="638"/>
      <c r="D14" s="641"/>
      <c r="E14" s="641"/>
      <c r="F14" s="641"/>
      <c r="G14" s="836" t="str">
        <f>Translate!$A$542</f>
        <v> Disclaimer</v>
      </c>
      <c r="H14" s="837"/>
      <c r="I14" s="639"/>
      <c r="J14" s="639"/>
      <c r="K14" s="639"/>
      <c r="L14" s="639"/>
      <c r="M14" s="640"/>
    </row>
    <row r="15" spans="3:13" s="183" customFormat="1">
      <c r="C15" s="638"/>
      <c r="D15" s="639"/>
      <c r="E15" s="639"/>
      <c r="F15" s="639"/>
      <c r="G15" s="639"/>
      <c r="H15" s="639"/>
      <c r="I15" s="639"/>
      <c r="J15" s="639"/>
      <c r="K15" s="639"/>
      <c r="L15" s="639"/>
      <c r="M15" s="640"/>
    </row>
    <row r="16" spans="3:13" s="183" customFormat="1" ht="15.75" customHeight="1">
      <c r="C16" s="638"/>
      <c r="D16" s="642" t="str">
        <f>Translate!$A$537</f>
        <v>The Calculator has been designed without liability with the intention of assisting in the calculation of the carbon footprint of foundation projects.</v>
      </c>
      <c r="E16" s="639"/>
      <c r="F16" s="639"/>
      <c r="G16" s="639"/>
      <c r="H16" s="639"/>
      <c r="I16" s="639"/>
      <c r="J16" s="639"/>
      <c r="K16" s="639"/>
      <c r="L16" s="639"/>
      <c r="M16" s="640"/>
    </row>
    <row r="17" spans="3:13" s="183" customFormat="1" ht="15.75" customHeight="1">
      <c r="C17" s="638"/>
      <c r="D17" s="642"/>
      <c r="E17" s="639"/>
      <c r="F17" s="639"/>
      <c r="G17" s="639"/>
      <c r="H17" s="639"/>
      <c r="I17" s="639"/>
      <c r="J17" s="639"/>
      <c r="K17" s="639"/>
      <c r="L17" s="639"/>
      <c r="M17" s="640"/>
    </row>
    <row r="18" spans="3:13" s="183" customFormat="1" ht="60" customHeight="1">
      <c r="C18" s="638"/>
      <c r="D18" s="831" t="str">
        <f>Translate!A543</f>
        <v>Whilst we have taken steps to check the accuracy of the Calculator and its database, the EFFC, DFI and the authors of the Calculator do not give any warranty, guarantee, representation or other assurance as to:  the operation, quality or functionality of the Calculator; the accuracy or completeness of the Calculator; or its fitness for any particular purpose.</v>
      </c>
      <c r="E18" s="831"/>
      <c r="F18" s="831"/>
      <c r="G18" s="831"/>
      <c r="H18" s="831"/>
      <c r="I18" s="831"/>
      <c r="J18" s="831"/>
      <c r="K18" s="639"/>
      <c r="L18" s="639"/>
      <c r="M18" s="640"/>
    </row>
    <row r="19" spans="3:13" s="183" customFormat="1">
      <c r="C19" s="638"/>
      <c r="D19" s="642"/>
      <c r="E19" s="639"/>
      <c r="F19" s="639"/>
      <c r="G19" s="639"/>
      <c r="H19" s="639"/>
      <c r="I19" s="639"/>
      <c r="J19" s="639"/>
      <c r="K19" s="639"/>
      <c r="L19" s="639"/>
      <c r="M19" s="640"/>
    </row>
    <row r="20" spans="3:13" s="649" customFormat="1" ht="72" customHeight="1">
      <c r="C20" s="646"/>
      <c r="D20" s="831" t="str">
        <f>Translate!A544</f>
        <v>To the fullest extent permissible by law, the EFFC, DFI and the authors of the Spreadsheet each disclaim all responsibility for any damages or losses (including, without limitation, financial loss, damages for loss in business projects, loss of profits or other consequential losses) arising in contract, or otherwise from the use of or inability to use the Calculator, or from any action or decision taken as a result of using the Calculator.</v>
      </c>
      <c r="E20" s="831"/>
      <c r="F20" s="831"/>
      <c r="G20" s="831"/>
      <c r="H20" s="831"/>
      <c r="I20" s="831"/>
      <c r="J20" s="831"/>
      <c r="K20" s="647"/>
      <c r="L20" s="647"/>
      <c r="M20" s="648"/>
    </row>
    <row r="21" spans="3:13" s="183" customFormat="1">
      <c r="C21" s="638"/>
      <c r="D21" s="642"/>
      <c r="E21" s="639"/>
      <c r="F21" s="639"/>
      <c r="G21" s="639"/>
      <c r="H21" s="639"/>
      <c r="I21" s="639"/>
      <c r="J21" s="639"/>
      <c r="K21" s="639"/>
      <c r="L21" s="639"/>
      <c r="M21" s="640"/>
    </row>
    <row r="22" spans="3:13" s="183" customFormat="1" ht="110.1" customHeight="1" thickBot="1">
      <c r="C22" s="643"/>
      <c r="D22" s="644"/>
      <c r="E22" s="644"/>
      <c r="F22" s="644"/>
      <c r="G22" s="830"/>
      <c r="H22" s="830"/>
      <c r="I22" s="644"/>
      <c r="J22" s="644"/>
      <c r="K22" s="644"/>
      <c r="L22" s="644"/>
      <c r="M22" s="645"/>
    </row>
  </sheetData>
  <sheetProtection password="C67E" sheet="1" objects="1" scenarios="1" formatColumns="0" formatRows="0" selectLockedCells="1"/>
  <mergeCells count="8">
    <mergeCell ref="G22:H22"/>
    <mergeCell ref="D20:J20"/>
    <mergeCell ref="G10:H10"/>
    <mergeCell ref="G11:H11"/>
    <mergeCell ref="G12:H12"/>
    <mergeCell ref="G13:H13"/>
    <mergeCell ref="G14:H14"/>
    <mergeCell ref="D18:J18"/>
  </mergeCells>
  <dataValidations count="1">
    <dataValidation type="list" allowBlank="1" showInputMessage="1" showErrorMessage="1" sqref="D4" xr:uid="{00000000-0002-0000-0D00-000000000000}">
      <formula1>language</formula1>
    </dataValidation>
  </dataValidations>
  <pageMargins left="0.7" right="0.7" top="0.75" bottom="0.75"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17</vt:i4>
      </vt:variant>
      <vt:variant>
        <vt:lpstr>Benannte Bereiche</vt:lpstr>
      </vt:variant>
      <vt:variant>
        <vt:i4>51</vt:i4>
      </vt:variant>
    </vt:vector>
  </HeadingPairs>
  <TitlesOfParts>
    <vt:vector size="68" baseType="lpstr">
      <vt:lpstr>READ ME</vt:lpstr>
      <vt:lpstr>HOME</vt:lpstr>
      <vt:lpstr>Subprojectzero1</vt:lpstr>
      <vt:lpstr>Subprojectzero2</vt:lpstr>
      <vt:lpstr>Subprojectzero3</vt:lpstr>
      <vt:lpstr>Projectzero</vt:lpstr>
      <vt:lpstr>Resultszero</vt:lpstr>
      <vt:lpstr>Comparisonzero</vt:lpstr>
      <vt:lpstr>Project A</vt:lpstr>
      <vt:lpstr>Results</vt:lpstr>
      <vt:lpstr>Comparison</vt:lpstr>
      <vt:lpstr>Emission factors</vt:lpstr>
      <vt:lpstr>Logos</vt:lpstr>
      <vt:lpstr>Sheets</vt:lpstr>
      <vt:lpstr>Lists</vt:lpstr>
      <vt:lpstr>Translate</vt:lpstr>
      <vt:lpstr>Disclaimer</vt:lpstr>
      <vt:lpstr>ALLPROJECTS</vt:lpstr>
      <vt:lpstr>Projectzero!ALLSUBANDPROJECTS</vt:lpstr>
      <vt:lpstr>Results!ALLSUBANDPROJECTS</vt:lpstr>
      <vt:lpstr>Resultszero!ALLSUBANDPROJECTS</vt:lpstr>
      <vt:lpstr>ALLSUBANDPROJECTS</vt:lpstr>
      <vt:lpstr>Projectzero!ALLSUBPROJECTS</vt:lpstr>
      <vt:lpstr>Results!ALLSUBPROJECTS</vt:lpstr>
      <vt:lpstr>Resultszero!ALLSUBPROJECTS</vt:lpstr>
      <vt:lpstr>ALLSUBPROJECTS</vt:lpstr>
      <vt:lpstr>CementTypeName</vt:lpstr>
      <vt:lpstr>CementTypes</vt:lpstr>
      <vt:lpstr>COMPARISONSHEETS</vt:lpstr>
      <vt:lpstr>concrete_origin</vt:lpstr>
      <vt:lpstr>concreteunits</vt:lpstr>
      <vt:lpstr>Countries</vt:lpstr>
      <vt:lpstr>DefaultConcrete</vt:lpstr>
      <vt:lpstr>Comparison!Druckbereich</vt:lpstr>
      <vt:lpstr>Comparisonzero!Druckbereich</vt:lpstr>
      <vt:lpstr>Results!Druckbereich</vt:lpstr>
      <vt:lpstr>Resultszero!Druckbereich</vt:lpstr>
      <vt:lpstr>EF_databases</vt:lpstr>
      <vt:lpstr>EFFreight</vt:lpstr>
      <vt:lpstr>EFlist</vt:lpstr>
      <vt:lpstr>EFMobDemob</vt:lpstr>
      <vt:lpstr>EFtable</vt:lpstr>
      <vt:lpstr>FEAssets</vt:lpstr>
      <vt:lpstr>FEEnergy</vt:lpstr>
      <vt:lpstr>FEFreight</vt:lpstr>
      <vt:lpstr>FEMaterials</vt:lpstr>
      <vt:lpstr>FETransportation</vt:lpstr>
      <vt:lpstr>FreightLoadFactors</vt:lpstr>
      <vt:lpstr>lang</vt:lpstr>
      <vt:lpstr>lang2</vt:lpstr>
      <vt:lpstr>language</vt:lpstr>
      <vt:lpstr>MaterialTypes</vt:lpstr>
      <vt:lpstr>NameComparison</vt:lpstr>
      <vt:lpstr>NameProject</vt:lpstr>
      <vt:lpstr>NameResults</vt:lpstr>
      <vt:lpstr>NameSubproject</vt:lpstr>
      <vt:lpstr>new_recycled_reused</vt:lpstr>
      <vt:lpstr>RailFreightElectric</vt:lpstr>
      <vt:lpstr>ratio_use</vt:lpstr>
      <vt:lpstr>RecycledContent</vt:lpstr>
      <vt:lpstr>RESULTSSHEETS</vt:lpstr>
      <vt:lpstr>StandardFreight</vt:lpstr>
      <vt:lpstr>SubprojectCopy</vt:lpstr>
      <vt:lpstr>SubprojectTemplate</vt:lpstr>
      <vt:lpstr>techniques</vt:lpstr>
      <vt:lpstr>TechniqueSubproject</vt:lpstr>
      <vt:lpstr>units_system</vt:lpstr>
      <vt:lpstr>y_n</vt:lpstr>
    </vt:vector>
  </TitlesOfParts>
  <Company>Carbone 4</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Jean-Yves Wilmotte</dc:creator>
  <cp:lastModifiedBy>Nguyen Luan</cp:lastModifiedBy>
  <cp:lastPrinted>2014-03-23T09:32:45Z</cp:lastPrinted>
  <dcterms:created xsi:type="dcterms:W3CDTF">2012-09-25T14:44:07Z</dcterms:created>
  <dcterms:modified xsi:type="dcterms:W3CDTF">2022-10-18T18:51:36Z</dcterms:modified>
</cp:coreProperties>
</file>